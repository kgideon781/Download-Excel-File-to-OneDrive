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theme/themeOverride1.xml" ContentType="application/vnd.openxmlformats-officedocument.themeOverrid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2.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comments1.xml" ContentType="application/vnd.openxmlformats-officedocument.spreadsheetml.comments+xml"/>
  <Override PartName="/xl/threadedComments/threadedComment1.xml" ContentType="application/vnd.ms-excel.threadedcomments+xml"/>
  <Override PartName="/xl/tables/table1.xml" ContentType="application/vnd.openxmlformats-officedocument.spreadsheetml.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drawings/drawing3.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pivotTables/pivotTable16.xml" ContentType="application/vnd.openxmlformats-officedocument.spreadsheetml.pivotTable+xml"/>
  <Override PartName="/xl/pivotTables/pivotTable17.xml" ContentType="application/vnd.openxmlformats-officedocument.spreadsheetml.pivotTable+xml"/>
  <Override PartName="/xl/persons/person.xml" ContentType="application/vnd.ms-excel.person+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06"/>
  <workbookPr codeName="ThisWorkbook"/>
  <mc:AlternateContent xmlns:mc="http://schemas.openxmlformats.org/markup-compatibility/2006">
    <mc:Choice Requires="x15">
      <x15ac:absPath xmlns:x15ac="http://schemas.microsoft.com/office/spreadsheetml/2010/11/ac" url="https://aphrcorg-my.sharepoint.com/personal/nnjenga_aphrc_org/Documents/CARTA Dashboard/ECRS/"/>
    </mc:Choice>
  </mc:AlternateContent>
  <xr:revisionPtr revIDLastSave="1265" documentId="13_ncr:1_{4D0E5611-347A-4675-B69B-D50AC6A875FD}" xr6:coauthVersionLast="47" xr6:coauthVersionMax="47" xr10:uidLastSave="{E6E0C503-B0C1-49CA-BD3A-F641E2A9F713}"/>
  <bookViews>
    <workbookView xWindow="-90" yWindow="0" windowWidth="9780" windowHeight="10170" firstSheet="3" activeTab="3" xr2:uid="{00000000-000D-0000-FFFF-FFFF00000000}"/>
  </bookViews>
  <sheets>
    <sheet name="Dashboard" sheetId="16" r:id="rId1"/>
    <sheet name="Sheet2" sheetId="21" state="hidden" r:id="rId2"/>
    <sheet name="Pivot Analysis" sheetId="4" r:id="rId3"/>
    <sheet name="Fellows" sheetId="1" r:id="rId4"/>
    <sheet name="Terminations" sheetId="19" r:id="rId5"/>
    <sheet name="Promotions" sheetId="22" r:id="rId6"/>
    <sheet name="Sheet1" sheetId="23" state="hidden" r:id="rId7"/>
  </sheets>
  <definedNames>
    <definedName name="_xlnm._FilterDatabase" localSheetId="3" hidden="1">Fellows!$A$1:$CX$288</definedName>
  </definedNames>
  <calcPr calcId="191028"/>
  <pivotCaches>
    <pivotCache cacheId="119" r:id="rId8"/>
    <pivotCache cacheId="120" r:id="rId9"/>
    <pivotCache cacheId="121" r:id="rId10"/>
    <pivotCache cacheId="128" r:id="rId11"/>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P222" i="1" l="1"/>
  <c r="BO222" i="1"/>
  <c r="BO232" i="1"/>
  <c r="BP234" i="1"/>
  <c r="BO234" i="1"/>
  <c r="BO245" i="1"/>
  <c r="F41" i="4"/>
  <c r="F31" i="4"/>
  <c r="T5" i="16" s="1"/>
  <c r="F32" i="4"/>
  <c r="T6" i="16" s="1"/>
  <c r="F33" i="4"/>
  <c r="T7" i="16" s="1"/>
  <c r="F34" i="4"/>
  <c r="T8" i="16" s="1"/>
  <c r="F35" i="4"/>
  <c r="T9" i="16" s="1"/>
  <c r="F36" i="4"/>
  <c r="T10" i="16" s="1"/>
  <c r="F37" i="4"/>
  <c r="T11" i="16" s="1"/>
  <c r="F38" i="4"/>
  <c r="T12" i="16" s="1"/>
  <c r="F39" i="4"/>
  <c r="T13" i="16" s="1"/>
  <c r="F40" i="4"/>
  <c r="F30" i="4"/>
  <c r="T4" i="16" s="1"/>
  <c r="BO210" i="1"/>
  <c r="BP241" i="1"/>
  <c r="BO241" i="1"/>
  <c r="BP201" i="1"/>
  <c r="BO201" i="1"/>
  <c r="BP223" i="1"/>
  <c r="BO223" i="1"/>
  <c r="BP122" i="1"/>
  <c r="BO122" i="1"/>
  <c r="S43" i="16"/>
  <c r="T2" i="16" l="1"/>
  <c r="T3" i="16"/>
  <c r="BP225" i="1"/>
  <c r="BO225" i="1"/>
  <c r="BP230" i="1" l="1"/>
  <c r="BP172" i="1"/>
  <c r="BP145" i="1"/>
  <c r="BO145" i="1"/>
  <c r="BO172" i="1"/>
  <c r="BO230" i="1" l="1"/>
  <c r="BO242" i="1"/>
  <c r="BO203" i="1"/>
  <c r="BP203" i="1"/>
  <c r="BP208" i="1"/>
  <c r="BO208" i="1"/>
  <c r="BO243" i="1"/>
  <c r="BP188" i="1"/>
  <c r="BO188" i="1"/>
  <c r="BO129" i="1"/>
  <c r="BP129" i="1"/>
  <c r="BO180" i="1"/>
  <c r="BP180" i="1"/>
  <c r="BO162" i="1"/>
  <c r="BP162" i="1"/>
  <c r="BP124" i="1"/>
  <c r="BO124" i="1"/>
  <c r="BO244" i="1"/>
  <c r="BP244" i="1"/>
  <c r="BP233" i="1"/>
  <c r="BP236" i="1"/>
  <c r="BO236" i="1"/>
  <c r="BP240" i="1"/>
  <c r="BO240" i="1"/>
  <c r="BP235" i="1"/>
  <c r="BP227" i="1"/>
  <c r="BP231" i="1"/>
  <c r="BP228" i="1"/>
  <c r="BP218" i="1"/>
  <c r="BP217" i="1"/>
  <c r="BP215" i="1"/>
  <c r="BP213" i="1"/>
  <c r="BP212" i="1"/>
  <c r="BP210" i="1"/>
  <c r="BP209" i="1"/>
  <c r="BP207" i="1"/>
  <c r="BP205" i="1"/>
  <c r="BP202" i="1"/>
  <c r="BP200" i="1"/>
  <c r="BP199" i="1"/>
  <c r="BP198" i="1"/>
  <c r="BP192" i="1"/>
  <c r="BP190" i="1"/>
  <c r="BP187" i="1"/>
  <c r="BP186" i="1"/>
  <c r="BP185" i="1"/>
  <c r="BP184" i="1"/>
  <c r="BP181" i="1"/>
  <c r="BP179" i="1"/>
  <c r="BP178" i="1"/>
  <c r="BP176" i="1"/>
  <c r="BP175" i="1"/>
  <c r="BP173" i="1"/>
  <c r="BP170" i="1"/>
  <c r="BP169" i="1"/>
  <c r="BP168" i="1"/>
  <c r="BP167" i="1"/>
  <c r="BP166" i="1"/>
  <c r="BP165" i="1"/>
  <c r="BP164" i="1"/>
  <c r="BP163" i="1"/>
  <c r="BP161" i="1"/>
  <c r="BP160" i="1"/>
  <c r="BP159" i="1"/>
  <c r="BP157" i="1"/>
  <c r="BP156" i="1"/>
  <c r="BP155" i="1"/>
  <c r="BP153" i="1"/>
  <c r="BP152" i="1"/>
  <c r="BP151" i="1"/>
  <c r="BP150" i="1"/>
  <c r="BP149" i="1"/>
  <c r="BP148" i="1"/>
  <c r="BP147" i="1"/>
  <c r="BP146" i="1"/>
  <c r="BP143" i="1"/>
  <c r="BP142" i="1"/>
  <c r="BP141" i="1"/>
  <c r="BP140" i="1"/>
  <c r="BP139" i="1"/>
  <c r="BP138" i="1"/>
  <c r="BP137" i="1"/>
  <c r="BP136" i="1"/>
  <c r="BP135" i="1"/>
  <c r="BP134" i="1"/>
  <c r="BP133" i="1"/>
  <c r="BP132" i="1"/>
  <c r="BP131" i="1"/>
  <c r="BP130" i="1"/>
  <c r="BP128" i="1"/>
  <c r="BP127" i="1"/>
  <c r="BP126" i="1"/>
  <c r="BP125" i="1"/>
  <c r="BP123" i="1"/>
  <c r="BP121" i="1"/>
  <c r="BP120" i="1"/>
  <c r="BP115" i="1"/>
  <c r="BP113" i="1"/>
  <c r="BP112" i="1"/>
  <c r="BP111" i="1"/>
  <c r="BP110" i="1"/>
  <c r="BP109" i="1"/>
  <c r="BP108" i="1"/>
  <c r="BP107" i="1"/>
  <c r="BP105" i="1"/>
  <c r="BP104" i="1"/>
  <c r="BP103" i="1"/>
  <c r="BP102" i="1"/>
  <c r="BP100" i="1"/>
  <c r="BP99" i="1"/>
  <c r="BP98" i="1"/>
  <c r="BP97" i="1"/>
  <c r="BP96" i="1"/>
  <c r="BP95" i="1"/>
  <c r="BP94" i="1"/>
  <c r="BP93" i="1"/>
  <c r="BP92" i="1"/>
  <c r="BP91" i="1"/>
  <c r="BP90" i="1"/>
  <c r="BP89" i="1"/>
  <c r="BP88" i="1"/>
  <c r="BP87" i="1"/>
  <c r="BP86" i="1"/>
  <c r="BP84" i="1"/>
  <c r="BP82" i="1"/>
  <c r="BP81" i="1"/>
  <c r="BP80" i="1"/>
  <c r="BP79" i="1"/>
  <c r="BP78" i="1"/>
  <c r="BP77" i="1"/>
  <c r="BP76" i="1"/>
  <c r="BP75" i="1"/>
  <c r="BP74" i="1"/>
  <c r="BP73" i="1"/>
  <c r="BP72" i="1"/>
  <c r="BP71" i="1"/>
  <c r="BP70" i="1"/>
  <c r="BP69" i="1"/>
  <c r="BP68" i="1"/>
  <c r="BP66" i="1"/>
  <c r="BP64" i="1"/>
  <c r="BP63" i="1"/>
  <c r="BP62" i="1"/>
  <c r="BP60" i="1"/>
  <c r="BP59" i="1"/>
  <c r="BP58" i="1"/>
  <c r="BP57" i="1"/>
  <c r="BP56" i="1"/>
  <c r="BP54" i="1"/>
  <c r="BP52" i="1"/>
  <c r="BP51" i="1"/>
  <c r="BP50" i="1"/>
  <c r="BP49" i="1"/>
  <c r="BP48" i="1"/>
  <c r="BP47" i="1"/>
  <c r="BP46" i="1"/>
  <c r="BP45" i="1"/>
  <c r="BP41" i="1"/>
  <c r="BP40" i="1"/>
  <c r="BP38" i="1"/>
  <c r="BP37" i="1"/>
  <c r="BP36" i="1"/>
  <c r="BP35" i="1"/>
  <c r="BP34" i="1"/>
  <c r="BP33" i="1"/>
  <c r="BP31" i="1"/>
  <c r="BP30" i="1"/>
  <c r="BP29" i="1"/>
  <c r="BP28" i="1"/>
  <c r="BP27" i="1"/>
  <c r="BP26" i="1"/>
  <c r="BP25" i="1"/>
  <c r="BP21" i="1"/>
  <c r="BP20" i="1"/>
  <c r="BP19" i="1"/>
  <c r="BP18" i="1"/>
  <c r="BP17" i="1"/>
  <c r="BP16" i="1"/>
  <c r="BP15" i="1"/>
  <c r="BP14" i="1"/>
  <c r="BP13" i="1"/>
  <c r="BP12" i="1"/>
  <c r="BP11" i="1"/>
  <c r="BP10" i="1"/>
  <c r="BP9" i="1"/>
  <c r="BP8" i="1"/>
  <c r="BP7" i="1"/>
  <c r="BP6" i="1"/>
  <c r="BP5" i="1"/>
  <c r="BP4" i="1"/>
  <c r="BP3" i="1"/>
  <c r="BP2" i="1"/>
  <c r="P58" i="4"/>
  <c r="P57" i="4"/>
  <c r="BO192" i="1"/>
  <c r="BO25" i="1"/>
  <c r="BO143" i="1"/>
  <c r="BO213" i="1"/>
  <c r="AH74" i="1"/>
  <c r="BO209" i="1"/>
  <c r="BO175" i="1"/>
  <c r="BO218" i="1"/>
  <c r="BO212" i="1"/>
  <c r="BO198" i="1"/>
  <c r="BO141" i="1"/>
  <c r="BO115" i="1"/>
  <c r="BP249" i="1" l="1"/>
  <c r="BO233" i="1"/>
  <c r="BO215" i="1"/>
  <c r="BO202" i="1" l="1"/>
  <c r="BO152" i="1" l="1"/>
  <c r="BO231" i="1" l="1"/>
  <c r="BO199" i="1" l="1"/>
  <c r="BO160" i="1"/>
  <c r="BO207" i="1"/>
  <c r="BO235" i="1" l="1"/>
  <c r="BO227" i="1" l="1"/>
  <c r="BO76" i="1" l="1"/>
  <c r="BO205" i="1" l="1"/>
  <c r="BO163" i="1" l="1"/>
  <c r="BO176" i="1"/>
  <c r="BO217" i="1" l="1"/>
  <c r="BO190" i="1"/>
  <c r="BO181" i="1"/>
  <c r="BO179" i="1"/>
  <c r="BO173" i="1"/>
  <c r="BO166" i="1"/>
  <c r="BO161" i="1"/>
  <c r="BO151" i="1"/>
  <c r="BO130" i="1"/>
  <c r="BO127" i="1"/>
  <c r="BO125" i="1"/>
  <c r="BO107" i="1"/>
  <c r="BO77" i="1"/>
  <c r="C33" i="21" l="1"/>
  <c r="BO228" i="1" l="1"/>
  <c r="BO200" i="1"/>
  <c r="BO187" i="1"/>
  <c r="BO186" i="1"/>
  <c r="BO185" i="1"/>
  <c r="BO184" i="1"/>
  <c r="BO178" i="1"/>
  <c r="BO170" i="1"/>
  <c r="BO169" i="1"/>
  <c r="BO168" i="1"/>
  <c r="BO167" i="1"/>
  <c r="BO165" i="1"/>
  <c r="BO164" i="1"/>
  <c r="BO157" i="1"/>
  <c r="BO156" i="1"/>
  <c r="BO155" i="1"/>
  <c r="BO153" i="1"/>
  <c r="BO150" i="1"/>
  <c r="BO148" i="1"/>
  <c r="BO147" i="1"/>
  <c r="BO146" i="1"/>
  <c r="BO142" i="1"/>
  <c r="BO140" i="1"/>
  <c r="BO139" i="1"/>
  <c r="BO138" i="1"/>
  <c r="BO137" i="1"/>
  <c r="BO136" i="1"/>
  <c r="BO135" i="1"/>
  <c r="BO134" i="1"/>
  <c r="BO133" i="1"/>
  <c r="BO132" i="1"/>
  <c r="BO131" i="1"/>
  <c r="BO128" i="1"/>
  <c r="BO126" i="1"/>
  <c r="BO123" i="1"/>
  <c r="BO121" i="1"/>
  <c r="BO120" i="1"/>
  <c r="BO113" i="1"/>
  <c r="BO112" i="1"/>
  <c r="BO111" i="1"/>
  <c r="BO110" i="1"/>
  <c r="BO109" i="1"/>
  <c r="BO108" i="1"/>
  <c r="BO105" i="1"/>
  <c r="BO104" i="1"/>
  <c r="BO103" i="1"/>
  <c r="BO102" i="1"/>
  <c r="BO100" i="1"/>
  <c r="BO99" i="1"/>
  <c r="BO98" i="1"/>
  <c r="BO97" i="1"/>
  <c r="BO96" i="1"/>
  <c r="BO95" i="1"/>
  <c r="BO94" i="1"/>
  <c r="BO93" i="1"/>
  <c r="BO92" i="1"/>
  <c r="BO91" i="1"/>
  <c r="BO90" i="1"/>
  <c r="BO89" i="1"/>
  <c r="BO88" i="1"/>
  <c r="BO87" i="1"/>
  <c r="BO86" i="1"/>
  <c r="BO84" i="1"/>
  <c r="BO82" i="1"/>
  <c r="BO81" i="1"/>
  <c r="BO80" i="1"/>
  <c r="BO79" i="1"/>
  <c r="BO78" i="1"/>
  <c r="BO75" i="1"/>
  <c r="BO74" i="1"/>
  <c r="BO73" i="1"/>
  <c r="BO72" i="1"/>
  <c r="BO71" i="1"/>
  <c r="BO70" i="1"/>
  <c r="BO69" i="1"/>
  <c r="BO68" i="1"/>
  <c r="BO66" i="1"/>
  <c r="BO64" i="1"/>
  <c r="BO63" i="1"/>
  <c r="BO62" i="1"/>
  <c r="BO60" i="1"/>
  <c r="BO59" i="1"/>
  <c r="BO58" i="1"/>
  <c r="BO57" i="1"/>
  <c r="BO56" i="1"/>
  <c r="BO54" i="1"/>
  <c r="BO52" i="1"/>
  <c r="BO51" i="1"/>
  <c r="BO50" i="1"/>
  <c r="BO49" i="1"/>
  <c r="BO48" i="1"/>
  <c r="BO47" i="1"/>
  <c r="BO46" i="1"/>
  <c r="BO45" i="1"/>
  <c r="BO37" i="1"/>
  <c r="BO41" i="1"/>
  <c r="BO40" i="1"/>
  <c r="BO38" i="1"/>
  <c r="BO36" i="1"/>
  <c r="BO35" i="1"/>
  <c r="BO34" i="1"/>
  <c r="BO33" i="1"/>
  <c r="BO31" i="1"/>
  <c r="BO30" i="1"/>
  <c r="BO29" i="1"/>
  <c r="BO28" i="1"/>
  <c r="BO27" i="1"/>
  <c r="BO26" i="1"/>
  <c r="BO21" i="1"/>
  <c r="BO20" i="1"/>
  <c r="BO19" i="1"/>
  <c r="BO18" i="1"/>
  <c r="BO17" i="1"/>
  <c r="BO16" i="1"/>
  <c r="BO15" i="1"/>
  <c r="BO14" i="1"/>
  <c r="BO13" i="1"/>
  <c r="BO12" i="1"/>
  <c r="BO11" i="1"/>
  <c r="BO10" i="1"/>
  <c r="BO9" i="1"/>
  <c r="BO8" i="1"/>
  <c r="BO7" i="1"/>
  <c r="BO6" i="1"/>
  <c r="BO5" i="1"/>
  <c r="BO4" i="1"/>
  <c r="BO3" i="1"/>
  <c r="BO2" i="1"/>
  <c r="AH241" i="1" l="1"/>
  <c r="AH227" i="1"/>
  <c r="AH228" i="1"/>
  <c r="AH229" i="1"/>
  <c r="AH242" i="1"/>
  <c r="AH231" i="1"/>
  <c r="AH243" i="1"/>
  <c r="AH233" i="1"/>
  <c r="AH244" i="1"/>
  <c r="AH235" i="1"/>
  <c r="AH225" i="1"/>
  <c r="AH226" i="1"/>
  <c r="AH245" i="1"/>
  <c r="AH230" i="1"/>
  <c r="AH232" i="1"/>
  <c r="AH234" i="1"/>
  <c r="AH236" i="1"/>
  <c r="AH237" i="1"/>
  <c r="AH238" i="1"/>
  <c r="AH246" i="1"/>
  <c r="AH239" i="1"/>
  <c r="AH240" i="1"/>
  <c r="AH224" i="1"/>
  <c r="AH223" i="1"/>
  <c r="AH222" i="1"/>
  <c r="AH221" i="1" l="1"/>
  <c r="AH220" i="1"/>
  <c r="AH219" i="1"/>
  <c r="AH218" i="1"/>
  <c r="AH217" i="1"/>
  <c r="AH216" i="1"/>
  <c r="AH215" i="1"/>
  <c r="AH214" i="1"/>
  <c r="AH213" i="1"/>
  <c r="AH212" i="1"/>
  <c r="AH211" i="1"/>
  <c r="AH210" i="1"/>
  <c r="AH209" i="1"/>
  <c r="AH208" i="1"/>
  <c r="AH207" i="1"/>
  <c r="AH206" i="1"/>
  <c r="AH205" i="1"/>
  <c r="AH204" i="1"/>
  <c r="AH203" i="1"/>
  <c r="AH202" i="1"/>
  <c r="AH201" i="1"/>
  <c r="AH200" i="1"/>
  <c r="AH199" i="1"/>
  <c r="AH198" i="1"/>
  <c r="AH197" i="1"/>
  <c r="AH196" i="1"/>
  <c r="AH195" i="1"/>
  <c r="AH194" i="1"/>
  <c r="AH193" i="1"/>
  <c r="AH192" i="1"/>
  <c r="AH191" i="1"/>
  <c r="AH190" i="1"/>
  <c r="AH189" i="1"/>
  <c r="AH188" i="1"/>
  <c r="AH187" i="1"/>
  <c r="AH186" i="1"/>
  <c r="AH185" i="1"/>
  <c r="AH184" i="1"/>
  <c r="AH183" i="1"/>
  <c r="AH182" i="1"/>
  <c r="AH181" i="1"/>
  <c r="AH180" i="1"/>
  <c r="AH179" i="1"/>
  <c r="AH178" i="1"/>
  <c r="AH177" i="1"/>
  <c r="AH176" i="1"/>
  <c r="AH175" i="1"/>
  <c r="AH174" i="1"/>
  <c r="AH173" i="1"/>
  <c r="AH172" i="1"/>
  <c r="AH171" i="1"/>
  <c r="AH170" i="1"/>
  <c r="AH169" i="1"/>
  <c r="AH168" i="1"/>
  <c r="AH167" i="1"/>
  <c r="AH166" i="1"/>
  <c r="AH165" i="1"/>
  <c r="AH164" i="1"/>
  <c r="AH163" i="1"/>
  <c r="AH162" i="1"/>
  <c r="AH161" i="1"/>
  <c r="AH160" i="1"/>
  <c r="AH159" i="1"/>
  <c r="AH158" i="1"/>
  <c r="AH157" i="1"/>
  <c r="AH156" i="1"/>
  <c r="AH155" i="1"/>
  <c r="AH154" i="1"/>
  <c r="AH153" i="1"/>
  <c r="AH152" i="1"/>
  <c r="AH151" i="1"/>
  <c r="AH150" i="1"/>
  <c r="AH149" i="1"/>
  <c r="AH148" i="1"/>
  <c r="AH147" i="1"/>
  <c r="AH146" i="1"/>
  <c r="AH145" i="1"/>
  <c r="AH144" i="1"/>
  <c r="AH143" i="1"/>
  <c r="AH142" i="1"/>
  <c r="AH141" i="1"/>
  <c r="AH140" i="1"/>
  <c r="AH139" i="1"/>
  <c r="AH138" i="1"/>
  <c r="AH137" i="1"/>
  <c r="AH136" i="1"/>
  <c r="AH135" i="1"/>
  <c r="AH134" i="1"/>
  <c r="AH133" i="1"/>
  <c r="AH132" i="1"/>
  <c r="AH131" i="1"/>
  <c r="AH130" i="1"/>
  <c r="AH129" i="1"/>
  <c r="AH128" i="1"/>
  <c r="AH127" i="1"/>
  <c r="AH126" i="1"/>
  <c r="AH125" i="1"/>
  <c r="AH124" i="1"/>
  <c r="AH123" i="1"/>
  <c r="AH122" i="1"/>
  <c r="AH121" i="1"/>
  <c r="AH120" i="1"/>
  <c r="AH119" i="1"/>
  <c r="AH118" i="1"/>
  <c r="AH117" i="1"/>
  <c r="AH116" i="1"/>
  <c r="AH115" i="1"/>
  <c r="AH114" i="1"/>
  <c r="AH113" i="1"/>
  <c r="AH112" i="1"/>
  <c r="AH111" i="1"/>
  <c r="AH110" i="1"/>
  <c r="AH109" i="1"/>
  <c r="AH108" i="1"/>
  <c r="AH107" i="1"/>
  <c r="AH106" i="1"/>
  <c r="AH105" i="1"/>
  <c r="AH104" i="1"/>
  <c r="AH103" i="1"/>
  <c r="AH102" i="1"/>
  <c r="AH101" i="1"/>
  <c r="AH100" i="1"/>
  <c r="AH99" i="1"/>
  <c r="AH98" i="1"/>
  <c r="AH97" i="1"/>
  <c r="AH96" i="1"/>
  <c r="AH95" i="1"/>
  <c r="AH94" i="1"/>
  <c r="AH93" i="1"/>
  <c r="AH92" i="1"/>
  <c r="AH91" i="1"/>
  <c r="AH90" i="1"/>
  <c r="AH89" i="1"/>
  <c r="AH88" i="1"/>
  <c r="AH87" i="1"/>
  <c r="AH86" i="1"/>
  <c r="AH85" i="1"/>
  <c r="AH84" i="1"/>
  <c r="AH83" i="1"/>
  <c r="AH82" i="1"/>
  <c r="AH81" i="1"/>
  <c r="AH80" i="1"/>
  <c r="AH79" i="1"/>
  <c r="AH78" i="1"/>
  <c r="AH77" i="1"/>
  <c r="AH76" i="1"/>
  <c r="AH75" i="1"/>
  <c r="AH73" i="1"/>
  <c r="AH72" i="1"/>
  <c r="AH71" i="1"/>
  <c r="AH70" i="1"/>
  <c r="AH69" i="1"/>
  <c r="AH68" i="1"/>
  <c r="AH67" i="1"/>
  <c r="AH66" i="1"/>
  <c r="AH65" i="1"/>
  <c r="AH64" i="1"/>
  <c r="AH63" i="1"/>
  <c r="AH62" i="1"/>
  <c r="AH61" i="1"/>
  <c r="AH60" i="1"/>
  <c r="AH59" i="1"/>
  <c r="AH58" i="1"/>
  <c r="AH57" i="1"/>
  <c r="AH56" i="1"/>
  <c r="AH55" i="1"/>
  <c r="AH54" i="1"/>
  <c r="AH53" i="1"/>
  <c r="AH52" i="1"/>
  <c r="AH51" i="1"/>
  <c r="AH50" i="1"/>
  <c r="AH49" i="1"/>
  <c r="AH48" i="1"/>
  <c r="AH47" i="1"/>
  <c r="AH46" i="1"/>
  <c r="AH45" i="1"/>
  <c r="AH44" i="1"/>
  <c r="AH43" i="1"/>
  <c r="AH42" i="1"/>
  <c r="AH41" i="1"/>
  <c r="AH40" i="1"/>
  <c r="AH39" i="1"/>
  <c r="AH38" i="1"/>
  <c r="AH37" i="1"/>
  <c r="AH36" i="1"/>
  <c r="AH35" i="1"/>
  <c r="AH34" i="1"/>
  <c r="AH33" i="1"/>
  <c r="AH32" i="1"/>
  <c r="AH31" i="1"/>
  <c r="AH30" i="1"/>
  <c r="AH29" i="1"/>
  <c r="AH28" i="1"/>
  <c r="AH27" i="1"/>
  <c r="AH26" i="1"/>
  <c r="AH25" i="1"/>
  <c r="AH24" i="1"/>
  <c r="AH23" i="1"/>
  <c r="AH22" i="1"/>
  <c r="AH21" i="1"/>
  <c r="AH20" i="1"/>
  <c r="AH19" i="1"/>
  <c r="AH18" i="1"/>
  <c r="AH17" i="1"/>
  <c r="AH16" i="1"/>
  <c r="AH15" i="1"/>
  <c r="AH14" i="1"/>
  <c r="AH13" i="1"/>
  <c r="AH12" i="1"/>
  <c r="AH11" i="1"/>
  <c r="AH10" i="1"/>
  <c r="AH9" i="1"/>
  <c r="AH8" i="1"/>
  <c r="AH7" i="1"/>
  <c r="AH6" i="1"/>
  <c r="AH5" i="1"/>
  <c r="AH4" i="1"/>
  <c r="AH3" i="1"/>
  <c r="AH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tc={7DD8992D-8495-4295-A874-D8F3974A26EB}</author>
  </authors>
  <commentList>
    <comment ref="A307" authorId="0" shapeId="0" xr:uid="{7DD8992D-8495-4295-A874-D8F3974A26EB}">
      <text>
        <t>[Threaded comment]
Your version of Excel allows you to read this threaded comment; however, any edits to it will get removed if the file is opened in a newer version of Excel. Learn more: https://go.microsoft.com/fwlink/?linkid=870924
Comment:
    C11 color?
and C12 color, rows? remember to update the name of the files to be true to their content</t>
      </text>
    </comment>
  </commentList>
</comments>
</file>

<file path=xl/sharedStrings.xml><?xml version="1.0" encoding="utf-8"?>
<sst xmlns="http://schemas.openxmlformats.org/spreadsheetml/2006/main" count="10667" uniqueCount="4113">
  <si>
    <t>Overall retention rate</t>
  </si>
  <si>
    <t>Retention rate</t>
  </si>
  <si>
    <t>Cohort 1</t>
  </si>
  <si>
    <t>Cohort 2</t>
  </si>
  <si>
    <t>Cohort 3</t>
  </si>
  <si>
    <t>Cohort 4</t>
  </si>
  <si>
    <t>Cohort 5</t>
  </si>
  <si>
    <t>Cohort 6</t>
  </si>
  <si>
    <t>Cohort 7</t>
  </si>
  <si>
    <t>Cohort 8</t>
  </si>
  <si>
    <t>Cohort 9</t>
  </si>
  <si>
    <t>Cohort 10</t>
  </si>
  <si>
    <t>Distribution active fellows by Cohort</t>
  </si>
  <si>
    <t>Count of Unique ID</t>
  </si>
  <si>
    <t>Current PhD Status ( Completed/Defended/In Progress)</t>
  </si>
  <si>
    <t>Cohort</t>
  </si>
  <si>
    <t>Completed</t>
  </si>
  <si>
    <t>In progress</t>
  </si>
  <si>
    <t>Terminated</t>
  </si>
  <si>
    <t>Grand Total</t>
  </si>
  <si>
    <t>-</t>
  </si>
  <si>
    <t>Count of S.No.</t>
  </si>
  <si>
    <t>Column Labels</t>
  </si>
  <si>
    <t>Row Labels</t>
  </si>
  <si>
    <t>Female</t>
  </si>
  <si>
    <t>Male</t>
  </si>
  <si>
    <t>Active fellows by institution of registration</t>
  </si>
  <si>
    <t>Active fellows by institution of employment</t>
  </si>
  <si>
    <t>Total</t>
  </si>
  <si>
    <t>Gender</t>
  </si>
  <si>
    <t>(All)</t>
  </si>
  <si>
    <t>University of Ibadan</t>
  </si>
  <si>
    <t>Institution of registration</t>
  </si>
  <si>
    <t>(blank)</t>
  </si>
  <si>
    <t>Institution of employment at registration</t>
  </si>
  <si>
    <t>Makerere University</t>
  </si>
  <si>
    <t>AGINCOURT</t>
  </si>
  <si>
    <t>Moi University</t>
  </si>
  <si>
    <t>APHRC</t>
  </si>
  <si>
    <t>Obafemi Awolowo University</t>
  </si>
  <si>
    <t>Ifakara Health Institute</t>
  </si>
  <si>
    <t>University of Dar es Salaam</t>
  </si>
  <si>
    <t>University of Nairobi</t>
  </si>
  <si>
    <t>University of Rwanda</t>
  </si>
  <si>
    <t>University of the Malawi</t>
  </si>
  <si>
    <t>University of the Witwatersrand</t>
  </si>
  <si>
    <t>University of Malawi</t>
  </si>
  <si>
    <t>Somali National University</t>
  </si>
  <si>
    <t>Kamuzu University of Health Sciences (formerly University of Malawi)</t>
  </si>
  <si>
    <t>Retention Rate</t>
  </si>
  <si>
    <t>Nationality</t>
  </si>
  <si>
    <t>Cohort 1-10 Demographics.xlsx]Fellows!A1:CJ266</t>
  </si>
  <si>
    <t>Kenya</t>
  </si>
  <si>
    <t>Malawi</t>
  </si>
  <si>
    <t>Nigeria</t>
  </si>
  <si>
    <t>Rwanda</t>
  </si>
  <si>
    <t>Senegal</t>
  </si>
  <si>
    <t>Somalia</t>
  </si>
  <si>
    <t>South Africa</t>
  </si>
  <si>
    <t>Tanzania</t>
  </si>
  <si>
    <t>Uganda</t>
  </si>
  <si>
    <t>Zimbabwe</t>
  </si>
  <si>
    <t>S.No.</t>
  </si>
  <si>
    <t>Unique ID</t>
  </si>
  <si>
    <t>First Name</t>
  </si>
  <si>
    <t>Middle Name</t>
  </si>
  <si>
    <t>Surname</t>
  </si>
  <si>
    <t>Discipline</t>
  </si>
  <si>
    <t>Department</t>
  </si>
  <si>
    <t>Registered at Home</t>
  </si>
  <si>
    <t>PhD Student Number at Host Institution</t>
  </si>
  <si>
    <t>Marital Status at enrolment</t>
  </si>
  <si>
    <t>Current Marital Status</t>
  </si>
  <si>
    <t>Marital Status at Completion</t>
  </si>
  <si>
    <t>Email</t>
  </si>
  <si>
    <t>Alternative e-mail</t>
  </si>
  <si>
    <t>Phone</t>
  </si>
  <si>
    <t>Masters Degree</t>
  </si>
  <si>
    <t>DOB</t>
  </si>
  <si>
    <t>Proposed Research Title</t>
  </si>
  <si>
    <t>Type of study</t>
  </si>
  <si>
    <t>Laboratory work?</t>
  </si>
  <si>
    <t>Type of data</t>
  </si>
  <si>
    <t>Ranking</t>
  </si>
  <si>
    <t>Date of PhD registration</t>
  </si>
  <si>
    <t>Year of admission into CARTA</t>
  </si>
  <si>
    <t>1st Supervisors</t>
  </si>
  <si>
    <t>2nd Supervisor</t>
  </si>
  <si>
    <t>3rd Supervisor</t>
  </si>
  <si>
    <t>Number of supervisors</t>
  </si>
  <si>
    <t>Institution for 1st Supervisor</t>
  </si>
  <si>
    <t>Institution for 2nd Supervisor</t>
  </si>
  <si>
    <t>Institution for 3rd Supervisor</t>
  </si>
  <si>
    <t>1st Supervisors workshop Attendance</t>
  </si>
  <si>
    <t>2nd Supervisors workshop Attendance</t>
  </si>
  <si>
    <t>3rd Supervisors workshop Attendance</t>
  </si>
  <si>
    <t>Type of employment</t>
  </si>
  <si>
    <t>Position at Enrollment</t>
  </si>
  <si>
    <t xml:space="preserve">Current Position </t>
  </si>
  <si>
    <t>Promotion event</t>
  </si>
  <si>
    <t>Other responsibilities</t>
  </si>
  <si>
    <t>Current Institution (Year of change in ())</t>
  </si>
  <si>
    <t>ORCID</t>
  </si>
  <si>
    <t>Suspensions</t>
  </si>
  <si>
    <t>Month/ Year JAS1</t>
  </si>
  <si>
    <t>Month/ Year JAS2</t>
  </si>
  <si>
    <t>Attended JAS 2 on time</t>
  </si>
  <si>
    <t>Date of protocol submission to PG</t>
  </si>
  <si>
    <t>Date of protocol submission to IRB</t>
  </si>
  <si>
    <t>Date of Ethics approval</t>
  </si>
  <si>
    <t>Review body</t>
  </si>
  <si>
    <t>Ethiical reference number</t>
  </si>
  <si>
    <t>Approcved research topic</t>
  </si>
  <si>
    <t>Month/ Year JAS3</t>
  </si>
  <si>
    <t>Attended JAS 3 on time</t>
  </si>
  <si>
    <t>Month/ Year JAS4</t>
  </si>
  <si>
    <t>Attended JAS 4 on time</t>
  </si>
  <si>
    <t>Date of submission of dissertation for examination</t>
  </si>
  <si>
    <t>Date of defense</t>
  </si>
  <si>
    <t>Date of submission of corrections</t>
  </si>
  <si>
    <t>Date of completion(Defended/Graduated)</t>
  </si>
  <si>
    <t xml:space="preserve">Time to completion since enrolling CARTA (Months) </t>
  </si>
  <si>
    <t xml:space="preserve">Time to completion since PhD registration (Months) </t>
  </si>
  <si>
    <t>Thesis title</t>
  </si>
  <si>
    <t>No of Publications at Enrollment</t>
  </si>
  <si>
    <t xml:space="preserve">No of Publications During PhD </t>
  </si>
  <si>
    <t>No of Publications after PhD</t>
  </si>
  <si>
    <t>1st Author PhD  Publications</t>
  </si>
  <si>
    <t>Last Author PhD Publications</t>
  </si>
  <si>
    <t>1st Author Graduate  Publications</t>
  </si>
  <si>
    <t>Last Author  Graduate Publications</t>
  </si>
  <si>
    <t>Baby Minder (Event, Year)</t>
  </si>
  <si>
    <t>Taken on leave of absence (Yes/No)</t>
  </si>
  <si>
    <t>Reason for taking leave of absence</t>
  </si>
  <si>
    <t>Leave start Date</t>
  </si>
  <si>
    <t>Leave end Date</t>
  </si>
  <si>
    <t>Time taken on leave (months)</t>
  </si>
  <si>
    <t>Teacher Replacement</t>
  </si>
  <si>
    <t>Teacher replacement start Date</t>
  </si>
  <si>
    <t>Teacher replacement end Date</t>
  </si>
  <si>
    <t>No. of Children at Entry in CARTA</t>
  </si>
  <si>
    <t>No. of children at graduation</t>
  </si>
  <si>
    <t>No of Publications for Graduation</t>
  </si>
  <si>
    <t>Fellow Funder</t>
  </si>
  <si>
    <t>C1/001</t>
  </si>
  <si>
    <t>Babatunde</t>
  </si>
  <si>
    <t>Olubayo</t>
  </si>
  <si>
    <t>Adedokun</t>
  </si>
  <si>
    <t>Epidemiology &amp; Medical Biostatistics</t>
  </si>
  <si>
    <t>Epidemiology and Medical Statistics</t>
  </si>
  <si>
    <t>Yes</t>
  </si>
  <si>
    <t>Married</t>
  </si>
  <si>
    <t>badedokun@cartafrica.org</t>
  </si>
  <si>
    <t>tukankar@yahoo.co.uk</t>
  </si>
  <si>
    <t>M.Sc Epidemiology &amp; Medical Statistics</t>
  </si>
  <si>
    <t>Joint modelling of CD4 counts and time to loss to follow up among HIV patients attending antiretroviral clinics in Nigeria</t>
  </si>
  <si>
    <t>Clinical research</t>
  </si>
  <si>
    <t>yes</t>
  </si>
  <si>
    <t>Primary</t>
  </si>
  <si>
    <t>Prof Afolabi Bamgboye</t>
  </si>
  <si>
    <t>Prof. Olusola Ayeni</t>
  </si>
  <si>
    <t>Home</t>
  </si>
  <si>
    <t>Host</t>
  </si>
  <si>
    <t>No</t>
  </si>
  <si>
    <t>Academic</t>
  </si>
  <si>
    <t xml:space="preserve">Lecturer </t>
  </si>
  <si>
    <t>UNIVERSITY OF CHICAGO, UNITED STATES</t>
  </si>
  <si>
    <t>0000-0002-6893-6468</t>
  </si>
  <si>
    <t>NF</t>
  </si>
  <si>
    <t>C1/002</t>
  </si>
  <si>
    <t>Celine</t>
  </si>
  <si>
    <t>Niwemahoro</t>
  </si>
  <si>
    <t>Demography &amp; Population Studies</t>
  </si>
  <si>
    <t>Applied Statistics</t>
  </si>
  <si>
    <t>cniwemahoro@cartafrica.org</t>
  </si>
  <si>
    <t>ncmahoro2000@yahoo.fr</t>
  </si>
  <si>
    <t>+250788350522/254723489604</t>
  </si>
  <si>
    <t>Masters in Demography and Population Studies (online)</t>
  </si>
  <si>
    <t>Premarital Fertility and Use Of Health Care: Effect On HIV And Prevention Mother-To-Child Transmission (PMTCT) In Rwanda</t>
  </si>
  <si>
    <t>Field</t>
  </si>
  <si>
    <t>Dr. Julius Kivelia</t>
  </si>
  <si>
    <t>Assistant Lecturer</t>
  </si>
  <si>
    <t>Researcher</t>
  </si>
  <si>
    <t>SCUB - CONSULTANCY FIRM NAIROBI</t>
  </si>
  <si>
    <t>0000-0003-2008-3061</t>
  </si>
  <si>
    <t>Premarital pregnancies and experiences in antenatal care health seeking behavior in Huye District, Rwanda</t>
  </si>
  <si>
    <t>C1/003</t>
  </si>
  <si>
    <t>Caroline</t>
  </si>
  <si>
    <t>Sultan</t>
  </si>
  <si>
    <t>Sambai</t>
  </si>
  <si>
    <t>Literature</t>
  </si>
  <si>
    <t>LITERATURE THEATRE AND FILM STUDIES</t>
  </si>
  <si>
    <t>SASS/DPHIL/LIT/07/11</t>
  </si>
  <si>
    <t/>
  </si>
  <si>
    <t>csambai@cartafrica.org</t>
  </si>
  <si>
    <t>carolsambai11@gmail.com</t>
  </si>
  <si>
    <t>+254722433561</t>
  </si>
  <si>
    <t>MA in Africa Literature</t>
  </si>
  <si>
    <t>Television Drama as in Kenya and the Framing of Issues of HIV/AIDS and sexuality</t>
  </si>
  <si>
    <t>Prof Christopher Joseph Odhiambo</t>
  </si>
  <si>
    <t>Prof. Peter Tirop Simatei</t>
  </si>
  <si>
    <t>Caroline Kabiru</t>
  </si>
  <si>
    <t>Other</t>
  </si>
  <si>
    <t>Lecturer</t>
  </si>
  <si>
    <t>MOI UNIVERSITY</t>
  </si>
  <si>
    <t>0000-0002-5122-3621</t>
  </si>
  <si>
    <t>JAS 2, 2011</t>
  </si>
  <si>
    <t>C1/004</t>
  </si>
  <si>
    <t>Dieudonne</t>
  </si>
  <si>
    <t>Uwizeye</t>
  </si>
  <si>
    <t>Sustainable Development</t>
  </si>
  <si>
    <t>duwizeye@cartafrica.org</t>
  </si>
  <si>
    <t>dr.uwizeye@gmail.com</t>
  </si>
  <si>
    <t>(+250) 0788 457 397</t>
  </si>
  <si>
    <t>MA English and MA in Development Studies</t>
  </si>
  <si>
    <t>Review Of Environmental And Population Health Challenges In The Rwandan Towns And Innovative Mitigation Strategies For Improved And Sustainble life</t>
  </si>
  <si>
    <t>Dr. Sokoni Cosmas Hassan</t>
  </si>
  <si>
    <t>Associate Professor</t>
  </si>
  <si>
    <t>Head of Department
 Deputy Team Leader of a Research Subprogram in Peace, Conflict and Security Studies at the Center for Conflict Management, University of Rwanda.</t>
  </si>
  <si>
    <t>UNIVERSITY OF RWANDA</t>
  </si>
  <si>
    <t>0000-0002-9733-8969</t>
  </si>
  <si>
    <t>C1/005</t>
  </si>
  <si>
    <t>Wells</t>
  </si>
  <si>
    <t>Utembe</t>
  </si>
  <si>
    <t>Environmental Sciences</t>
  </si>
  <si>
    <t>Physics and Biochemical Sciences</t>
  </si>
  <si>
    <t>wutembe@cartafrica.org</t>
  </si>
  <si>
    <t>wutembe@poly.ac.mw</t>
  </si>
  <si>
    <t>Msc Environemntal (online)</t>
  </si>
  <si>
    <t>Assessment of occurrence, profile, distribution and exposure to polycyclic aromatic hydrocarbons (PAHs) in Malawi</t>
  </si>
  <si>
    <t>Prof Mary Gulumian</t>
  </si>
  <si>
    <t>Dr. Louisa Alfazema</t>
  </si>
  <si>
    <t xml:space="preserve">Senior Medical Epidemiologist 
</t>
  </si>
  <si>
    <t>NATIONAL INSTITUTE FOR OCCUPATIONAL HEALTH, SOUTH AFRICA (2012)</t>
  </si>
  <si>
    <t>0000-0001-6547-7692</t>
  </si>
  <si>
    <t>C1/006</t>
  </si>
  <si>
    <t>Victoria</t>
  </si>
  <si>
    <t>Mathew</t>
  </si>
  <si>
    <t>Mwakalinga Chuma</t>
  </si>
  <si>
    <t>Biomedical and environmental sciences</t>
  </si>
  <si>
    <t>married</t>
  </si>
  <si>
    <t>vmwakalinga@cartafrica.org</t>
  </si>
  <si>
    <t xml:space="preserve">vmwakalinga@ihi.or.tz </t>
  </si>
  <si>
    <t>+255 738 357315; +255 767 366 539</t>
  </si>
  <si>
    <t>Msc Urban Planing and Management</t>
  </si>
  <si>
    <t>Integrated geographical tools can enable targeted urban planning interventions to control malaria and lymphatic filariasis</t>
  </si>
  <si>
    <t>Dr. Maureen Coetzee</t>
  </si>
  <si>
    <t>Dr. Gerry Killeen</t>
  </si>
  <si>
    <t>Dr. Stefan Dongus</t>
  </si>
  <si>
    <t>Assistant lecturer</t>
  </si>
  <si>
    <t>Senior Lecturer</t>
  </si>
  <si>
    <t>ARTHI UNIVERSITY</t>
  </si>
  <si>
    <t>JAS 1, 2011</t>
  </si>
  <si>
    <t>C1/007</t>
  </si>
  <si>
    <t>Esnat</t>
  </si>
  <si>
    <t>Dorothy</t>
  </si>
  <si>
    <t>Chirwa</t>
  </si>
  <si>
    <t>Mathematical Sciences</t>
  </si>
  <si>
    <t>DPHRU Wits</t>
  </si>
  <si>
    <t>echirwa@cartafrica.org</t>
  </si>
  <si>
    <t>echirwa@chanco.unima.mw
 edkwalira@yahoo.com,</t>
  </si>
  <si>
    <t>Masters in Biometry (online)</t>
  </si>
  <si>
    <t>Modelling longitudinal child growth within the Birth to Twenty (Soweto) and Lungwena (Mangochi, Malawi) cohorts</t>
  </si>
  <si>
    <t>Prof Shane Norris</t>
  </si>
  <si>
    <t>Dr. Paula Griffiths</t>
  </si>
  <si>
    <t>Assoc Prof. Ken Maleta</t>
  </si>
  <si>
    <t>Senior Biostatistician</t>
  </si>
  <si>
    <t xml:space="preserve">SOUTH AFRICA MEDICAL RESEARCH COUNCIL </t>
  </si>
  <si>
    <t>0000-0003-0471-4978</t>
  </si>
  <si>
    <t>C1/008</t>
  </si>
  <si>
    <t>Taofeek</t>
  </si>
  <si>
    <t>Oluwole</t>
  </si>
  <si>
    <t>Awotidebe</t>
  </si>
  <si>
    <t>Exercise Physiology</t>
  </si>
  <si>
    <t>Human Kinetics and Health Education</t>
  </si>
  <si>
    <t>tawotidebe@cartafrica.org</t>
  </si>
  <si>
    <t>tidebet@yahoo.com</t>
  </si>
  <si>
    <t>+2348037196021</t>
  </si>
  <si>
    <t>M.SC Physiotherapy</t>
  </si>
  <si>
    <t>Cardiovascular Risk Profile And Physical Activity Level of Residents of a Semi – Urban Community  In Nigeria</t>
  </si>
  <si>
    <t>Professor Babalola Joseph Folorunso</t>
  </si>
  <si>
    <t>Professor Lateef Babatunde Salako</t>
  </si>
  <si>
    <t xml:space="preserve">Other </t>
  </si>
  <si>
    <t xml:space="preserve">Lecturer II </t>
  </si>
  <si>
    <t>Vice Dean of the  Faculty of Basic Medical Sciences, College of Health Sciences</t>
  </si>
  <si>
    <t>OBAFEMI AWOLOWO UNIVERSITY</t>
  </si>
  <si>
    <t>0000-0002-8583-9467</t>
  </si>
  <si>
    <t>C1/009</t>
  </si>
  <si>
    <t>Fresier</t>
  </si>
  <si>
    <t>Maseko</t>
  </si>
  <si>
    <t>Community Health</t>
  </si>
  <si>
    <t>Department of Community Health</t>
  </si>
  <si>
    <t>fmaseko@cartafrica.org</t>
  </si>
  <si>
    <t xml:space="preserve">fcmaseko@yahoo.com
 fmaseko@medcol.mw </t>
  </si>
  <si>
    <t>Master of Public Health(online)</t>
  </si>
  <si>
    <t>Maximizing utilization of cervical cancer prevention services in South East Health Zone of Malawi. What would it take?</t>
  </si>
  <si>
    <t>Dr. Maureen Leah Chirwa</t>
  </si>
  <si>
    <t>Dr. Adamson Muula</t>
  </si>
  <si>
    <t>UNIVERSITY OF MALAWI</t>
  </si>
  <si>
    <t>0000-0002-0996-4207</t>
  </si>
  <si>
    <t>C1/010</t>
  </si>
  <si>
    <t>François</t>
  </si>
  <si>
    <t>Niragire</t>
  </si>
  <si>
    <t>Statistics</t>
  </si>
  <si>
    <t>fniragire@cartafrica.org</t>
  </si>
  <si>
    <t xml:space="preserve"> fniragire@ur.ac.rw; fniragiree@gmail.com; fniragire@gmail.com</t>
  </si>
  <si>
    <t>+250 78 8273787/+250787427688</t>
  </si>
  <si>
    <t>MSc. In Social Statistics</t>
  </si>
  <si>
    <t>Spatial modeling of the relationship between HIV prevalence and socioeconomic determinants of child mortality in Rwanda.</t>
  </si>
  <si>
    <t>Secondary</t>
  </si>
  <si>
    <t>Dr. Thomas N. O. Achia</t>
  </si>
  <si>
    <t>Dr. Lyambabaje Alexandre</t>
  </si>
  <si>
    <t>Joseph Ntaganira</t>
  </si>
  <si>
    <t xml:space="preserve">Professor </t>
  </si>
  <si>
    <t>Director of Teaching and Learning,
Director of Research and Innovation at he College of Business and Economics (2022)</t>
  </si>
  <si>
    <t>0000-0003-0473-387</t>
  </si>
  <si>
    <t>Spatial modelling of the relationship between HIV prevalence and determinants of child
mortality in Rwanda</t>
  </si>
  <si>
    <t>C1/011</t>
  </si>
  <si>
    <t>Joshua</t>
  </si>
  <si>
    <t>Odunayo</t>
  </si>
  <si>
    <t>Akinyemi</t>
  </si>
  <si>
    <t>Epidemiology &amp; Medical Statistics</t>
  </si>
  <si>
    <t>Single</t>
  </si>
  <si>
    <t>jakinyemi@cartafrica.org</t>
  </si>
  <si>
    <t>odunjoshua@yahoo.com
 joakinyemi@com.ui.edu.ng</t>
  </si>
  <si>
    <t>+234-8077677427</t>
  </si>
  <si>
    <t>MSc (Medical Statistics)</t>
  </si>
  <si>
    <t>Levels, Trends and Differentials of Infant and Child Mortality in Nigeria: 1990 - 2008</t>
  </si>
  <si>
    <t>UNIVERSITY OF IBADAN</t>
  </si>
  <si>
    <t>0000-0002-0675-2110</t>
  </si>
  <si>
    <t>Levels, Trends and Differentials in Under-five Mortality in 
Nigeria (1990-2008)</t>
  </si>
  <si>
    <t>C1/012</t>
  </si>
  <si>
    <t>Mphatso</t>
  </si>
  <si>
    <t>Steve Wilbes</t>
  </si>
  <si>
    <t>Kamndaya</t>
  </si>
  <si>
    <t>Mathematics and Statistics</t>
  </si>
  <si>
    <t>mkamndaya@cartafrica.org</t>
  </si>
  <si>
    <t>kamndayam@yahoo.com</t>
  </si>
  <si>
    <t>+265999851477</t>
  </si>
  <si>
    <t>MSc Mathematical Statistics</t>
  </si>
  <si>
    <t xml:space="preserve">Modeling indoor air pollution to improve health delivery systems and public health in Malawi </t>
  </si>
  <si>
    <t>Lawrence N.M. Kazembe</t>
  </si>
  <si>
    <t>Dr. Liz Thomas</t>
  </si>
  <si>
    <t xml:space="preserve">Associate Professor </t>
  </si>
  <si>
    <t>0000-0002-7597-3339</t>
  </si>
  <si>
    <t>Multilevel analysis of determinants of HIV- related sexual risks-taking and decision making among youths in urban informal settlements in Malawi and South Africa</t>
  </si>
  <si>
    <t>C1/013</t>
  </si>
  <si>
    <t>Esther</t>
  </si>
  <si>
    <t>Clyde</t>
  </si>
  <si>
    <t>Nabakwe</t>
  </si>
  <si>
    <t>Pediatrics &amp; Child health</t>
  </si>
  <si>
    <t>nabakwe@cartafrica.org</t>
  </si>
  <si>
    <t>echirwa@chanco.unima.mw
edkwalira@yahoo.com</t>
  </si>
  <si>
    <t>M.Med Paediatrics</t>
  </si>
  <si>
    <t>Socio-cultural and economic determinants of HIV mothers' knowledge, attitude and practise of current WHO infant feeding policy and the impact on infants' outcome</t>
  </si>
  <si>
    <t>Prof Joshua Akong’a</t>
  </si>
  <si>
    <t>Dr. Grace Ettyang</t>
  </si>
  <si>
    <t>0000-0002-0401-3373</t>
  </si>
  <si>
    <t>Sex and young people in urban slums: Exploring the material
deprivation and sexual risk nexus in
Malawi and South Africa</t>
  </si>
  <si>
    <t>C1/014</t>
  </si>
  <si>
    <t>Nicole</t>
  </si>
  <si>
    <t>De Wet</t>
  </si>
  <si>
    <t>Demography</t>
  </si>
  <si>
    <t>Demography and Population Studies</t>
  </si>
  <si>
    <t>0211542Y</t>
  </si>
  <si>
    <t>ndewet@cartafrica.org</t>
  </si>
  <si>
    <t>nicole.dewet@wits.ac.za
Nic_dewet@yahoo.com</t>
  </si>
  <si>
    <t>Master of Arts Demography and Population Studies</t>
  </si>
  <si>
    <t>Domestic Violence and child health outcomes: An investigation into the relationship between frequency of abuse and negative child health outcomes in two African countries.</t>
  </si>
  <si>
    <t>Prof Clifford Odimegwu</t>
  </si>
  <si>
    <t>Tutor</t>
  </si>
  <si>
    <t>Assistant Dean for Postgraduate Studies, Faculty of Humanities</t>
  </si>
  <si>
    <t>UNIVERSITY OF THE WITWATERSRAND</t>
  </si>
  <si>
    <t>0000-0001-5750-2851</t>
  </si>
  <si>
    <t>C1/015</t>
  </si>
  <si>
    <t>Kennedy</t>
  </si>
  <si>
    <t>S.Naviava</t>
  </si>
  <si>
    <t>Otwombe</t>
  </si>
  <si>
    <t> Epidemiology &amp; Medical Biostatistics</t>
  </si>
  <si>
    <t>Perinatal HIV Research Unit, Dept. Data and Statistics</t>
  </si>
  <si>
    <t>otwombek@phru.co.za</t>
  </si>
  <si>
    <t>M.Sc Mathematical statistics</t>
  </si>
  <si>
    <t>Use of frailty modeling with arbitrary censoring in determining predictors of mortality for a Clinical researchized HIV positive population in South Africa</t>
  </si>
  <si>
    <t>Dr. Tobias Chirwa</t>
  </si>
  <si>
    <t>Dr. Guy de Bruyn</t>
  </si>
  <si>
    <t>Senior Statistician</t>
  </si>
  <si>
    <t>0000-0002-7433-4383</t>
  </si>
  <si>
    <t>C1/016</t>
  </si>
  <si>
    <t>Peter</t>
  </si>
  <si>
    <t>Suriwakenda</t>
  </si>
  <si>
    <t>Nyasulu</t>
  </si>
  <si>
    <t>Division of Epidemiology &amp; Medical Biostatistics</t>
  </si>
  <si>
    <t>pnyasulu@cartafrica.org</t>
  </si>
  <si>
    <t>Peter.Nyasulu@wits.ac.za</t>
  </si>
  <si>
    <t>M.Sc (Medicine)</t>
  </si>
  <si>
    <t>Surveillance of antimicrobial susceptibility patterns among pathogens isolated in public sector Clinical researchs associated with academic institutions, South Africa during a 5 year period 2005-2009</t>
  </si>
  <si>
    <t>Clinical research - Retrospective</t>
  </si>
  <si>
    <t>Prof Jill Murray</t>
  </si>
  <si>
    <t>Prof. Hendrik J. Koornhof</t>
  </si>
  <si>
    <t>Dr. Olga Perovic</t>
  </si>
  <si>
    <t>STELLENBOSCH UNIVERSITY</t>
  </si>
  <si>
    <t>0000-0003-2757-0663</t>
  </si>
  <si>
    <t>C1/017</t>
  </si>
  <si>
    <t>Rose</t>
  </si>
  <si>
    <t>Okoyo</t>
  </si>
  <si>
    <t>Opiyo</t>
  </si>
  <si>
    <t>Nutrition</t>
  </si>
  <si>
    <t>Food Science, Nutrition and Technology</t>
  </si>
  <si>
    <t>A80/82301/2011</t>
  </si>
  <si>
    <t>ropiyo@cartafrica.org</t>
  </si>
  <si>
    <t>roseopiyo@uonbi.ac.ke
 roseopiyo04@yahoo.co.uk</t>
  </si>
  <si>
    <t>+254 722473122</t>
  </si>
  <si>
    <t>Msc Applied Human Nutrition</t>
  </si>
  <si>
    <t>Effect of Omega-3 Fatty Acids (Fish Oil) Supplementation along with Diet on Depression and Nutrition Status of HIV-Seropositive and HIV-Seronegative Pregnant Mothers among Low-income Urban Population in Nairobi</t>
  </si>
  <si>
    <t>Clinical research - RCT</t>
  </si>
  <si>
    <t>Prof. Wambui Kogi-Makau</t>
  </si>
  <si>
    <t>Prof. Koigi R. Kamau</t>
  </si>
  <si>
    <t>Dr. Anne Obondo</t>
  </si>
  <si>
    <t xml:space="preserve"> Lecturer</t>
  </si>
  <si>
    <t>Member of  College of Health Sciences, University of Nairobi Committee on Guidelines for PhD Equivalent Qualifications for Clinicians.</t>
  </si>
  <si>
    <t>UNIVERSITY OF NAIROBI</t>
  </si>
  <si>
    <t>0000-0003-1885-9991</t>
  </si>
  <si>
    <t>Effect of fish oil Omega- 3 fatty acids on reduction of depressive symptoms among HIV - seropositive pregnant women</t>
  </si>
  <si>
    <t>C1/018</t>
  </si>
  <si>
    <t>Sunday</t>
  </si>
  <si>
    <t>Adepoju</t>
  </si>
  <si>
    <t>Adedini</t>
  </si>
  <si>
    <t>sadedini@cartafrica.org</t>
  </si>
  <si>
    <t>sunday.adedini@gmail.com
adedinisunday@yahoo.com</t>
  </si>
  <si>
    <t>+234-803 397 7498</t>
  </si>
  <si>
    <t xml:space="preserve">M.Sc Demography and Social Statistics </t>
  </si>
  <si>
    <t>Multilevel Analysis of Determinants of Infant and Child Mortality in West Africa</t>
  </si>
  <si>
    <t>Dr. Samson Bamiwuye</t>
  </si>
  <si>
    <t>Head Demographer; Head of Demography and Social Statistics (2021)</t>
  </si>
  <si>
    <t>FEDERAL UNIVERSITY, OYE-EKITI (2020)</t>
  </si>
  <si>
    <t>0000-0003-0378-1941</t>
  </si>
  <si>
    <t>C1/019</t>
  </si>
  <si>
    <t>Sulaimon</t>
  </si>
  <si>
    <t>Taiwo</t>
  </si>
  <si>
    <t>Demography and Social Statistics</t>
  </si>
  <si>
    <t>sadedokun@cartafrica.org</t>
  </si>
  <si>
    <t>adedokunsulait@gmail.com</t>
  </si>
  <si>
    <t>+2348051398276</t>
  </si>
  <si>
    <t>Maternal and Socio-demographic Correlates of Under-five Mortality in Yobe State, Nigeria</t>
  </si>
  <si>
    <t>Ogunjuyigbe Peter Olasupo</t>
  </si>
  <si>
    <t>Lecturer II</t>
  </si>
  <si>
    <t>0000-0003-0021-8045</t>
  </si>
  <si>
    <t>Comparative analysis of the factors accounting for under-five mortality differentials in North East and South West of Nigeria</t>
  </si>
  <si>
    <t>C1/020</t>
  </si>
  <si>
    <t>Atolagbe</t>
  </si>
  <si>
    <t>Afolabi</t>
  </si>
  <si>
    <t>0607789e</t>
  </si>
  <si>
    <t>safolabi@cartafrica.org</t>
  </si>
  <si>
    <t>afolaborn@gmail.com</t>
  </si>
  <si>
    <t>+2771718311</t>
  </si>
  <si>
    <t>MA in Demography and Population studies</t>
  </si>
  <si>
    <t>License to move: a longitudinal study of migration and its relation to HIV and TB in high mortality post-apartheid South Africa.</t>
  </si>
  <si>
    <t>Dr. Mark Collinson</t>
  </si>
  <si>
    <t>Prof. Philippe Bocquier</t>
  </si>
  <si>
    <t>Lead Data Scientist</t>
  </si>
  <si>
    <t>0000-0001-9382-6386</t>
  </si>
  <si>
    <t>Deceased 15/02/2021</t>
  </si>
  <si>
    <t>C1/022</t>
  </si>
  <si>
    <t>Theresa</t>
  </si>
  <si>
    <t>Njeri</t>
  </si>
  <si>
    <t>Kinyari</t>
  </si>
  <si>
    <t>C1/023</t>
  </si>
  <si>
    <t xml:space="preserve">Peter </t>
  </si>
  <si>
    <t xml:space="preserve">Mwamba </t>
  </si>
  <si>
    <t>Maturi</t>
  </si>
  <si>
    <t>C1/024</t>
  </si>
  <si>
    <t>Jaclkline</t>
  </si>
  <si>
    <t>Halima</t>
  </si>
  <si>
    <t>Mgumia</t>
  </si>
  <si>
    <t>C2/001</t>
  </si>
  <si>
    <t>Adebolajo</t>
  </si>
  <si>
    <t>Adeyemo</t>
  </si>
  <si>
    <t>Epidemiology</t>
  </si>
  <si>
    <t>aadeyemo@cartafrica.org</t>
  </si>
  <si>
    <t>adebolajo@hotmail.com</t>
  </si>
  <si>
    <t>M.Sc Immunology</t>
  </si>
  <si>
    <t>Genetic epidemiology in Nigeria</t>
  </si>
  <si>
    <t>Prof. Odunayo Moronfoluwa Oluwatosin</t>
  </si>
  <si>
    <t>Prof. Omotade Olayemi Olufemi-Julius</t>
  </si>
  <si>
    <t>Senior Medical Research Fellow</t>
  </si>
  <si>
    <t>0000-0002-7486-5758</t>
  </si>
  <si>
    <t>C2/002</t>
  </si>
  <si>
    <t>Alinane Linda</t>
  </si>
  <si>
    <t>Nyondo-Mipando</t>
  </si>
  <si>
    <t>Health Systems and Policy</t>
  </si>
  <si>
    <t>alinda@cartafrica.org</t>
  </si>
  <si>
    <t>lindaalinane@gmail.com</t>
  </si>
  <si>
    <t>+265 999 44 1212</t>
  </si>
  <si>
    <t>Master of Nursing (Community Health) Online</t>
  </si>
  <si>
    <t>The feasibility of male involvement in Prevention of Mother to Child Transmission of HIV services in Malawi.</t>
  </si>
  <si>
    <t>Dr. Angela Chimwaza</t>
  </si>
  <si>
    <t>Project Coordinator</t>
  </si>
  <si>
    <t>Deputy Dean, SPH and coordinator of Postgraduate Programs, School of Governance</t>
  </si>
  <si>
    <t xml:space="preserve">
UNIVERSITY OF LIVERPOOL, DEPARTMENT OF WOMEN'S AND CHILDREN'S HEALTH (2022)</t>
  </si>
  <si>
    <t> 0000-0002-3572-3810</t>
  </si>
  <si>
    <t>FF</t>
  </si>
  <si>
    <t>C2/003</t>
  </si>
  <si>
    <t>Austin</t>
  </si>
  <si>
    <t>Henderson</t>
  </si>
  <si>
    <t>Mtethiwa</t>
  </si>
  <si>
    <t>amtethiwa@cartafrica.org</t>
  </si>
  <si>
    <t>+265888316331</t>
  </si>
  <si>
    <t>M. Sc Limnology &amp; Wetland Ecosystems</t>
  </si>
  <si>
    <t>Contribution of domestic waste water treatment plants to proliferation of schistosomiasis and pollution of aquatic resources and ability herbaceous plants for waste water treatment</t>
  </si>
  <si>
    <t>Wilson Mandala</t>
  </si>
  <si>
    <t>Dr. Lucy Namkinga</t>
  </si>
  <si>
    <t>0000-0003-0793-5186</t>
  </si>
  <si>
    <t>CARNEGIE 2</t>
  </si>
  <si>
    <t>C2/004</t>
  </si>
  <si>
    <t>Diana</t>
  </si>
  <si>
    <t>Menya</t>
  </si>
  <si>
    <t>Medical Epidemiology</t>
  </si>
  <si>
    <t>Library</t>
  </si>
  <si>
    <t>dmenya@cartafrica.org</t>
  </si>
  <si>
    <t>dianamenya@gmail.com</t>
  </si>
  <si>
    <t>+254 720352579/+254 733777500</t>
  </si>
  <si>
    <t>MSc. Clinical Epidemiology</t>
  </si>
  <si>
    <t>unkown</t>
  </si>
  <si>
    <t>Prof. Odipo Osano</t>
  </si>
  <si>
    <t>Prof Rafael Carel</t>
  </si>
  <si>
    <t>000 0000337081871</t>
  </si>
  <si>
    <t>Behavioral, Nutritional and Environmental Factors
associated with Esophageal Cancer in western Kenya</t>
  </si>
  <si>
    <t>C2/005</t>
  </si>
  <si>
    <t>Evaline</t>
  </si>
  <si>
    <t>Mcharo</t>
  </si>
  <si>
    <t>Geography</t>
  </si>
  <si>
    <t>emcharo@cartafrica.org</t>
  </si>
  <si>
    <t>mcharoevaline@gmail.com;
evalinemcharo@yahoo.co.uk</t>
  </si>
  <si>
    <t>MA in demography (online)</t>
  </si>
  <si>
    <t>Socioeconomic determinants of unsafe abortion and its implication to women in Tanzania.</t>
  </si>
  <si>
    <t>Dr. Lawrence Ikamari</t>
  </si>
  <si>
    <t>Dr. Alfred Agwanda Otieno</t>
  </si>
  <si>
    <t>UNIVERSITY OF DAR ES SALAAM</t>
  </si>
  <si>
    <t>WT</t>
  </si>
  <si>
    <t>C2/006</t>
  </si>
  <si>
    <t>Stephen</t>
  </si>
  <si>
    <t>Ojiambo</t>
  </si>
  <si>
    <t>Wandera</t>
  </si>
  <si>
    <t>Department of Population Studies</t>
  </si>
  <si>
    <t>swandera@cartafrica.org</t>
  </si>
  <si>
    <t>swandera@gmail.com</t>
  </si>
  <si>
    <t>+256774976879</t>
  </si>
  <si>
    <t>M.Sc Population &amp; Reproductive Health</t>
  </si>
  <si>
    <t>Intergenerational Support and Health of the Ageing Population In Rural Uganda</t>
  </si>
  <si>
    <t>Dr. James Ntozi</t>
  </si>
  <si>
    <t>Dr. Betty Kwagala</t>
  </si>
  <si>
    <t>Head of Department</t>
  </si>
  <si>
    <t>MAKERERE UNIVERISTY</t>
  </si>
  <si>
    <t>0000-0002-5617-0274</t>
  </si>
  <si>
    <t>Disaparities in health and access to healthcare among older persons in Uganda</t>
  </si>
  <si>
    <t>C2/007</t>
  </si>
  <si>
    <t>Adeniyi</t>
  </si>
  <si>
    <t>Francis</t>
  </si>
  <si>
    <t>Fagbamigbe</t>
  </si>
  <si>
    <t>BIOSTATISTICS</t>
  </si>
  <si>
    <t>EPIDEMIOLOGY AND MEDICAL STATISTICS</t>
  </si>
  <si>
    <t>fadeniyi@cartafrica.org</t>
  </si>
  <si>
    <t>franstel74@yahoo.com</t>
  </si>
  <si>
    <t>+2348061348165</t>
  </si>
  <si>
    <t>Masters in medical statistics</t>
  </si>
  <si>
    <t>Modeling association between bivariate censored outcomes: a case study of bipolar disorder</t>
  </si>
  <si>
    <t>Prof. Elijah Afolabi Bamgboye</t>
  </si>
  <si>
    <t>0000-0001-9184-8258</t>
  </si>
  <si>
    <t>MAC</t>
  </si>
  <si>
    <t>C2/008</t>
  </si>
  <si>
    <t>Tumwine</t>
  </si>
  <si>
    <t>Gabriel</t>
  </si>
  <si>
    <t>gtumwine@cartafrica.org</t>
  </si>
  <si>
    <t xml:space="preserve">gtumwine@vetmed.mak.ac.ug; tumwinegabriel@gmail.com 
</t>
  </si>
  <si>
    <t>+256782194819</t>
  </si>
  <si>
    <t>M.Sc Molecular Biology</t>
  </si>
  <si>
    <t>Malaria and filariasis co-infection during pregnancy in high malaria transmission areas of Uganda: Impacts on pregnancy outcomes, immune response and antifolates effects</t>
  </si>
  <si>
    <t>Dr. Enock Matovu</t>
  </si>
  <si>
    <t>Dr. Jean Langhorne</t>
  </si>
  <si>
    <t>Teaching Assistant</t>
  </si>
  <si>
    <t>MAKERERE UNIVERSITY</t>
  </si>
  <si>
    <t>0000-0003-3338-5333</t>
  </si>
  <si>
    <t>C2/009</t>
  </si>
  <si>
    <t>Herbert</t>
  </si>
  <si>
    <t>Hudson</t>
  </si>
  <si>
    <t>Longwe</t>
  </si>
  <si>
    <t>hlongwe@cartafrica.org</t>
  </si>
  <si>
    <t>Herbert.longwe@gmail.com,  hlongwe@medcol.mw </t>
  </si>
  <si>
    <t>Master of Philosophy (Tropical Medicine).</t>
  </si>
  <si>
    <t xml:space="preserve">Investigating the effect of daily cotrimoxazole prophylaxis on the acquisition of malaria specific immunity in HIV exposed children and HIV infected children </t>
  </si>
  <si>
    <t>Dr. Wilson Mandala</t>
  </si>
  <si>
    <t>Dr. Adam Cunningham</t>
  </si>
  <si>
    <t>Cal MacLennan</t>
  </si>
  <si>
    <t>Research Scientist</t>
  </si>
  <si>
    <t>Deputy Director Laboratory Support, ICAP at Columbia University</t>
  </si>
  <si>
    <t>COLUMBIA UNIVERSITY, SOUTH AFRICA</t>
  </si>
  <si>
    <t>0000-0002-2496-896X</t>
  </si>
  <si>
    <t>Efect of daily contrimoxazole prophylaxis on naturally acquired plasmodium falciparum -Specific Immune Responses in HIV - exposed uninfected Malawian Children</t>
  </si>
  <si>
    <t>C2/010</t>
  </si>
  <si>
    <t>Joseph</t>
  </si>
  <si>
    <t>Maurice</t>
  </si>
  <si>
    <t>Mutisya</t>
  </si>
  <si>
    <t>Public Health</t>
  </si>
  <si>
    <t>Education Research Program</t>
  </si>
  <si>
    <t>jmutisya@cartafrica.org</t>
  </si>
  <si>
    <t xml:space="preserve">mmutisya@aphrc.org
mmutisya@ymail.com </t>
  </si>
  <si>
    <t>+25421987850</t>
  </si>
  <si>
    <t>MSC (Population Based Epidemiology)</t>
  </si>
  <si>
    <t>Knowledge, Attitude and Beliefs on Stigma and Discrimination among people living with HIV &amp; AIDS in Kenya: Individual and Community Level Effects</t>
  </si>
  <si>
    <t>Dr. Moses Ngware</t>
  </si>
  <si>
    <t>Dr. Caroline Kabiru</t>
  </si>
  <si>
    <t>Dr. Kandala Ngianga</t>
  </si>
  <si>
    <t>Data Analyst</t>
  </si>
  <si>
    <t xml:space="preserve">Director Research at Zizi Afrique
</t>
  </si>
  <si>
    <t>ZIZI AFRIQUE FOUNDATION, KENYA (2022)</t>
  </si>
  <si>
    <t>0000-0001-5981-6344</t>
  </si>
  <si>
    <t>Household food security, child Nutrition, and education: A longitudinal Analysis in Two urban informal Settlements in Kenya</t>
  </si>
  <si>
    <t>C2/011</t>
  </si>
  <si>
    <t>Njuguna</t>
  </si>
  <si>
    <t>John</t>
  </si>
  <si>
    <t>Njenga</t>
  </si>
  <si>
    <t>Demography &amp; Social statistics</t>
  </si>
  <si>
    <t>Population Studies and Research Institute (PSRI</t>
  </si>
  <si>
    <t>jnjega@cartafrica.org</t>
  </si>
  <si>
    <t>+254721473921</t>
  </si>
  <si>
    <t>Determinants of Active Life Expectancy among Adult HIV/AIDS Patients in Kenya</t>
  </si>
  <si>
    <t>Dr. Murungaru Kimani</t>
  </si>
  <si>
    <t>0000-0001-7130-1626</t>
  </si>
  <si>
    <t>C2/012</t>
  </si>
  <si>
    <t>Mary</t>
  </si>
  <si>
    <t>Oluwafunke</t>
  </si>
  <si>
    <t>Obiyan</t>
  </si>
  <si>
    <t>mobiyan@cartafrica.org</t>
  </si>
  <si>
    <t>maryobiyan@gmail.com</t>
  </si>
  <si>
    <t>+2348038161303</t>
  </si>
  <si>
    <t>Wealth Quintile and Fertility Differentials among Households in Nigeria</t>
  </si>
  <si>
    <t>Prof. Peter O. Ogunjuyigbe</t>
  </si>
  <si>
    <t>Ambrose Akinlo</t>
  </si>
  <si>
    <t>0000-0003-3583-0138</t>
  </si>
  <si>
    <t>GW, 2016</t>
  </si>
  <si>
    <t>C2/013</t>
  </si>
  <si>
    <t>Abiodun</t>
  </si>
  <si>
    <t>Olufunke</t>
  </si>
  <si>
    <t>Oluwatoba</t>
  </si>
  <si>
    <t>ooluwatoba@cartafrica.org</t>
  </si>
  <si>
    <t>oluwatobang@yahoo.com</t>
  </si>
  <si>
    <t>+2348023451103</t>
  </si>
  <si>
    <t>M.Sc. Cellular Parasitology, M.Sc Epidemiology</t>
  </si>
  <si>
    <t>Impact of environmental pollution on the prevalence of soil transmitted helminthes infection among primary school children in Ibadan</t>
  </si>
  <si>
    <t>Dr. Roseangela Nwuba</t>
  </si>
  <si>
    <t>0000-0003-1781-2550</t>
  </si>
  <si>
    <t>Deceased 10/02/2023</t>
  </si>
  <si>
    <t>C2/014</t>
  </si>
  <si>
    <t>Mpasho</t>
  </si>
  <si>
    <t>Mwamtobe</t>
  </si>
  <si>
    <t>Disease Epidemiology</t>
  </si>
  <si>
    <t>MATHEMATICS AND STATISTICS</t>
  </si>
  <si>
    <t>pmwamtobe@cartafrica.org</t>
  </si>
  <si>
    <t>pmwamtobe@gmail.com,  pmwamtobe@poly.ac.mw </t>
  </si>
  <si>
    <t>265999458069/265888626168</t>
  </si>
  <si>
    <t>MSc in Mathematical Epidemiology (online)</t>
  </si>
  <si>
    <t>Optimal (control of) intervention strategies for malaria – TB co-infection</t>
  </si>
  <si>
    <t>Prof. Ebrahim Momoniat</t>
  </si>
  <si>
    <t>Prof. Shirley Abelman</t>
  </si>
  <si>
    <t>Prof. Jean M. Tchuenche</t>
  </si>
  <si>
    <t>Senior Lecturer, Head of Applied Studies Dept</t>
  </si>
  <si>
    <t>0000-0003-1861-3377</t>
  </si>
  <si>
    <t>C2/015</t>
  </si>
  <si>
    <t>Siphesihle</t>
  </si>
  <si>
    <t>Primrose Theodora</t>
  </si>
  <si>
    <t>Mtshali</t>
  </si>
  <si>
    <t>Kinesiology</t>
  </si>
  <si>
    <t>Department of Physiotherapy</t>
  </si>
  <si>
    <t>pmtshali@cartafrica.org</t>
  </si>
  <si>
    <t>Siphe.mtshali@wits.ac.za</t>
  </si>
  <si>
    <t>+27723106078</t>
  </si>
  <si>
    <t>M.Sc Physiotherapy</t>
  </si>
  <si>
    <t>Impact of an education programme on coaches’ knowledge, attitudes and practices on injury prevention amongst football players.</t>
  </si>
  <si>
    <t>Prof. Mbambo-Kekana Nonceba Priscilla</t>
  </si>
  <si>
    <t>Dr. Hellen Myezwa</t>
  </si>
  <si>
    <t>Dr. Kerith Aginsky</t>
  </si>
  <si>
    <t>Home/ Host</t>
  </si>
  <si>
    <t>0000-0002-8343-0342</t>
  </si>
  <si>
    <t>C2/016</t>
  </si>
  <si>
    <t>Nalugo</t>
  </si>
  <si>
    <t>Scovia</t>
  </si>
  <si>
    <t>Mbalinda</t>
  </si>
  <si>
    <t>Dept of Nursing</t>
  </si>
  <si>
    <t>smbalinda@cartafrica.org</t>
  </si>
  <si>
    <t>snmbalinda@gmail.com,  snmbalinda@chs.mak.ac.ug</t>
  </si>
  <si>
    <t>+256782212151</t>
  </si>
  <si>
    <t>MSc. Population and Reproductive Health (online)</t>
  </si>
  <si>
    <t>Assessment of rural Ugandan HIV+ young adults women’s reproductive needs and rights to design a positive prevention service framework</t>
  </si>
  <si>
    <t>Dr. Daniel Kabonge Kaye</t>
  </si>
  <si>
    <t>Dr. Noah Kiwanuka</t>
  </si>
  <si>
    <t>Prof. Fred Wabwire-Mangen</t>
  </si>
  <si>
    <t>Makerere Univeristy</t>
  </si>
  <si>
    <t>0000-0002-4945-130X</t>
  </si>
  <si>
    <t>JAS 2, 2012</t>
  </si>
  <si>
    <t>C2/017</t>
  </si>
  <si>
    <t>Nakubulwa</t>
  </si>
  <si>
    <t>Sarah</t>
  </si>
  <si>
    <t>Obstertrics and reproductive health nursing</t>
  </si>
  <si>
    <t>snakubulwa@cartafrica.org</t>
  </si>
  <si>
    <t>sarahug@gmail.com</t>
  </si>
  <si>
    <t>+256772443416</t>
  </si>
  <si>
    <t>M.Mc Obstetrics &amp; Gynaecology</t>
  </si>
  <si>
    <t>Herpes Simplex Virus type 2 in pregnancy: Assessing the burden and associated factors in women with pre-labour rupture of membranes and exploring the effect of acyclovir on obstetric outcomes in this population in Mulago Clinical research.</t>
  </si>
  <si>
    <t>Dr. Nazarius Mbona Tumwesigye</t>
  </si>
  <si>
    <t>Dr. Florence Mirembe</t>
  </si>
  <si>
    <t> 000 0002 1433 7312</t>
  </si>
  <si>
    <t>C2/018</t>
  </si>
  <si>
    <t>Simbaharshe</t>
  </si>
  <si>
    <t>Takuva</t>
  </si>
  <si>
    <t>stakuva@cartafrica.org</t>
  </si>
  <si>
    <t>27727577369</t>
  </si>
  <si>
    <t>M.Sc Epidiomology</t>
  </si>
  <si>
    <t>Epidemiological Studies of Impact of Vitamin D Status and Vitamin D Gene Polymorphisms on HIV Disease Progression and Tuberculosis Susceptibility among HIV-infected Patients</t>
  </si>
  <si>
    <t>Dr. Patrick MacPhail</t>
  </si>
  <si>
    <t>Prof. Ian M. Sanne</t>
  </si>
  <si>
    <t>Joint Faculty</t>
  </si>
  <si>
    <t>0000-0001-6030-2359</t>
  </si>
  <si>
    <t>Not attended</t>
  </si>
  <si>
    <t>C2/019</t>
  </si>
  <si>
    <t>Gloria</t>
  </si>
  <si>
    <t>Susan</t>
  </si>
  <si>
    <t>Omosa - Momanyi</t>
  </si>
  <si>
    <t>C2/020</t>
  </si>
  <si>
    <t>Phanuel</t>
  </si>
  <si>
    <t>Humphrey Jacob</t>
  </si>
  <si>
    <t>Shao</t>
  </si>
  <si>
    <t>TB Clinic</t>
  </si>
  <si>
    <t>hshao@cartafrica.org</t>
  </si>
  <si>
    <t>humphreyshao@gmail.com</t>
  </si>
  <si>
    <t>C3/001</t>
  </si>
  <si>
    <t>Adefolarin</t>
  </si>
  <si>
    <t>Olufolake</t>
  </si>
  <si>
    <t>Adeyinka</t>
  </si>
  <si>
    <t>Health Promotion Professional</t>
  </si>
  <si>
    <t>Health Promotion and Education</t>
  </si>
  <si>
    <t>PGX12112012314129</t>
  </si>
  <si>
    <t>aadefolarin@cartafrica.org</t>
  </si>
  <si>
    <t>yinkuss2000@yahoo.com</t>
  </si>
  <si>
    <t>+2348033915930</t>
  </si>
  <si>
    <t>Masters of Public Health (Health Promotion), Master of Social Work</t>
  </si>
  <si>
    <t>Maternal Mental Health and Fetal Outcome Among Pregnant Women Attending University College Clinical research Antenatal Clinic, Ibadan, Nigeria</t>
  </si>
  <si>
    <t>Oyedunni Arulogun</t>
  </si>
  <si>
    <t>PROF Oye Gureje</t>
  </si>
  <si>
    <t>Principal Social Worker 1</t>
  </si>
  <si>
    <t>Secretary of Ibadan Public Health Conference</t>
  </si>
  <si>
    <t>0000-0001-7238-2413</t>
  </si>
  <si>
    <t>Effect of training and supervision on health talk delivery on maternal depression among primary health care workers in Ibadan, Nigeria</t>
  </si>
  <si>
    <t>C3/002</t>
  </si>
  <si>
    <t>Angeline</t>
  </si>
  <si>
    <t>Chepchirchir</t>
  </si>
  <si>
    <t>achepchirchir@cartafrica.org</t>
  </si>
  <si>
    <t>chepchirchir@uonbi.ac.ke</t>
  </si>
  <si>
    <t>254720440665</t>
  </si>
  <si>
    <t>Determination of the Pathogen burden and individual variability in immune response: a comparative study of non-hypertensive and hypertensive subjects at Kenyatta National Clinical research.</t>
  </si>
  <si>
    <t>Prof. Nyagol Akelo Joshua</t>
  </si>
  <si>
    <t>Prof. Jaoko Walter</t>
  </si>
  <si>
    <t>0000-0002-4033-7869</t>
  </si>
  <si>
    <t>C3/003</t>
  </si>
  <si>
    <t>Anne</t>
  </si>
  <si>
    <t>Majuma</t>
  </si>
  <si>
    <t>Khisa</t>
  </si>
  <si>
    <t>Reseach Capacity Strengtheniing Division</t>
  </si>
  <si>
    <t>H80/83881/2012</t>
  </si>
  <si>
    <t>akhisa@cartafrica.org</t>
  </si>
  <si>
    <t>annekhisa@gmail.com</t>
  </si>
  <si>
    <t>+254 724 348 661</t>
  </si>
  <si>
    <t>MA in Gender and Development Studies</t>
  </si>
  <si>
    <t xml:space="preserve">Health Seeking Behaviour and Reintegration of Patients with Obstetric Fistula in Kenya </t>
  </si>
  <si>
    <t>Grace Omoni</t>
  </si>
  <si>
    <t>Prof Isaac Nyamongo</t>
  </si>
  <si>
    <t>Dr Sabina Wakasiaka</t>
  </si>
  <si>
    <t>Part Time Lecturer</t>
  </si>
  <si>
    <t>Post Doc Research Fellow</t>
  </si>
  <si>
    <t>0000-0001-6110-0118</t>
  </si>
  <si>
    <t>A grounded theory of regaining normalcy: Health seeking behaviour and reintegration of patients with obstetric fistula in Kenya</t>
  </si>
  <si>
    <t>C3/004</t>
  </si>
  <si>
    <t>Adesola</t>
  </si>
  <si>
    <t>Oluwafunmilola</t>
  </si>
  <si>
    <t>Olumide</t>
  </si>
  <si>
    <t>Adolescent health</t>
  </si>
  <si>
    <t>Institute of Child health</t>
  </si>
  <si>
    <t>asangowawa@cartafrica.org</t>
  </si>
  <si>
    <t>daisyolu@yahoo.com</t>
  </si>
  <si>
    <t>+2348033265796</t>
  </si>
  <si>
    <t>MPH</t>
  </si>
  <si>
    <t>Epidemiology and Costs of Injuries Among Adolescents in Ibadan, South-Western Nigeria</t>
  </si>
  <si>
    <t>Olayemi Omotade</t>
  </si>
  <si>
    <t>Senior Research Fellow</t>
  </si>
  <si>
    <t>Head and Actg director Institute of Child Health</t>
  </si>
  <si>
    <t>0000-0003-4372-9822</t>
  </si>
  <si>
    <t>C3/005</t>
  </si>
  <si>
    <t>Kato</t>
  </si>
  <si>
    <t>Charles</t>
  </si>
  <si>
    <t xml:space="preserve">Drago </t>
  </si>
  <si>
    <t>Immunity and Infection</t>
  </si>
  <si>
    <t>ckato@cartafrica.org</t>
  </si>
  <si>
    <t>katodrago@yahoo.com</t>
  </si>
  <si>
    <t>+256712959954</t>
  </si>
  <si>
    <t>MSc. Structural Molecular Biology</t>
  </si>
  <si>
    <t>Cytokine responses &amp; parasite genotypes associated with the pathogenesis of human African trypanosomiasis (HAT) in north-eastern Uganda</t>
  </si>
  <si>
    <t>Experimental model</t>
  </si>
  <si>
    <t>Prof. Matovu Enock</t>
  </si>
  <si>
    <t>Dr. Vincent Pius Alibu</t>
  </si>
  <si>
    <t>0000-0003-3160-6657</t>
  </si>
  <si>
    <t>SIDA</t>
  </si>
  <si>
    <t>C3/006</t>
  </si>
  <si>
    <t xml:space="preserve">Charles </t>
  </si>
  <si>
    <t>Masulani</t>
  </si>
  <si>
    <t>Mwale</t>
  </si>
  <si>
    <t>cmwale@cartafrica.org</t>
  </si>
  <si>
    <t>cmmwale@hotmail.com</t>
  </si>
  <si>
    <t>+265999927938</t>
  </si>
  <si>
    <t>Master of Public Health</t>
  </si>
  <si>
    <t>A cross-sectional study on the mental health service delivery for people living with AIDS (PLWAs) in Malawi</t>
  </si>
  <si>
    <t>Pascal Mathanga</t>
  </si>
  <si>
    <t>Part Time Senior Lecturer</t>
  </si>
  <si>
    <t>0000-0001-8676-1713</t>
  </si>
  <si>
    <t>A mixed methods study on designing and testing effectiveness of a psychosocial training intervention (Titukulane) in improving psychological wellbeing of parents for intellectually disabled children in Malawi</t>
  </si>
  <si>
    <t>C3/007</t>
  </si>
  <si>
    <t>Olusegun</t>
  </si>
  <si>
    <t>Emmanuel</t>
  </si>
  <si>
    <t>Thomas</t>
  </si>
  <si>
    <t>Pharmaceutical Sciences</t>
  </si>
  <si>
    <t>Pharmaceutical Chemistry</t>
  </si>
  <si>
    <t>tolusegun@cartafrica.org</t>
  </si>
  <si>
    <t>seguntom@yahoo.com</t>
  </si>
  <si>
    <t>+2348034198737</t>
  </si>
  <si>
    <t>MSc. Pharmaceutical Chemistry and Drug Analysis</t>
  </si>
  <si>
    <t>Design, synthesis and genotoxicity evaluation of non-toxic azo dyes based on tetracyclic structures</t>
  </si>
  <si>
    <t>Prof. Adegoke Aremu Olajire</t>
  </si>
  <si>
    <t>0000-0001-8519-2125</t>
  </si>
  <si>
    <t>C3/008</t>
  </si>
  <si>
    <t>Tonney</t>
  </si>
  <si>
    <t>Stophen</t>
  </si>
  <si>
    <t>Nyirenda</t>
  </si>
  <si>
    <t>Pathology</t>
  </si>
  <si>
    <t>tnyirenda@cartafrica.org</t>
  </si>
  <si>
    <t>tnyirenda@medcol.mw</t>
  </si>
  <si>
    <t>+265995573845</t>
  </si>
  <si>
    <t>MSc. Immunology</t>
  </si>
  <si>
    <t xml:space="preserve">Development of adaptive immunity to non-typhoidal Salmonella in Children </t>
  </si>
  <si>
    <t>PhD Student</t>
  </si>
  <si>
    <t>0000-0002-4874-9518</t>
  </si>
  <si>
    <t>C3/009</t>
  </si>
  <si>
    <t>Evangeline</t>
  </si>
  <si>
    <t>Wawira</t>
  </si>
  <si>
    <t>Njiru</t>
  </si>
  <si>
    <t>MEDICAL ANTHROPOLOGY</t>
  </si>
  <si>
    <t>ANTHROPOLOGY AND HUMAN ECOLOGY</t>
  </si>
  <si>
    <t>SASS/DPHIL/ANT/02/12</t>
  </si>
  <si>
    <t>Separated</t>
  </si>
  <si>
    <t>enjiru@cartafrica.org</t>
  </si>
  <si>
    <t>oyungueva@yahoo.com</t>
  </si>
  <si>
    <t>+254-722-624-353</t>
  </si>
  <si>
    <t>Masters in Medicine</t>
  </si>
  <si>
    <t>Situational analysis of cancer care in the Western Kenya population</t>
  </si>
  <si>
    <t>Jamin Masinde</t>
  </si>
  <si>
    <t>Dr. Harrison Maithya</t>
  </si>
  <si>
    <t>0000-0002-0064-8777</t>
  </si>
  <si>
    <t>C3/010</t>
  </si>
  <si>
    <t>Samanta</t>
  </si>
  <si>
    <t>Tresha</t>
  </si>
  <si>
    <t>Lalla-Edward</t>
  </si>
  <si>
    <t>Wits Reproductive Health and HIV Institute</t>
  </si>
  <si>
    <t>esamanta@cartafrica.org</t>
  </si>
  <si>
    <t>slallaedward@ezintsha.org;</t>
  </si>
  <si>
    <t>Masters in Social Behaviour Studies in HIV/AIDS</t>
  </si>
  <si>
    <t>The effect of combination HIV prevention interventions: a comparison between men who have sex with men (MSM) sex workers and MSM non-sex workers</t>
  </si>
  <si>
    <t>Maria Elizabeth Rabe</t>
  </si>
  <si>
    <t>M&amp;E Technical Specialist - Wits</t>
  </si>
  <si>
    <t>Program Manager</t>
  </si>
  <si>
    <t>EZINTSHA, SOUTH AFRICA (2021)</t>
  </si>
  <si>
    <t>0000-0003-3597-1643</t>
  </si>
  <si>
    <t>A process evaluation of newly implementing South African Roadside wellness clinics for truck drivers</t>
  </si>
  <si>
    <t>C3/011</t>
  </si>
  <si>
    <t>Shema</t>
  </si>
  <si>
    <t>EDU/D.Phil/CM/1010/16</t>
  </si>
  <si>
    <t>esebahutu@cartafrica.org</t>
  </si>
  <si>
    <t>esebahutu@nur.ac.rw
 sebem01@yahoo.fr</t>
  </si>
  <si>
    <t>250788647761</t>
  </si>
  <si>
    <t>Masters in Social Educational research Methods</t>
  </si>
  <si>
    <t>Building Awareness of both Men and Women through Formal Education with regard to Women’s Sexual and Reproductive Rights towards the Reduction of Fertility Rates in Rwanda: Challenges and Future Trends.</t>
  </si>
  <si>
    <t>Prof Mukwa Wekesa Christopher</t>
  </si>
  <si>
    <t>Dr. Wanyonyi Wamamili David</t>
  </si>
  <si>
    <t>Factors Associated with the Integration of Internet in Teaching Comprehensive Sexuality Education in Southern Province, Rwanda</t>
  </si>
  <si>
    <t>C3/012</t>
  </si>
  <si>
    <t>Fredrick</t>
  </si>
  <si>
    <t>Okoth</t>
  </si>
  <si>
    <t>Okaka</t>
  </si>
  <si>
    <t>Human Geography</t>
  </si>
  <si>
    <t>SASS/GEO/DPHIL/01/12</t>
  </si>
  <si>
    <t>fokaka@cartafrica.org</t>
  </si>
  <si>
    <t>fredrickokaka@yaoo.com
fredrickokaka@gmail.com</t>
  </si>
  <si>
    <t>+254 722 260034</t>
  </si>
  <si>
    <t>Masters of Art (Settlement Geography)</t>
  </si>
  <si>
    <t>Urban Residents’ Perception of Climate Change as a Human Health Risk in Kenya: The Case of Kisumu and Mombasa Urban Centers</t>
  </si>
  <si>
    <t>Prof. Paul Omondi</t>
  </si>
  <si>
    <t>Prof. Beneah D. O. Odhiambo</t>
  </si>
  <si>
    <t>0000-0002-7140-0306</t>
  </si>
  <si>
    <t>Urban residents' perception and adaptive capacity and behaviour to the health risks of climate change in Mombasa city, Kenya</t>
  </si>
  <si>
    <t>C3/013</t>
  </si>
  <si>
    <t>Joel</t>
  </si>
  <si>
    <t>Olayiwola</t>
  </si>
  <si>
    <t>Faronbi</t>
  </si>
  <si>
    <t>jfaronbi@cartafrica.org</t>
  </si>
  <si>
    <t>faronbiy2k@yahoh.co.uk</t>
  </si>
  <si>
    <t>+2348033383018</t>
  </si>
  <si>
    <t>MSC Nursing</t>
  </si>
  <si>
    <t>Impact of Nurse Moderated Intervention on the Quality of Life, Burden and Coping Strategies of Caregivers of the Elderly with Chronic Illness.</t>
  </si>
  <si>
    <t>Olaogun Adenike Ayobola</t>
  </si>
  <si>
    <t>Department Postgraduate programme cordinator</t>
  </si>
  <si>
    <t>0000-0003-3392-4472</t>
  </si>
  <si>
    <t>Burden, coping strategies and health related quality of life of caregivers of elderly with chronic illness in Osun State, Nigeria</t>
  </si>
  <si>
    <t>C3/014</t>
  </si>
  <si>
    <t>Judith</t>
  </si>
  <si>
    <t>Nekesa</t>
  </si>
  <si>
    <t>Mangeni</t>
  </si>
  <si>
    <t>Epidemiology and Biostatistics</t>
  </si>
  <si>
    <t>H80/92321/2013</t>
  </si>
  <si>
    <t>jmangeni@cartafrica.org</t>
  </si>
  <si>
    <t>nakholi2001@yahoo.com</t>
  </si>
  <si>
    <t>+254-722-647-415</t>
  </si>
  <si>
    <t>MPH (Epidemiology and Disease control tract</t>
  </si>
  <si>
    <t>Motivational Interventions in community hypertension screening in western Kenya</t>
  </si>
  <si>
    <t>Anne Wanjiru Mwangi</t>
  </si>
  <si>
    <t>Head ISO Quality Management system</t>
  </si>
  <si>
    <t>0000-0001-7333-9329</t>
  </si>
  <si>
    <t>C3/015</t>
  </si>
  <si>
    <t>Ojo</t>
  </si>
  <si>
    <t>Melvin</t>
  </si>
  <si>
    <t>Agunbiade</t>
  </si>
  <si>
    <t>Sociology</t>
  </si>
  <si>
    <t>magunbiade@cartafrica.org</t>
  </si>
  <si>
    <t>ojomelvin@yahoo.com
ojomelvin@gmail.com</t>
  </si>
  <si>
    <t>+2348059221715</t>
  </si>
  <si>
    <t>MSC Sociology and Anthropology (Medical Sociology option)</t>
  </si>
  <si>
    <t>Attitudes towards Sexuality in Later Life among Yoruba People in Southwestern Nigeria</t>
  </si>
  <si>
    <t>Emeritus Professor Gilbert Leah</t>
  </si>
  <si>
    <t>Professor</t>
  </si>
  <si>
    <t>Co-ordinator the University wide research methodology for all doctoral candidates at OAU</t>
  </si>
  <si>
    <t>0000-0001-8566-0662</t>
  </si>
  <si>
    <t>Socio-cultural constructions of Sexuality and help-seeking behaviour among eldeerly Yoruba people in Urban Ibadan, SouthWest Nigeria</t>
  </si>
  <si>
    <t>C3/016</t>
  </si>
  <si>
    <t>Marjorie</t>
  </si>
  <si>
    <t>Kyomuhendo</t>
  </si>
  <si>
    <t>Niyitegeka</t>
  </si>
  <si>
    <t>Department of Journalism and Communication</t>
  </si>
  <si>
    <t>mkyomuhendo@cartafrica.org</t>
  </si>
  <si>
    <t>marjorie@masscom.mak.ac.ug
 marjkyom@gmail.com</t>
  </si>
  <si>
    <t>+256776672000/256772672300</t>
  </si>
  <si>
    <t>Master of Philosophy (media studies)</t>
  </si>
  <si>
    <t>Awareness to practice: Improving the Effectiveness of Family Planning Communication in Uganda</t>
  </si>
  <si>
    <t>Monica Chibita</t>
  </si>
  <si>
    <t>Fred Ntoni Nuwaha</t>
  </si>
  <si>
    <t>Administrative</t>
  </si>
  <si>
    <t>Family planning communication in Uganda: An interrogation of media reporting, communication campaigns and audience perspectives</t>
  </si>
  <si>
    <t>C3/017</t>
  </si>
  <si>
    <t>Nicolette</t>
  </si>
  <si>
    <t>Prea</t>
  </si>
  <si>
    <t>Naidoo</t>
  </si>
  <si>
    <t>nnaidoo@cartafrica.org</t>
  </si>
  <si>
    <t>nnaidoo@wrhi.ac.za</t>
  </si>
  <si>
    <t>0824901214</t>
  </si>
  <si>
    <t>MPH (Health Management)</t>
  </si>
  <si>
    <t xml:space="preserve">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t>
  </si>
  <si>
    <t>Sinead-Delany Moretlwe</t>
  </si>
  <si>
    <t>Prof Alain Labrique</t>
  </si>
  <si>
    <t>0000-0002-7197-9426</t>
  </si>
  <si>
    <t>C3/018</t>
  </si>
  <si>
    <t>Olufunmilayo</t>
  </si>
  <si>
    <t>Olufunmilola</t>
  </si>
  <si>
    <t>Banjo</t>
  </si>
  <si>
    <t>Demography &amp; Social Statistics</t>
  </si>
  <si>
    <t>SSP/08/09/H/1290</t>
  </si>
  <si>
    <t>obanjo@cartafrica.org</t>
  </si>
  <si>
    <t>banjoolufunmilayo@gmail.com</t>
  </si>
  <si>
    <t>+2348034962623</t>
  </si>
  <si>
    <t>MSc. Demography and Social Statistics</t>
  </si>
  <si>
    <t xml:space="preserve">Women status and fertility in sub Saharan Africa. </t>
  </si>
  <si>
    <t>Bisiriyu Adeleke Luqman</t>
  </si>
  <si>
    <t xml:space="preserve">Dr. BAMIWUYE, Samson Olusina </t>
  </si>
  <si>
    <t>Acting Director, Centre for Gender and Social policy</t>
  </si>
  <si>
    <t>0000-0001-6433-9300</t>
  </si>
  <si>
    <t>JAS 1, 2013</t>
  </si>
  <si>
    <t>C3/019</t>
  </si>
  <si>
    <t>Obasola</t>
  </si>
  <si>
    <t>Ireti</t>
  </si>
  <si>
    <t>Oluwaseun</t>
  </si>
  <si>
    <t>oobasola@cartafrica.org</t>
  </si>
  <si>
    <t>olaseun@yahoo.com</t>
  </si>
  <si>
    <t>+2348033517020</t>
  </si>
  <si>
    <t>Master of Library Science, Archival and information Studies</t>
  </si>
  <si>
    <t>Impact of ICT Utilization in the Provision of Health Information on Maternal and Child Health in Nigeria.</t>
  </si>
  <si>
    <t>Iyabo Mabawonku</t>
  </si>
  <si>
    <t>Librarian II</t>
  </si>
  <si>
    <t xml:space="preserve">Senior Librarian
</t>
  </si>
  <si>
    <t>UNIVERSITY OF IBADAN TO 2020
INTERNATIONAL ATOMIC ENERGY AGENCY</t>
  </si>
  <si>
    <t>0000-0001-8164-3953</t>
  </si>
  <si>
    <t>27/5/2015</t>
  </si>
  <si>
    <t>Mothers’ Perception of ICT use by Health Workers and Disseminated Information on
Maternal Health Practices in Nigeria</t>
  </si>
  <si>
    <t>C3/020</t>
  </si>
  <si>
    <t>Anitha</t>
  </si>
  <si>
    <t>Philbert</t>
  </si>
  <si>
    <t>Zoology/Ecology</t>
  </si>
  <si>
    <t>Zoology and Wildlife Conservation</t>
  </si>
  <si>
    <t>2012-04-00184</t>
  </si>
  <si>
    <t>panitha@cartafrica.org</t>
  </si>
  <si>
    <t>annybyabato@yahoo.com</t>
  </si>
  <si>
    <t>+255784454541</t>
  </si>
  <si>
    <t>MSC. Applied Zoology</t>
  </si>
  <si>
    <t>Causes and Consequences of Insecticide Resistance in Malaria Vectors.  A Case Study of Dar es Salaam, Tanzania</t>
  </si>
  <si>
    <t>Nkwengulila Gamba</t>
  </si>
  <si>
    <t>DR SYLVESTER LYANTAGAYE</t>
  </si>
  <si>
    <t>0000-0002-0301-2272</t>
  </si>
  <si>
    <t>Insecticide resistance in malaria vectors: seasonal susceptibility mechanisms and relationships to agricultural practices in Magu and Sengerema Agro-Ecosystem Zone</t>
  </si>
  <si>
    <t>1 by thesis</t>
  </si>
  <si>
    <t>C3/021</t>
  </si>
  <si>
    <t>Providence</t>
  </si>
  <si>
    <t>Jechirchir</t>
  </si>
  <si>
    <t>Kiptoo</t>
  </si>
  <si>
    <t>ENVIRONMENTAL HEALTH</t>
  </si>
  <si>
    <t>ENVIRONMENTAL HEALTH AND BIOLOGY</t>
  </si>
  <si>
    <t>SES/DPHIL/05/12</t>
  </si>
  <si>
    <t>pkiptoo@cartafrica.org</t>
  </si>
  <si>
    <t>providencechiri@gmail.com</t>
  </si>
  <si>
    <t>+254722421678</t>
  </si>
  <si>
    <t>MOH (Epidemiology &amp; Disease Control)</t>
  </si>
  <si>
    <t>Maternal pesticide exposures and birth outcomes among flower farm workers in Kenya-A case control study.</t>
  </si>
  <si>
    <t>Peter M. Gatongi</t>
  </si>
  <si>
    <t>Prof Odipo Osano</t>
  </si>
  <si>
    <t>0000-0001-6975-5434</t>
  </si>
  <si>
    <t>JAS 4, 2017</t>
  </si>
  <si>
    <t>C3/022</t>
  </si>
  <si>
    <t>Save</t>
  </si>
  <si>
    <t>Kumwenda</t>
  </si>
  <si>
    <t>201380012518</t>
  </si>
  <si>
    <t>skumwenda@cartafrica.org</t>
  </si>
  <si>
    <t>skumwenda@gmail.com</t>
  </si>
  <si>
    <t>+265888389452</t>
  </si>
  <si>
    <t>Comparative analysis of determinants of access to good maternal health care services</t>
  </si>
  <si>
    <t>Dr. Chisomo Msefula</t>
  </si>
  <si>
    <t>Dr. Bagrey Ngwira</t>
  </si>
  <si>
    <t>0000-0002-3329-5875</t>
  </si>
  <si>
    <t>Pathogen survival in Ecosan latrines and the associated health risks</t>
  </si>
  <si>
    <t>C3/024</t>
  </si>
  <si>
    <t>Steven</t>
  </si>
  <si>
    <t>Pentz</t>
  </si>
  <si>
    <t>C4/001</t>
  </si>
  <si>
    <t>Ayodele</t>
  </si>
  <si>
    <t>Alonge</t>
  </si>
  <si>
    <t>Communication and Information</t>
  </si>
  <si>
    <t>School of Journalism and Mass Communication</t>
  </si>
  <si>
    <t>K90/97550/2015</t>
  </si>
  <si>
    <t>aalonge@cartafrica.org</t>
  </si>
  <si>
    <t>ayoalonge@gmail.com</t>
  </si>
  <si>
    <t>+2348023594427</t>
  </si>
  <si>
    <t>Master of Publishing and Copyright Studies</t>
  </si>
  <si>
    <t>Efficacy of Social Media and Mobile Technology Use for HIV/AIDS Knowledge and Prevention among Teenagers in South-West Nigeria</t>
  </si>
  <si>
    <t>Prof wanbii Kiai</t>
  </si>
  <si>
    <t>Dr  Ndei Ndati</t>
  </si>
  <si>
    <t> 0000-0001-6014-3271</t>
  </si>
  <si>
    <t>The use of social media for HIV and AIDS communication among university undergraduatres in South - West Nigeria</t>
  </si>
  <si>
    <t>C4/002</t>
  </si>
  <si>
    <t>Admire</t>
  </si>
  <si>
    <t>Takuranhamo</t>
  </si>
  <si>
    <t>Chikandiwa</t>
  </si>
  <si>
    <t>EPIDEMIOLOGY</t>
  </si>
  <si>
    <t>WITS  Reproductive and HIV Research Institute</t>
  </si>
  <si>
    <t>achikandiwa@cartafrica.org</t>
  </si>
  <si>
    <t>achikandiwa@gmail.com</t>
  </si>
  <si>
    <t>27717388187</t>
  </si>
  <si>
    <t>The effects of HIV infection and treatment on the epidemiology of sexually transmitted infections in men in South Africa</t>
  </si>
  <si>
    <t>Sinead Delany - Moretlwe</t>
  </si>
  <si>
    <t>Epidemiologist</t>
  </si>
  <si>
    <t>0000-0003-4954-2225</t>
  </si>
  <si>
    <t>Epidemiology of HPV infection and related diseases among HIV positive men in South Africa</t>
  </si>
  <si>
    <t>C4/003</t>
  </si>
  <si>
    <t>Andrew</t>
  </si>
  <si>
    <t>Tamale</t>
  </si>
  <si>
    <t>Wild life and Aquatic Animal Resources</t>
  </si>
  <si>
    <t>2011/HD17/18372U</t>
  </si>
  <si>
    <t>atamale@cartafrica.org</t>
  </si>
  <si>
    <t>andietam@gmail.com</t>
  </si>
  <si>
    <t>+256752330207/256788671192</t>
  </si>
  <si>
    <t>Risk Assessment of mercury and lead along the fish value chain in the lake Victoria Basin</t>
  </si>
  <si>
    <t>Assoc. Prof. Francis Ejobi</t>
  </si>
  <si>
    <t>Prof MUYANJA Charles</t>
  </si>
  <si>
    <t>Dr. Naigaga Irene</t>
  </si>
  <si>
    <t>0000-0002-9742-1172</t>
  </si>
  <si>
    <t>C4/004</t>
  </si>
  <si>
    <t>Boladale</t>
  </si>
  <si>
    <t>Moyosore</t>
  </si>
  <si>
    <t>Mapayi</t>
  </si>
  <si>
    <t>Psychology</t>
  </si>
  <si>
    <t>Mental Health</t>
  </si>
  <si>
    <t>CLI/12/13/H/2219</t>
  </si>
  <si>
    <t>bmapayi@cartafrica.org</t>
  </si>
  <si>
    <t>daledosu@yahoo.com</t>
  </si>
  <si>
    <t>+2348033930096</t>
  </si>
  <si>
    <t>Msc Clinical Psychology</t>
  </si>
  <si>
    <t>Integration of FP Services into Mental Health services: An Assessment of Psychosocial Correlates of uptake and continuance of mentally ill females at the Psychiatric Clinic of OAU Teaching Clinical research</t>
  </si>
  <si>
    <t>Ukpong Morenike</t>
  </si>
  <si>
    <t>Harrison Abigail</t>
  </si>
  <si>
    <t>Vice Dean, Faculty of clinical Sciences</t>
  </si>
  <si>
    <t>0000-0002-0596-2132</t>
  </si>
  <si>
    <t>Integratining family planning into mental helath services for women attending the psychiatric outpatient clinic of Obafemi Awolowo University Teaching Clinical researchs Complex, Ile-Ife</t>
  </si>
  <si>
    <t>C4/005</t>
  </si>
  <si>
    <t>Bolutife</t>
  </si>
  <si>
    <t>Ayokunnu</t>
  </si>
  <si>
    <t>Olusanya</t>
  </si>
  <si>
    <t>Medicine</t>
  </si>
  <si>
    <t>bolusanya@cartafrica.org</t>
  </si>
  <si>
    <t>bolutifeo@yahoo.com</t>
  </si>
  <si>
    <t>+2348034051563</t>
  </si>
  <si>
    <t>Assessment of the magnitude, causes and risk factors of childhood blindness in Oyo state, Nigeria</t>
  </si>
  <si>
    <t>Prof. Ajayi Ikeoluwapo</t>
  </si>
  <si>
    <t>Prof Baiyeroju Aderonke</t>
  </si>
  <si>
    <t>Associate professor</t>
  </si>
  <si>
    <t>0000-0002-8027-2844</t>
  </si>
  <si>
    <t xml:space="preserve">Development and validation of a screening tool for the early detection of blinding eye diseases among infants attending immunization centres in Ibadan, Nigeria </t>
  </si>
  <si>
    <t>C4/006</t>
  </si>
  <si>
    <t>Chrispus</t>
  </si>
  <si>
    <t>Mayora</t>
  </si>
  <si>
    <t>Public health</t>
  </si>
  <si>
    <t>School of public health</t>
  </si>
  <si>
    <t>cmayora@cartafrica.org</t>
  </si>
  <si>
    <t>cmayora@musph.ac.ug</t>
  </si>
  <si>
    <t>+256773313016</t>
  </si>
  <si>
    <t>Master of Health Economics</t>
  </si>
  <si>
    <t>Scaling up Community Health workers (CHWs) program in Uganda: Implications for Human Resources for Health Management (HRHM)</t>
  </si>
  <si>
    <t>Prof. Ngianga Kandala Bakwin</t>
  </si>
  <si>
    <t>Dr. Henry Wamani</t>
  </si>
  <si>
    <t>Dr. Elizabeth Ekirapa-Kiracho</t>
  </si>
  <si>
    <t>0000-0002-6640-6519</t>
  </si>
  <si>
    <t>Retail drug shops market in Uganda: Incentives, effect on health care system, and implications care system, and implications for child health</t>
  </si>
  <si>
    <t>C4/007</t>
  </si>
  <si>
    <t>Jepkoech</t>
  </si>
  <si>
    <t>Sawe</t>
  </si>
  <si>
    <t>Applied Human Nutrition</t>
  </si>
  <si>
    <t>Department of Food Science, Nutrition and Technology</t>
  </si>
  <si>
    <t>A80/96627/2014</t>
  </si>
  <si>
    <t>csawe@cartafrica.org</t>
  </si>
  <si>
    <t>carolsawej@yahoo.com</t>
  </si>
  <si>
    <t>+254721540248</t>
  </si>
  <si>
    <t>Assess the Impact of Community strategy program in Nutritional Status of children under five years in Uasin Gishu County</t>
  </si>
  <si>
    <t>Prof W Kogi-Makau</t>
  </si>
  <si>
    <t xml:space="preserve">Prof Grace A. Ettyang </t>
  </si>
  <si>
    <t>Dr Charkes O Kimamo</t>
  </si>
  <si>
    <t>Administrator</t>
  </si>
  <si>
    <t>0000-0002-9808-4091</t>
  </si>
  <si>
    <t>Impact of community health workers on nutritional status and cognitive development of children aged less than two years in Kisumu County, Kenya</t>
  </si>
  <si>
    <t>JAS 3, 2016</t>
  </si>
  <si>
    <t>C4/008</t>
  </si>
  <si>
    <t>Dieter</t>
  </si>
  <si>
    <t>Hartmann</t>
  </si>
  <si>
    <t>Civil Engineering</t>
  </si>
  <si>
    <t>School of Mechanical, Industrial and Aeronautical Engineering</t>
  </si>
  <si>
    <t>dhartmann@cartafrica.org</t>
  </si>
  <si>
    <t>Dieter.Hartmann@wits.ac.za</t>
  </si>
  <si>
    <t>M.Sc Industrial Enginnering</t>
  </si>
  <si>
    <t xml:space="preserve">Determining a framework of benchmarks for efficient healthcare delivery in South Africa. </t>
  </si>
  <si>
    <t>Prof. Alex van den Heever</t>
  </si>
  <si>
    <t>0000-0001-9641-0095</t>
  </si>
  <si>
    <t>Demand management in South African Public Healthcare: The case for failure demand</t>
  </si>
  <si>
    <t>Demand management in healthcare service delivery: The case for failure demand</t>
  </si>
  <si>
    <t>C4/009</t>
  </si>
  <si>
    <t>Winnie</t>
  </si>
  <si>
    <t>Chepkurui</t>
  </si>
  <si>
    <t>Mutai</t>
  </si>
  <si>
    <t>Medical Bacteriology</t>
  </si>
  <si>
    <t>Medical Microbiology</t>
  </si>
  <si>
    <t>H80/99967/2015</t>
  </si>
  <si>
    <t>wmutai@cartafrica.org</t>
  </si>
  <si>
    <t>vynnmutai@gmail.com; vynnemutai@yahoo.com</t>
  </si>
  <si>
    <t>+254724886584</t>
  </si>
  <si>
    <t>Master in medical microbiology</t>
  </si>
  <si>
    <t>Molecular epidemiology of Clostridium difficile among patients in Kenyatta National Clinical research</t>
  </si>
  <si>
    <t>Prof. Omu Anzala</t>
  </si>
  <si>
    <t>Tutorial Fellow</t>
  </si>
  <si>
    <t>0000-0003-0612-9430</t>
  </si>
  <si>
    <t>Molecular Epidemiology of Clostridiodes Difficile Among Inpatients Presenting with Diarrhea in Selected Clinical researchs in Nairobi, Kenya.’</t>
  </si>
  <si>
    <t>C4/010</t>
  </si>
  <si>
    <t>Tumaini</t>
  </si>
  <si>
    <t>Chiseko</t>
  </si>
  <si>
    <t>Malenga</t>
  </si>
  <si>
    <t>Medical Athropology</t>
  </si>
  <si>
    <t>Health Systems and Policy Development</t>
  </si>
  <si>
    <t>201380012572</t>
  </si>
  <si>
    <t>tmalenga@cartafrica.org</t>
  </si>
  <si>
    <t>tmalenga@gmail.com</t>
  </si>
  <si>
    <t>+265999544544</t>
  </si>
  <si>
    <t>M.Sc International Development</t>
  </si>
  <si>
    <t xml:space="preserve">Determining the predominant motivations that promote transactional sex in densely populated areas in Malawi. </t>
  </si>
  <si>
    <t xml:space="preserve">Prof  Umar Eric </t>
  </si>
  <si>
    <t>Prof Griffiths Frances</t>
  </si>
  <si>
    <t>Prof Van den Berg  Marrit</t>
  </si>
  <si>
    <t>Research Administrator</t>
  </si>
  <si>
    <t>Research and Policy Analyst</t>
  </si>
  <si>
    <t>African Institute For Development Policy (AFIDEP)</t>
  </si>
  <si>
    <t>0000-0002-7269-0405</t>
  </si>
  <si>
    <t>C4/011</t>
  </si>
  <si>
    <t>Flavia</t>
  </si>
  <si>
    <t>Kiweewa</t>
  </si>
  <si>
    <t>Matovu</t>
  </si>
  <si>
    <t>PUBLIC HEALTH</t>
  </si>
  <si>
    <t>fmatovu@cartafrica.org</t>
  </si>
  <si>
    <t>fmatovu@mujhu.org</t>
  </si>
  <si>
    <t>+256772544759/256702544759</t>
  </si>
  <si>
    <t>M.Sc Epidemiology</t>
  </si>
  <si>
    <t>Bone Mineral Density Study in Young Adult Women on Depot-medroxyprogesterone  at the Mulago FP Clinic, Uganda</t>
  </si>
  <si>
    <t>Dr. Mags Beksinska</t>
  </si>
  <si>
    <t>Director of Research</t>
  </si>
  <si>
    <t>0000-0002-0046-4353</t>
  </si>
  <si>
    <t>Bone mineral density in a cohort of young women using Tenofovir and Depo-Provera</t>
  </si>
  <si>
    <t>C4/012</t>
  </si>
  <si>
    <t>Grace</t>
  </si>
  <si>
    <t>Wambura</t>
  </si>
  <si>
    <t>Mbuthia</t>
  </si>
  <si>
    <t>Anthropology</t>
  </si>
  <si>
    <t>Medical anthropology</t>
  </si>
  <si>
    <t>N79/94988/14</t>
  </si>
  <si>
    <t>gmbuthia@cartafrica.org</t>
  </si>
  <si>
    <t>gmbuthia2002@yahoo.co.uk</t>
  </si>
  <si>
    <t>+254 722 287 196</t>
  </si>
  <si>
    <t>MPH-Epidemiology and disease control</t>
  </si>
  <si>
    <t xml:space="preserve">Assessment of the impact of community health workers programme in the control of tuberculosis in remote pastoralists communities -Kenya  </t>
  </si>
  <si>
    <t>Prof. Charles Owour Olungah</t>
  </si>
  <si>
    <t>Dr. Tom Ondicho</t>
  </si>
  <si>
    <t>JKUAT</t>
  </si>
  <si>
    <t>0000-0003-0994-5249</t>
  </si>
  <si>
    <t>Perceptions, stigma and treatment pathways among Tuberclosis patients in West Pokot County, Kenya</t>
  </si>
  <si>
    <t>Treatment pathways perceptions and stigma among tuberculosis 
patients in West- Pokot County Kenya</t>
  </si>
  <si>
    <t>C4/013</t>
  </si>
  <si>
    <t>Henry</t>
  </si>
  <si>
    <t>Zakumumpa</t>
  </si>
  <si>
    <t>Health Policy, Planning and Management</t>
  </si>
  <si>
    <t>hzakumpa@cartafrica.org</t>
  </si>
  <si>
    <t>zakumumpa@yahoo.com</t>
  </si>
  <si>
    <t>+256772 520519</t>
  </si>
  <si>
    <t>Master of Arts (Social Sector Planning)</t>
  </si>
  <si>
    <t>Characterizing the sustainability of donor-funded ART  programs in Uganda:</t>
  </si>
  <si>
    <t>Prof. Freddie Ssemgooba</t>
  </si>
  <si>
    <t>Prof Sara Bennett</t>
  </si>
  <si>
    <t>Assistant Registrar</t>
  </si>
  <si>
    <t>0000-0002-8169-1151</t>
  </si>
  <si>
    <t>Examining the sustainability of anti - retroviral therapy  (ART) scale - up implementation in health facilities in Uganda</t>
  </si>
  <si>
    <t>C4/014</t>
  </si>
  <si>
    <t>Irene</t>
  </si>
  <si>
    <t>Richard</t>
  </si>
  <si>
    <t>Moshi</t>
  </si>
  <si>
    <t>Social Sciences/Medical Athropology</t>
  </si>
  <si>
    <t>Centre for Health Policy</t>
  </si>
  <si>
    <t>imoshi@cartafrica.org</t>
  </si>
  <si>
    <t>imoshi@ihi.or.tz</t>
  </si>
  <si>
    <t>+255 712498879</t>
  </si>
  <si>
    <t>MA Demography</t>
  </si>
  <si>
    <t>Exploring relationships between outdoor human activities and persistent malaria transmission in rural Tanzanian populations</t>
  </si>
  <si>
    <t>Distinguished Proffesor, Lenore Manderson</t>
  </si>
  <si>
    <t>Associated Prof. Ladislaus Mnyone</t>
  </si>
  <si>
    <t>Distinguished Professor. Moureen Coetzee</t>
  </si>
  <si>
    <t>Research Officer</t>
  </si>
  <si>
    <t>IFAKARA HEALTH INSTITUTE</t>
  </si>
  <si>
    <t>0000-0002-9516-6657</t>
  </si>
  <si>
    <t>Outdoor Malaria Transmission: Human activities and the risks of acquiring malaria infection in rural communities of Morogoro Region, Tanzania</t>
  </si>
  <si>
    <t>C4/015</t>
  </si>
  <si>
    <t>Magutah</t>
  </si>
  <si>
    <t>Karani</t>
  </si>
  <si>
    <t>Medical physiology</t>
  </si>
  <si>
    <t>H80/95068/2014</t>
  </si>
  <si>
    <t>jkarani@cartafrica.org</t>
  </si>
  <si>
    <t>kmagutah@gmail.com</t>
  </si>
  <si>
    <t>+254721545063</t>
  </si>
  <si>
    <t>Master of Science. Medical Physiology</t>
  </si>
  <si>
    <t>Cardio-respiratory fitness trends in physically healthy Kenyan Populace from rural and Urban set-ups</t>
  </si>
  <si>
    <t>Prof. Nilesh B. Patel</t>
  </si>
  <si>
    <t>Prof. Kihumbu Thairu</t>
  </si>
  <si>
    <t>Graduate Assistant</t>
  </si>
  <si>
    <t>0000-0003-3105-2981</t>
  </si>
  <si>
    <t>The effect of short and long bouts of Home based moderate intensity exercises on cardiorespiratory fitness among sedentary Western Kenya Adults Aged at least 50 Years.</t>
  </si>
  <si>
    <t>The Effect of Short and Long Bouts of Home-based Moderate Intensity Exercises on Cardiorespiratory Fitness among Sedentary Western-Kenya Adults Aged at least 50 Years.</t>
  </si>
  <si>
    <t>C4/016</t>
  </si>
  <si>
    <t>Jackline</t>
  </si>
  <si>
    <t>Sitienei</t>
  </si>
  <si>
    <t>Center of Health Policy</t>
  </si>
  <si>
    <t>jsitienei@cartafrica.org</t>
  </si>
  <si>
    <t>sitieneij@yahoo.com</t>
  </si>
  <si>
    <t>+254722926800</t>
  </si>
  <si>
    <t>Master of International Research Ethics</t>
  </si>
  <si>
    <t>Multilevel Community Participation in Health Facilities, Western Kenya</t>
  </si>
  <si>
    <t>Mabel Nangami</t>
  </si>
  <si>
    <t>0000-0001-6182-2209</t>
  </si>
  <si>
    <t>CARNEGIE</t>
  </si>
  <si>
    <t>C4/017</t>
  </si>
  <si>
    <t>Kaitesi</t>
  </si>
  <si>
    <t>Batamuliza</t>
  </si>
  <si>
    <t>Mukara</t>
  </si>
  <si>
    <t>Health Policy</t>
  </si>
  <si>
    <t>2014/HD07/18709X</t>
  </si>
  <si>
    <t>Divorced</t>
  </si>
  <si>
    <t>kmukara@cartafrica.org</t>
  </si>
  <si>
    <t>kaibat@hotmail.com</t>
  </si>
  <si>
    <t>+250 788467587</t>
  </si>
  <si>
    <t>M.Sc Audiology</t>
  </si>
  <si>
    <t>Audiology: Planning and policies for improved care in resource limited settings – the case of Rwanda</t>
  </si>
  <si>
    <t>Dr. Peter Waiswa</t>
  </si>
  <si>
    <t>CEO</t>
  </si>
  <si>
    <t>HEARING HEALTH RWANDA (2019)</t>
  </si>
  <si>
    <t>0000-0003-0585-2846</t>
  </si>
  <si>
    <t>Prevalence of ear infections and care seeking practices in children under five in a dsitrict of Kigali city, Rwanda</t>
  </si>
  <si>
    <t>SIDA/DAAD</t>
  </si>
  <si>
    <t>C4/018</t>
  </si>
  <si>
    <t>Harrison</t>
  </si>
  <si>
    <t>Lackson</t>
  </si>
  <si>
    <t>Tembo</t>
  </si>
  <si>
    <t>Basic Medical Sciences</t>
  </si>
  <si>
    <t>2013-07-00251</t>
  </si>
  <si>
    <t>ltembo@cartafrica.org</t>
  </si>
  <si>
    <t>ltembo@medcol.mw</t>
  </si>
  <si>
    <t>+265997723601</t>
  </si>
  <si>
    <t>M.Sc Human Anatomy</t>
  </si>
  <si>
    <t>Assessing the effect of HIV/AIDS on bone microstructure and composition on bone tissue.</t>
  </si>
  <si>
    <t xml:space="preserve">Professor Amadi O. Ihunwo </t>
  </si>
  <si>
    <t>C4/019</t>
  </si>
  <si>
    <t>Mohamed</t>
  </si>
  <si>
    <t>Kassim</t>
  </si>
  <si>
    <t>Ally</t>
  </si>
  <si>
    <t>Library Science</t>
  </si>
  <si>
    <t>Information Studies</t>
  </si>
  <si>
    <t>mkassim@cartafrica.org</t>
  </si>
  <si>
    <t>mohdie2@yahoo.com</t>
  </si>
  <si>
    <t>+255 713 742 525</t>
  </si>
  <si>
    <t>M.A Information Studies</t>
  </si>
  <si>
    <t>Maternal Health Information Needs and Information Seeking Behavior of Women of Reproductive Age in Rural Tanzania</t>
  </si>
  <si>
    <t>Prof. Jangawe Msuya</t>
  </si>
  <si>
    <t>0000-0002-3016-9283</t>
  </si>
  <si>
    <t>Maternal health information needs and seeking behaviour of
women of reproductive age in rural Tanzania: a case of
Mpwapwa district, Dodoma region</t>
  </si>
  <si>
    <t>C4/020</t>
  </si>
  <si>
    <t>Mbithi</t>
  </si>
  <si>
    <t>Michael</t>
  </si>
  <si>
    <t>Mutua</t>
  </si>
  <si>
    <t>Research</t>
  </si>
  <si>
    <t>SSP11/12/H/2901</t>
  </si>
  <si>
    <t>mmutua@cartafrica.org</t>
  </si>
  <si>
    <t xml:space="preserve">mutua_mike@yahoo.com;mmutua@bristolpark.or.ke; mutuamike@gmail.com
</t>
  </si>
  <si>
    <t>+25422365431</t>
  </si>
  <si>
    <t xml:space="preserve">Master of Social Statistics </t>
  </si>
  <si>
    <t>Abortion and Post Abortion Care in Kenya</t>
  </si>
  <si>
    <t>Prof Manderson Lenore</t>
  </si>
  <si>
    <t>Prof Musenge Eustasius</t>
  </si>
  <si>
    <t>Dr Achia Thomas</t>
  </si>
  <si>
    <t>Statistical Data Analyst</t>
  </si>
  <si>
    <t>Consultant</t>
  </si>
  <si>
    <t>SELF EMPLOYED (2019)</t>
  </si>
  <si>
    <t>0000-0002-7326-3886</t>
  </si>
  <si>
    <t>Quality of post abortion Care in Kenya</t>
  </si>
  <si>
    <t>C4/021</t>
  </si>
  <si>
    <t>Modupe</t>
  </si>
  <si>
    <t>Oladunni</t>
  </si>
  <si>
    <t>Health Psychology</t>
  </si>
  <si>
    <t>Center for Gender and Social Policy Studies</t>
  </si>
  <si>
    <t>0702658H</t>
  </si>
  <si>
    <t>mtaiwo@cartafrica.org</t>
  </si>
  <si>
    <t>oladunnitaiwo@gmail.com</t>
  </si>
  <si>
    <t>+234(0)8062234960</t>
  </si>
  <si>
    <t xml:space="preserve">MPA-   Reproductive Health </t>
  </si>
  <si>
    <t>Relationship between Psychological well-being and HAART adherence among HIV/AIDS infected persons in three nationally designated treatment centers in Southwest Nigeria</t>
  </si>
  <si>
    <t>Professor Funmi Togonu-Bickersteth</t>
  </si>
  <si>
    <t>Junior Research Fellow</t>
  </si>
  <si>
    <t>0000-0002-1377-3470</t>
  </si>
  <si>
    <t>C4/022</t>
  </si>
  <si>
    <t>Nkosiyazi</t>
  </si>
  <si>
    <t>Dube</t>
  </si>
  <si>
    <t>Social Development</t>
  </si>
  <si>
    <t>Social Work</t>
  </si>
  <si>
    <t>U803/98508/2015</t>
  </si>
  <si>
    <t>ndube@cartafrica.org</t>
  </si>
  <si>
    <t>dubenkosipnj@gmail.com</t>
  </si>
  <si>
    <t>+27730933485</t>
  </si>
  <si>
    <t>Master of Arts (Social Work – Social Development)</t>
  </si>
  <si>
    <t>Exploring the experiences and social complexity associated with non/disclosure of HIV status to children born HIV positive living at Child and Youth Care Centres in South Africa</t>
  </si>
  <si>
    <t>Professor Edwell Kaseke</t>
  </si>
  <si>
    <t>Professor Edmarie Pretorius</t>
  </si>
  <si>
    <t>Deputy Head of Department and course Cordinator (2021 Jan)</t>
  </si>
  <si>
    <t>0000-0002-3036-2008</t>
  </si>
  <si>
    <t>Informal social security and its contributions towards meeting the needs of the poor: The case of stokvels in Soweto, Johannesburg</t>
  </si>
  <si>
    <t>C4/023</t>
  </si>
  <si>
    <t>Nilian</t>
  </si>
  <si>
    <t>Ayuma</t>
  </si>
  <si>
    <t>Mukungu</t>
  </si>
  <si>
    <t>Pharmacognosy</t>
  </si>
  <si>
    <t>Pharmacology and Pharmacognosy</t>
  </si>
  <si>
    <t>2013-07-00246</t>
  </si>
  <si>
    <t>nmukungu@cartafrica.org</t>
  </si>
  <si>
    <t>nillyanne2004@yahoo.com</t>
  </si>
  <si>
    <t>+254 721291660</t>
  </si>
  <si>
    <t>M.Sc Pharmacognosy</t>
  </si>
  <si>
    <t>Antimalarial activity of plants used for treating malaria in rural western Kenya</t>
  </si>
  <si>
    <t xml:space="preserve">Prof. Mwangi Julius </t>
  </si>
  <si>
    <t>0000-0002-7510-247X</t>
  </si>
  <si>
    <t>C4/024</t>
  </si>
  <si>
    <t>Respicius</t>
  </si>
  <si>
    <t>Shombusho</t>
  </si>
  <si>
    <t>Damian</t>
  </si>
  <si>
    <t>Political Science and Public Administration</t>
  </si>
  <si>
    <t>BMSP13/14/H/1471</t>
  </si>
  <si>
    <t>rdamian@cartafrica.org</t>
  </si>
  <si>
    <t>shumbusho35@gmail.com</t>
  </si>
  <si>
    <t>+255713428318/ 255738679039</t>
  </si>
  <si>
    <t>M.A (Political Science and Public Administration</t>
  </si>
  <si>
    <t>Financial Accountability in Rural Public Health: The Case of Maternal Health in Kigoma and Rukwa Regions</t>
  </si>
  <si>
    <t>Dr Benson Alfred Bana</t>
  </si>
  <si>
    <t>Professor/Kessy/Thebald/Ambrose</t>
  </si>
  <si>
    <t>0000-0001-9761-2270</t>
  </si>
  <si>
    <t>Community empowerment and accountability in Rural Primary Health Care: The case of Kasulu District in Tanzania</t>
  </si>
  <si>
    <t>C4/025</t>
  </si>
  <si>
    <t>Ayamolowo</t>
  </si>
  <si>
    <t>Nursing</t>
  </si>
  <si>
    <t>Learners’ Support Services, Centre for Distance Learning</t>
  </si>
  <si>
    <t>sayamolowo@cartafrica.org</t>
  </si>
  <si>
    <t>olowoyamolowo@yahoo.com</t>
  </si>
  <si>
    <t>+2347038761908</t>
  </si>
  <si>
    <t>Master of Science (MSc) in Nursing.</t>
  </si>
  <si>
    <t>Burden and coping pattern of pregnant teenagers and teenage mothers in selected primary health care centres in Ekiti state, Nigeria</t>
  </si>
  <si>
    <t>Prof Irinoye  Oladunni Omolola</t>
  </si>
  <si>
    <t>0000-0003-3307-6485</t>
  </si>
  <si>
    <t>Effect of Technology-moderated Intervention on Family Childbirth Experiences, Maternal and Newborn  outcomes
in Home and Clinical research Deliveries in Ekiti State</t>
  </si>
  <si>
    <t>C4/026</t>
  </si>
  <si>
    <t>Oladapo</t>
  </si>
  <si>
    <t>Health Policy and Management</t>
  </si>
  <si>
    <t>aoladapo@cartafrica.org</t>
  </si>
  <si>
    <t>seunakinyemi@hotmail.com</t>
  </si>
  <si>
    <t>2348035020136</t>
  </si>
  <si>
    <t>M.Sc International Public Health</t>
  </si>
  <si>
    <t>Analysis of Maternal Health Policies in Nigeria: Challenges and Lessons</t>
  </si>
  <si>
    <t>Mary Kawonga</t>
  </si>
  <si>
    <t>Lecturer I</t>
  </si>
  <si>
    <t>0000-0003-4135-1459</t>
  </si>
  <si>
    <t>Scale up of community-based injectable contraceptives in Gombe state, Nigeria</t>
  </si>
  <si>
    <t>Scale up of community-based injectable contaceptives in Gombe, Nigeria</t>
  </si>
  <si>
    <t>C4/027</t>
  </si>
  <si>
    <t>Sara</t>
  </si>
  <si>
    <t>Jewett</t>
  </si>
  <si>
    <t>Nieuwoudt</t>
  </si>
  <si>
    <t>Division of Social &amp; Behaviour Change Communication</t>
  </si>
  <si>
    <t>snieuwoudt@cartafrica.org</t>
  </si>
  <si>
    <t>sara.nieuwoudt@gmail.com or sara.nieuwoudt@wits.ac.z</t>
  </si>
  <si>
    <t>+27834284392</t>
  </si>
  <si>
    <t xml:space="preserve">MPH (Behavioral Sciences &amp; Health Education) </t>
  </si>
  <si>
    <t xml:space="preserve">The role of social capital in health seeking and maternal and child health outcomes of urban migrants in Johannesburg, South Africa </t>
  </si>
  <si>
    <t>Prof. Lenore Manderson</t>
  </si>
  <si>
    <t xml:space="preserve"> &amp; Social and Behaviour Change Communication Coordinator</t>
  </si>
  <si>
    <t> 0000-0002-6658-2061</t>
  </si>
  <si>
    <t>C5/001</t>
  </si>
  <si>
    <t>Cheikh Mbacké</t>
  </si>
  <si>
    <t>Faye</t>
  </si>
  <si>
    <t>Research Division</t>
  </si>
  <si>
    <t>cfaye@cartafrica.org</t>
  </si>
  <si>
    <t>cmfaye@hotmail.com</t>
  </si>
  <si>
    <t>+254739211509</t>
  </si>
  <si>
    <t>Masters in Statistics</t>
  </si>
  <si>
    <t>Maternal characteristics,reproductive behaviors, breastfeeding practices and nutritional outcomes among children under five years in Nairobi’s informal settlements.</t>
  </si>
  <si>
    <t>DonatienBeguy, PhD</t>
  </si>
  <si>
    <t>Elizabeth Kimani, PhD</t>
  </si>
  <si>
    <t>Sharon Fonn</t>
  </si>
  <si>
    <t>Senior Research Officer</t>
  </si>
  <si>
    <t>Head, APHRC West Africa Region Office</t>
  </si>
  <si>
    <t>APHRC West Africa Regional Office - Senegal</t>
  </si>
  <si>
    <t>0000-0002-4028-0575</t>
  </si>
  <si>
    <t>Factors associated with stunting and recovery from stunting among under-five children in Nairobi informal settlements</t>
  </si>
  <si>
    <t>C5/002</t>
  </si>
  <si>
    <t>Celestin</t>
  </si>
  <si>
    <t>Ndikumana</t>
  </si>
  <si>
    <t>Human Resource Management</t>
  </si>
  <si>
    <t>Development Studies</t>
  </si>
  <si>
    <t>SHRD/PhDH/03/15</t>
  </si>
  <si>
    <t>cndikumana@cartafrica.org</t>
  </si>
  <si>
    <t>cndikumana@hotmail.com</t>
  </si>
  <si>
    <t>+250 788833975</t>
  </si>
  <si>
    <t>M. BA International Business</t>
  </si>
  <si>
    <t>The interface of environmental management in the Clinical researchity industry in Rwanda: A practical approach to sustainable health.</t>
  </si>
  <si>
    <t>Dr. Ruth J. Tubey</t>
  </si>
  <si>
    <t>Dr. Alice Kurgat</t>
  </si>
  <si>
    <t>Head of Department: Governance and Public Science and International Relations Administration; Political</t>
  </si>
  <si>
    <t>0000-0002-5726-6921</t>
  </si>
  <si>
    <t>Effect of Human Resource Managenment Practices on the retention of professional health workers in the Public District Clinical researchs in Kigali, Rwanda</t>
  </si>
  <si>
    <t>C5/003</t>
  </si>
  <si>
    <t>Kikelomo</t>
  </si>
  <si>
    <t>Nursing Science</t>
  </si>
  <si>
    <t>BMSP13/14/H/0859</t>
  </si>
  <si>
    <t>eafolabi@cartafrica.org</t>
  </si>
  <si>
    <t>eafolabi16@gmail.com</t>
  </si>
  <si>
    <t>+234 803 801 3115</t>
  </si>
  <si>
    <t>M.Sc Nursing</t>
  </si>
  <si>
    <t>Correlation of cervical cancer risk factors with cervical smear and histopathological diagnosis among reproductive age women in Ile- Ife, Osun State.</t>
  </si>
  <si>
    <t>Prof. Oluwafemi N. Mimiko</t>
  </si>
  <si>
    <t>Dr. A. A. E Olaogun</t>
  </si>
  <si>
    <t>ARDEN UNIVERSITY (2023)</t>
  </si>
  <si>
    <t>0000-0002-0381-737X.</t>
  </si>
  <si>
    <t>C5/004</t>
  </si>
  <si>
    <t>Yolanda</t>
  </si>
  <si>
    <t>Malele</t>
  </si>
  <si>
    <t>Kolisa</t>
  </si>
  <si>
    <t>Community Dentistry</t>
  </si>
  <si>
    <t>8803014E</t>
  </si>
  <si>
    <t>ykolisa@cartafrica.org</t>
  </si>
  <si>
    <t>yolanda.kolisa@wits.ac.za</t>
  </si>
  <si>
    <t>837800907</t>
  </si>
  <si>
    <t>MPH, M.Dental</t>
  </si>
  <si>
    <t>Measurement of oral health related quality of life(OHRQoL) in HIV-infected and non-infected children: Investigation of socio- cultural influences in a South African context.</t>
  </si>
  <si>
    <t>Dr. Jude Igumbor</t>
  </si>
  <si>
    <t>Prof. Magnus Hakeburg</t>
  </si>
  <si>
    <t>0000-0003-3368-9193</t>
  </si>
  <si>
    <t>Oral Health needs and Oral Health related Quality of Life of Adolescents Living with HIV in Johannesburg, South Africa</t>
  </si>
  <si>
    <t>C5/005</t>
  </si>
  <si>
    <t>Akinyode</t>
  </si>
  <si>
    <t>Obembe</t>
  </si>
  <si>
    <t>tobembe@cartafrica.org</t>
  </si>
  <si>
    <t>tobems@yahoo.com</t>
  </si>
  <si>
    <t>+234 805 840 9495</t>
  </si>
  <si>
    <t>Coping with out of pocket payment among urban poor: Findings from South Western Nigeria.</t>
  </si>
  <si>
    <t>Dr. Oyediran Oyewole</t>
  </si>
  <si>
    <t>0000-0001-9610-1137</t>
  </si>
  <si>
    <t>Patterns of expenditure, coping mechanisms among urban slum dwellers admitted for emergency surgeries in Ibadan, Nigeria</t>
  </si>
  <si>
    <t>C5/006</t>
  </si>
  <si>
    <t>Wilson</t>
  </si>
  <si>
    <t>Kaindoa</t>
  </si>
  <si>
    <t>Medical Entomology</t>
  </si>
  <si>
    <t>Environmental Health and Ecological Science</t>
  </si>
  <si>
    <t>ekaindoa@cartafrica.org</t>
  </si>
  <si>
    <t>ekaindoa@ihi.or.tz</t>
  </si>
  <si>
    <t>+255787430307</t>
  </si>
  <si>
    <t>Masters of Science in Biology and Control of Parasites and Disease Vectors</t>
  </si>
  <si>
    <t>Assessing the impact of settlement patterns and distances between households on malaria transmission in rural Tanzanian populations.</t>
  </si>
  <si>
    <t>Fredros Okumu</t>
  </si>
  <si>
    <t>Research scientist</t>
  </si>
  <si>
    <t>Deputy Head, Environmental Health Dept</t>
  </si>
  <si>
    <t>0000-0001-6170-5694</t>
  </si>
  <si>
    <t>Assessing Relationship between Human Settlement Patterns and
Malaria Risk in a Residual Transmission Setting in South-Eastern
Tanzania</t>
  </si>
  <si>
    <t>C5/007</t>
  </si>
  <si>
    <t>Wamuyu</t>
  </si>
  <si>
    <t>Karumi</t>
  </si>
  <si>
    <t>Pharmacy</t>
  </si>
  <si>
    <t>U803/98509/2015</t>
  </si>
  <si>
    <t>ekarumi@cartafrica.org</t>
  </si>
  <si>
    <t>e_karumi@yahoo.com</t>
  </si>
  <si>
    <t>+254721293354</t>
  </si>
  <si>
    <t>Antioxidant, antidiabetic and hypolipidemic activities of selected medicinal plants used by the Maasai</t>
  </si>
  <si>
    <t>Prof. Julius Wanjohi Mwangi</t>
  </si>
  <si>
    <t>Dr. Kennedy Omondi Abuga</t>
  </si>
  <si>
    <t> 0000-0001-6367-1010</t>
  </si>
  <si>
    <t>A study of antioxidant, hypoglycemic and hypolipidemic activities of plants used in food by the Maasai community</t>
  </si>
  <si>
    <t>C5/008</t>
  </si>
  <si>
    <t>Folusho</t>
  </si>
  <si>
    <t>Mubowale</t>
  </si>
  <si>
    <t>Balogun</t>
  </si>
  <si>
    <t>Pediatrics</t>
  </si>
  <si>
    <t>Institute of Child Health</t>
  </si>
  <si>
    <t>fbalogun@cartafrica.org</t>
  </si>
  <si>
    <t>folushom@yahoo.com</t>
  </si>
  <si>
    <t>+234 812 8797 778</t>
  </si>
  <si>
    <t>The state of adolescent immunization in Ibadan, Nigeria.</t>
  </si>
  <si>
    <t>Prof. Olayemi Olufemi  Omotade</t>
  </si>
  <si>
    <t>Prof.  Mikael  Svensson</t>
  </si>
  <si>
    <t>0000-0002-2645-9106</t>
  </si>
  <si>
    <t>Understanding and acceptability of HPV vaccine for adolescents by stakeholders in selected communities in Ibadan, Nigeria</t>
  </si>
  <si>
    <t>JAS 1 &amp;2, 2015</t>
  </si>
  <si>
    <t>C5/009</t>
  </si>
  <si>
    <t>Felix</t>
  </si>
  <si>
    <t>Khuluza</t>
  </si>
  <si>
    <t>Pharmaceutical Analysis</t>
  </si>
  <si>
    <t>201580013236</t>
  </si>
  <si>
    <t>fkhuluza@cartafrica.org</t>
  </si>
  <si>
    <t>fkhuluza@medcol.mw</t>
  </si>
  <si>
    <t>+265(0)999 289874</t>
  </si>
  <si>
    <t>Master of Health Economics,</t>
  </si>
  <si>
    <t>Quality and content of live-saving medicines in the formal and informal sector in Malawi, and assessment of the economic or financial costs of counterfeit and sub standard medicines to the healthcare provider.</t>
  </si>
  <si>
    <t>Professor Lutz Heide</t>
  </si>
  <si>
    <t>Prof. Dr. Ulrike Holzgrabe</t>
  </si>
  <si>
    <t> 0000-0002-8334-0160</t>
  </si>
  <si>
    <t>Quality, availability and affordability of antimalarial and antibiotic medicines in Malawi</t>
  </si>
  <si>
    <t>C5/010</t>
  </si>
  <si>
    <t>Fred</t>
  </si>
  <si>
    <t>Maniragba</t>
  </si>
  <si>
    <t>Population Studies</t>
  </si>
  <si>
    <t>203001135.   Reg No. 2014/HD06/18709U</t>
  </si>
  <si>
    <t>fmaniragaba@cartafrica.org</t>
  </si>
  <si>
    <t>fmaniragaba@gmail.com</t>
  </si>
  <si>
    <t>+256 777 821673</t>
  </si>
  <si>
    <t>M.Sc Population Studies</t>
  </si>
  <si>
    <t>Intimate partner violence and fertility outcomes in Uganda.</t>
  </si>
  <si>
    <t>Prof. James Ntozi</t>
  </si>
  <si>
    <t>0000-0001-5977-1924</t>
  </si>
  <si>
    <t>Determinants of quality of life of older persons in rural Uganda</t>
  </si>
  <si>
    <t>C5/011</t>
  </si>
  <si>
    <t>Hellen</t>
  </si>
  <si>
    <t>Jepngetich</t>
  </si>
  <si>
    <t>Medical education</t>
  </si>
  <si>
    <t>SM/PhDME/05/15</t>
  </si>
  <si>
    <t>hjepngetich@cartafrica.org</t>
  </si>
  <si>
    <t>jepngetichkeny@gmail.com and kenyhellen@yahoo.com</t>
  </si>
  <si>
    <t>+254721271337</t>
  </si>
  <si>
    <t>Determinants of male involvement in sexual andreproductive health services in Kenya.</t>
  </si>
  <si>
    <t>Prof  Mabel Nangami</t>
  </si>
  <si>
    <t>Prof  Joyce Baliddawa</t>
  </si>
  <si>
    <t>Dr. Caleb Isaboke Nyamwange</t>
  </si>
  <si>
    <t>Head of Department of Environmental Health and Disaster Risk Management at the School of Public Health, College of Health Sciences</t>
  </si>
  <si>
    <t>Bachelor of science environmental health graduates academic competences and public health work expectations in Kenya: Graduate and emplyers perspectives</t>
  </si>
  <si>
    <t>JAS 1, 2015</t>
  </si>
  <si>
    <t>C5/012</t>
  </si>
  <si>
    <t>Hillary</t>
  </si>
  <si>
    <t>Kipruto</t>
  </si>
  <si>
    <t>Sang</t>
  </si>
  <si>
    <t>LINGUISTICS</t>
  </si>
  <si>
    <t>LINGUISTICS AND FOREIGN LANGUAGES</t>
  </si>
  <si>
    <t>SASS/DPHIL/LIN/06/14</t>
  </si>
  <si>
    <t>hsang@cartafrica.org</t>
  </si>
  <si>
    <t>hillarysang@yahoo.com</t>
  </si>
  <si>
    <t>+254 724 017107</t>
  </si>
  <si>
    <t>Communication disorders in school children identified with psychiatric disorders</t>
  </si>
  <si>
    <t>Dr. Tom Abuom</t>
  </si>
  <si>
    <t>C5/013</t>
  </si>
  <si>
    <t>Ikeola</t>
  </si>
  <si>
    <t>Adejoke</t>
  </si>
  <si>
    <t>Adeoye</t>
  </si>
  <si>
    <t>MATERNAL HEALTH</t>
  </si>
  <si>
    <t>iadeoye@cartafrica.org</t>
  </si>
  <si>
    <t>adeoyeikeola@yahoo.com</t>
  </si>
  <si>
    <t>+234-8052153252</t>
  </si>
  <si>
    <t>Master in Public Health</t>
  </si>
  <si>
    <t>Maternal obesity and associated maternal, periantal and neo natal outcomes among women in Ibadan, Nigeria</t>
  </si>
  <si>
    <t>Prof. Afolabi Bamigboye</t>
  </si>
  <si>
    <t>0000-0003-3085-0965</t>
  </si>
  <si>
    <t xml:space="preserve">The prevalence, determinants, preganancy and neonatal outcomes of Maternal obesity and its associated metabolic Dysfunction in Ibadan, Nigeria </t>
  </si>
  <si>
    <t>C5/014</t>
  </si>
  <si>
    <t>Justine</t>
  </si>
  <si>
    <t>Nnakate</t>
  </si>
  <si>
    <t>Bukenya</t>
  </si>
  <si>
    <t>Community Health &amp; Behavioural Sciencess</t>
  </si>
  <si>
    <t>jbukenya@cartafrica.org</t>
  </si>
  <si>
    <t>jbukenya@musph.ac.ug</t>
  </si>
  <si>
    <t>+256772446355</t>
  </si>
  <si>
    <t>Pregnancy experiences and reproductive health outcome among adolescents in Uganda.</t>
  </si>
  <si>
    <t>Christopher Garimoi Orach, PhD</t>
  </si>
  <si>
    <t>David Guwatudde, PhD</t>
  </si>
  <si>
    <t>0000-0001-9139-6183</t>
  </si>
  <si>
    <t>Pregnancy Planning and utilization of Maternal Health Services by Female Sex workers in Uganda</t>
  </si>
  <si>
    <t>C5/015</t>
  </si>
  <si>
    <t>Jeanette</t>
  </si>
  <si>
    <t>Dawa</t>
  </si>
  <si>
    <t>KAVI - Institute of Clinical Reasearch</t>
  </si>
  <si>
    <t>H84/50941/2016</t>
  </si>
  <si>
    <t>jdawa@cartafrica.org</t>
  </si>
  <si>
    <t>jandawa@cartafrica.org</t>
  </si>
  <si>
    <t>+254722653696</t>
  </si>
  <si>
    <t>M.Sc Public Health</t>
  </si>
  <si>
    <t>An assessment of breast cancer risk factors among urban black Kenyan females.</t>
  </si>
  <si>
    <t>Prof.Omu Anzala</t>
  </si>
  <si>
    <t>Medical Epidemiologist</t>
  </si>
  <si>
    <t>Medical Epidemiologist and Center Director</t>
  </si>
  <si>
    <t>WASHINGTON STATE UNIVERSITY, KENYA OFFICE (GLOBAL HEALTH PROG)</t>
  </si>
  <si>
    <t>0000-0001-9405-148X</t>
  </si>
  <si>
    <t>Modelling the health and economic impact of the influenza vaccine in Kenya</t>
  </si>
  <si>
    <t>CARNEGIE/DAAD</t>
  </si>
  <si>
    <t>C5/016</t>
  </si>
  <si>
    <t>Jepchirchir</t>
  </si>
  <si>
    <t>Kiplagat</t>
  </si>
  <si>
    <t>jkiplagat@cartafrica.org</t>
  </si>
  <si>
    <t>chiri2809@gmail.com</t>
  </si>
  <si>
    <t>+254722288653</t>
  </si>
  <si>
    <t>Masters Epidemiology &amp; Disease Control</t>
  </si>
  <si>
    <t>HIV among adults aged 50years and older in East Africa.</t>
  </si>
  <si>
    <t>Clinical research - Retrospective and prospective</t>
  </si>
  <si>
    <t>Primary and secondary</t>
  </si>
  <si>
    <t>Ann Mwangi, PhD</t>
  </si>
  <si>
    <t>Charles Chasela, PhD</t>
  </si>
  <si>
    <t>AMPATH Associate Director of Research</t>
  </si>
  <si>
    <t>MOI UNIVERSITY - AMPATH</t>
  </si>
  <si>
    <t>0000-0002-7836-2138</t>
  </si>
  <si>
    <t>Characteristics, outcomes and experiences of HIV infected adults aged 50 years and older in Western kenya</t>
  </si>
  <si>
    <t>C5/017</t>
  </si>
  <si>
    <t>Abayowa</t>
  </si>
  <si>
    <t>Mbada</t>
  </si>
  <si>
    <t>Political Science</t>
  </si>
  <si>
    <t>SSP/13/14/H/0871</t>
  </si>
  <si>
    <t>kmbada@cartafrica.org</t>
  </si>
  <si>
    <t>menteekas@yahoo.com</t>
  </si>
  <si>
    <t>2348137729864</t>
  </si>
  <si>
    <t>M.Sc Political Science</t>
  </si>
  <si>
    <t>Political economy of poverty and health in Ghana and Nigeria: A comparative policy analysis of the Millennium Development Goals.</t>
  </si>
  <si>
    <t>Policy analysis</t>
  </si>
  <si>
    <t>0000-0002-2157-1940</t>
  </si>
  <si>
    <t>JAS 1, 2015 &amp; JAS 4, 2019</t>
  </si>
  <si>
    <t>C5/018</t>
  </si>
  <si>
    <t>Lester</t>
  </si>
  <si>
    <t>Kapanda</t>
  </si>
  <si>
    <t>Epidemeology and Public Health</t>
  </si>
  <si>
    <t>201580013245</t>
  </si>
  <si>
    <t>lkapanda@cartafrica.org</t>
  </si>
  <si>
    <t>lrphiri@medcol.mw</t>
  </si>
  <si>
    <t>+265 994 958 249</t>
  </si>
  <si>
    <t>Exploring the potential drivers of demand and supply for transactional sex and sex work among female sex workers and their clients in Malawi.</t>
  </si>
  <si>
    <t>Prof. Adamson Muula</t>
  </si>
  <si>
    <t>Dr. Chima Izgubara</t>
  </si>
  <si>
    <t xml:space="preserve">Dr. Nicola Desmond </t>
  </si>
  <si>
    <t>0000-0003-2887-2954</t>
  </si>
  <si>
    <t>C5/019</t>
  </si>
  <si>
    <t>Maria</t>
  </si>
  <si>
    <t>Chifuniro</t>
  </si>
  <si>
    <t>Chikalipo</t>
  </si>
  <si>
    <t>Nursing and Midwifery</t>
  </si>
  <si>
    <t>201580013238</t>
  </si>
  <si>
    <t>mchikalipo@cartafrica.org</t>
  </si>
  <si>
    <t>mchikalipo@kcn.unima.mw</t>
  </si>
  <si>
    <t>+ 265 888309781</t>
  </si>
  <si>
    <t>MA Social Development</t>
  </si>
  <si>
    <t>Centering pregnancy: Astrategy in improving maternal and neonatal outcomes among adolescents.</t>
  </si>
  <si>
    <t>Prof. Ellen Chirwa</t>
  </si>
  <si>
    <t>0000-0001-7062-9785</t>
  </si>
  <si>
    <t>Feasibility, acceptability and effectiveness of couple antenatal education in Blantyre, Malawi</t>
  </si>
  <si>
    <t>C5/020</t>
  </si>
  <si>
    <t>Nomathemba</t>
  </si>
  <si>
    <t>Chiwoneso</t>
  </si>
  <si>
    <t>Chandiwana</t>
  </si>
  <si>
    <t>Child and Adolescent Health</t>
  </si>
  <si>
    <t>0403769G</t>
  </si>
  <si>
    <t>nchandiwana@cartafrica.org</t>
  </si>
  <si>
    <t>nomathemba.chandiwana@gmail.com</t>
  </si>
  <si>
    <t>MPH Epidiomology &amp; Biostatistics</t>
  </si>
  <si>
    <t>Impact of strengthening the continuum of care of HIV-infected pregnant and post-natal women and infantsin primary care clinics of South Africa.</t>
  </si>
  <si>
    <t>Prof. Charles S. Chasela</t>
  </si>
  <si>
    <t>Dr. Lee Fairlie</t>
  </si>
  <si>
    <t>Technical advisor</t>
  </si>
  <si>
    <t>WITS RHI</t>
  </si>
  <si>
    <t>0000-0001-7866-2651</t>
  </si>
  <si>
    <t>JAS 4, 2018</t>
  </si>
  <si>
    <t>C5/021</t>
  </si>
  <si>
    <t>Oyewale</t>
  </si>
  <si>
    <t>Mayowa</t>
  </si>
  <si>
    <t>Morakinyo</t>
  </si>
  <si>
    <t>Environmental Health</t>
  </si>
  <si>
    <t>Environmental Health Sciences</t>
  </si>
  <si>
    <t>omorakinyo@cartafrica.org</t>
  </si>
  <si>
    <t>wahlemirax@gmail.com</t>
  </si>
  <si>
    <t>+2348034626106</t>
  </si>
  <si>
    <t>MPH Environmental Health</t>
  </si>
  <si>
    <t>Molecular characterization of bio aerosols associated with sick building syndrome and related health risks in secondary schools in Ibadan,Nigeria.</t>
  </si>
  <si>
    <t>Prof. Ana Godson Rowland</t>
  </si>
  <si>
    <t>0000-0001-5289-9378</t>
  </si>
  <si>
    <t xml:space="preserve">Indoor school building characteristics and molecular profiling of Bioaerosols as predictors of respiratory morbidities among primary school children in Ibadan, Nigeria </t>
  </si>
  <si>
    <t>Indoor Air Quality and Bioaerosols’ Size Distribution as Predictors of Respiratory Morbidities among Pupils in Ibadan North Local Government Area, Oyo State.</t>
  </si>
  <si>
    <t>C5/022</t>
  </si>
  <si>
    <t>Raymond</t>
  </si>
  <si>
    <t>Odokonyero</t>
  </si>
  <si>
    <t>Psychiatry</t>
  </si>
  <si>
    <t>rodokonyero@cartafrica.org</t>
  </si>
  <si>
    <t>rayhaddock@yahoo.com</t>
  </si>
  <si>
    <t>+256701547646</t>
  </si>
  <si>
    <t>Investigating the relationship between parenting styles and coping techniques among parents with their adolescents’problem behavior in post conflict Northern Uganda</t>
  </si>
  <si>
    <t>Prof. Wilson Winston Muhwezi</t>
  </si>
  <si>
    <t>Prof. Seggane Musisi</t>
  </si>
  <si>
    <t>Dr.Akena Dickens Howard</t>
  </si>
  <si>
    <t>C5/023</t>
  </si>
  <si>
    <t>Gift</t>
  </si>
  <si>
    <t>Khangamwa</t>
  </si>
  <si>
    <t>C5/024</t>
  </si>
  <si>
    <t>Masoud</t>
  </si>
  <si>
    <t>Hussein</t>
  </si>
  <si>
    <t>Mahundi</t>
  </si>
  <si>
    <t>C5/025</t>
  </si>
  <si>
    <t>Callen</t>
  </si>
  <si>
    <t>Kwamboka</t>
  </si>
  <si>
    <t>Onyambu</t>
  </si>
  <si>
    <t>C6/001</t>
  </si>
  <si>
    <t>Beatrice</t>
  </si>
  <si>
    <t>Waitherero</t>
  </si>
  <si>
    <t>Maina</t>
  </si>
  <si>
    <t>School of Public Health</t>
  </si>
  <si>
    <t>bmaina@cartafrica.org</t>
  </si>
  <si>
    <t>waithereromaina@yahoo.com; bmaina@aphrc.org</t>
  </si>
  <si>
    <t>+254 (20) 4001000; +254 721 456679</t>
  </si>
  <si>
    <t>MA Population Studies</t>
  </si>
  <si>
    <t>Investigating the social co-construction of masculinity(ies) and sexual development among very young male adolescents in urban slums in Nairobi, Kenya</t>
  </si>
  <si>
    <t>Dr Yandisa Sikweyiya</t>
  </si>
  <si>
    <t>Associate Research Scientist</t>
  </si>
  <si>
    <t>0000-0001-6205-3296</t>
  </si>
  <si>
    <t>C6/002</t>
  </si>
  <si>
    <t>Betty</t>
  </si>
  <si>
    <t>Karimi</t>
  </si>
  <si>
    <t>Mwiti</t>
  </si>
  <si>
    <t>Design</t>
  </si>
  <si>
    <t>School of the Arts and Design</t>
  </si>
  <si>
    <t>B80/51242/2016</t>
  </si>
  <si>
    <t>bmwiti@cartafrica.org</t>
  </si>
  <si>
    <t>mwiti.bk@gmail.com</t>
  </si>
  <si>
    <t>+254 722 694853</t>
  </si>
  <si>
    <t>MA Design</t>
  </si>
  <si>
    <t>ACTION TO HEALTH:  DECREASING THE INCIDENCE OF LIFESTYLE DISEASES  IN  INFORMAL SETTLEMENTS IN NAIROBI, KENYA THROUGH A POPULATION-LED COMMUNICATION STRATEGY</t>
  </si>
  <si>
    <t>Dr. Lilac A. Osanjo</t>
  </si>
  <si>
    <t>Dr. Ambole Amollo Lorraine</t>
  </si>
  <si>
    <t>0000-0001-7064-8003</t>
  </si>
  <si>
    <t>Action to health: Decreasing the incidence of lifestyle diseases in informal settlement in Nairobi through a population led communication strategy</t>
  </si>
  <si>
    <t>Bottom-Up Approach: A community-Led Intervention in fighting lifestyle diseases in Urban informal settlements in Nairobi, Kenya</t>
  </si>
  <si>
    <t>C6/003</t>
  </si>
  <si>
    <t>Chimwemwe</t>
  </si>
  <si>
    <t>Chikoko</t>
  </si>
  <si>
    <t>Kwanjo-Banda</t>
  </si>
  <si>
    <t>Medical and Surgical Nursing</t>
  </si>
  <si>
    <t>201680013682</t>
  </si>
  <si>
    <t>cbanda@cartafrica.org</t>
  </si>
  <si>
    <t>joychikoko@yahoo.co.uk</t>
  </si>
  <si>
    <t>+265884711313</t>
  </si>
  <si>
    <t>Personal, behavioural and environmental factors associated with self-management among diabetic patients attending Queen Elizabeth Central Clinical research diabetes clinic in Malawi: a mixed methods study</t>
  </si>
  <si>
    <t>Prof. Moffat Nyirenda</t>
  </si>
  <si>
    <t>Dr. Belinda Gombachika</t>
  </si>
  <si>
    <t>MALAWI LIVERPOOL WELCOME TRUST CLINICAL RESEARCH PROGRAM (2021)</t>
  </si>
  <si>
    <t>0000-0001-9337-3583</t>
  </si>
  <si>
    <t xml:space="preserve">A mixed methods study on diabetes self management and social cognitive constructs at Queen Elizabeth Cantral Clinical research, Blantyre </t>
  </si>
  <si>
    <t>WT-DELTAS</t>
  </si>
  <si>
    <t>C6/004</t>
  </si>
  <si>
    <t>Oluwaseyi</t>
  </si>
  <si>
    <t>Dolapo</t>
  </si>
  <si>
    <t>Somefun</t>
  </si>
  <si>
    <t>Dept of Demography and Population studies</t>
  </si>
  <si>
    <t>single</t>
  </si>
  <si>
    <t>dsomefun@cartafrica.org</t>
  </si>
  <si>
    <t>seyi.somefun@gmail.com</t>
  </si>
  <si>
    <t>+27788552595</t>
  </si>
  <si>
    <t>Master Demography &amp; Population Studies</t>
  </si>
  <si>
    <t xml:space="preserve">Beyond Risk: Understanding a Framework for Improving Adolescents' Sexual Health in Nigeria </t>
  </si>
  <si>
    <t>Prof. Clifford Odimegwu</t>
  </si>
  <si>
    <t>Research Associate</t>
  </si>
  <si>
    <t>UNIVERSITY OF WESTERN CAPE, SOUTH AFRICA</t>
  </si>
  <si>
    <t>0000-0002-3842-2685</t>
  </si>
  <si>
    <t>Beyond Risk: Understanding a framework for improving adolescents's sexual health in Nigeria</t>
  </si>
  <si>
    <t>C6/005</t>
  </si>
  <si>
    <t>Valens</t>
  </si>
  <si>
    <t>Mbarushimana</t>
  </si>
  <si>
    <t>vmbarushimana@cartafrica.org</t>
  </si>
  <si>
    <t>mbavalens@gmail.com; vmbarushimana@ur.ac.rw; mbavalens@yahoo.fr; vmbarushimana@nursph.org</t>
  </si>
  <si>
    <t>+250788490718</t>
  </si>
  <si>
    <t>Early adolescents' knowledge, beliefs and behaviors regarding gender and sexuality in Rwanda: implications for their sexual experiences and health outcomes.</t>
  </si>
  <si>
    <t>Daphney Conco</t>
  </si>
  <si>
    <t>Dr. Laetitia Nyirazinyoye</t>
  </si>
  <si>
    <t>0000-0002-9700-0343</t>
  </si>
  <si>
    <t>Early adolescents' knoledge, beliefs and behaviors regarding gender and sexuality in Rwanda: implications for their sexual experiences and health outcomes</t>
  </si>
  <si>
    <t>C6/006</t>
  </si>
  <si>
    <t>Eniola</t>
  </si>
  <si>
    <t>Bamgboye</t>
  </si>
  <si>
    <t>ebamgboye@cartafrica.org</t>
  </si>
  <si>
    <t>dr_enip@yahoo.co.uk</t>
  </si>
  <si>
    <t>+234 8029537711</t>
  </si>
  <si>
    <t>M.Sc Epidemiology &amp; Bio Statistics</t>
  </si>
  <si>
    <t>Modeling the effect of HIV on the survival of multi drug resistant tuberculosis co infected patients in Oyo State, South Western Nigeria.</t>
  </si>
  <si>
    <t>Dr. Ikeoluwapo  Ajayi</t>
  </si>
  <si>
    <t>Lecturer 1</t>
  </si>
  <si>
    <t>0000-0003-0500-8557</t>
  </si>
  <si>
    <t>Modelling the effect of HIV Co-infection on the survival of patients with multidrugs resistant Tuberculosis in Oyo State, Southern Western, Nigeria</t>
  </si>
  <si>
    <t>WT -DELTAS</t>
  </si>
  <si>
    <t>C6/007</t>
  </si>
  <si>
    <t>Nomfundo</t>
  </si>
  <si>
    <t>Nzuza</t>
  </si>
  <si>
    <t>Moroe</t>
  </si>
  <si>
    <t>Audiology</t>
  </si>
  <si>
    <t>Speech Pathology and Audiology</t>
  </si>
  <si>
    <t>0103374D</t>
  </si>
  <si>
    <t xml:space="preserve">fmoroe@cartafrica.org </t>
  </si>
  <si>
    <t>nomfundo.moroe7@gmail.com</t>
  </si>
  <si>
    <t>+27823178862</t>
  </si>
  <si>
    <t>MA Audiology</t>
  </si>
  <si>
    <t>Occupational Noise-Induced Hearing Loss in South African Large Scale Mines: From policy formulation to implementation and monitoring</t>
  </si>
  <si>
    <t>Prof. KatijahKhoza-Shangase</t>
  </si>
  <si>
    <t>0000-0001-7186-5632</t>
  </si>
  <si>
    <t xml:space="preserve">Occupational Noise-induced hearing loss in South African Large Scale Mines: From policy formulation to implementation and monitoring </t>
  </si>
  <si>
    <t>Occupational Noise-Induced Hearing Loss in South African Large Scale Mines: From policy
formulation to implementation and monitoring</t>
  </si>
  <si>
    <t>C6/008</t>
  </si>
  <si>
    <t>Godwin</t>
  </si>
  <si>
    <t>Anywar</t>
  </si>
  <si>
    <t>Botany</t>
  </si>
  <si>
    <t>Plant Sciences, Microbiology &amp; Biotechnology</t>
  </si>
  <si>
    <t>2015/HD13/18793U</t>
  </si>
  <si>
    <t>ganywar@cartafrica.org</t>
  </si>
  <si>
    <t>godwinanywar@gmail.com</t>
  </si>
  <si>
    <t>+256 702983410</t>
  </si>
  <si>
    <t>M.Sc Botany</t>
  </si>
  <si>
    <t>Antiviral, immunomodulatory and phytochemical profiles of medicinal plants used by traditional medicine practitioners for the treatment of HIV/AIDS in Uganda</t>
  </si>
  <si>
    <t>Ass. Prof. Kakudidi Eseszah</t>
  </si>
  <si>
    <t>Ass. Prof. Byamukama Robert</t>
  </si>
  <si>
    <t xml:space="preserve">Prof. Dr. Emmrich Frank, Fraunhofer </t>
  </si>
  <si>
    <t>other</t>
  </si>
  <si>
    <t xml:space="preserve"> Appointed as a Review editor in the Journal Frontiers in Pharmacology-Ethnopharmacology Section.</t>
  </si>
  <si>
    <t>0000-0003-0926-1832</t>
  </si>
  <si>
    <t>Ethnopharmacogology, cytotoxicity, antiviral and immunodulatory profiles of medical plant species used by herbalists in treating people living with HIV/AIDS in Uganda</t>
  </si>
  <si>
    <t>WT -DELTAS/DAAD</t>
  </si>
  <si>
    <t>C6/009</t>
  </si>
  <si>
    <t>Olugbenga</t>
  </si>
  <si>
    <t>Abe</t>
  </si>
  <si>
    <t>DEMOGRAPHY AND SOCIAL STATISTICS</t>
  </si>
  <si>
    <t>SSP15/16/R/0003</t>
  </si>
  <si>
    <t>jabe@cartafrica.org</t>
  </si>
  <si>
    <t>abegbenga7@gmail.com</t>
  </si>
  <si>
    <t>+2348034460713</t>
  </si>
  <si>
    <t>Masters in Demography and Social Statistics</t>
  </si>
  <si>
    <t>Labour Force Disengagement Transitions and Quality of Life of Older Persons in Formal Organisations in Osun State, Nigeria</t>
  </si>
  <si>
    <t>Prof. Akinyemi Ibukun Akanni</t>
  </si>
  <si>
    <t>Dr. Oyedokun Olugbenga Amos</t>
  </si>
  <si>
    <t xml:space="preserve">AQUATECH COLLEGE OF AGRICULTURE </t>
  </si>
  <si>
    <t>0000-0002-6312-0195</t>
  </si>
  <si>
    <t>Labour force disengagement transitions and quality of life of older persons in formal organisations in Osun State, Nigeria</t>
  </si>
  <si>
    <t>C6/010</t>
  </si>
  <si>
    <t>Justin</t>
  </si>
  <si>
    <t>Kumala</t>
  </si>
  <si>
    <t>Biomedical research</t>
  </si>
  <si>
    <t>Wits Research institute for Malaria (WRIM)</t>
  </si>
  <si>
    <t>jkumala@cartafrica.org</t>
  </si>
  <si>
    <t>justinkumala@yahoo.com</t>
  </si>
  <si>
    <t>+27711374112</t>
  </si>
  <si>
    <t>The impact of insecticide resistance on malaria vector control in Chikwawa, Southern Malawi</t>
  </si>
  <si>
    <t>Prof. Maureen Coetzee</t>
  </si>
  <si>
    <t>Dr. Themba Mzilahowa</t>
  </si>
  <si>
    <t>Research Assistant</t>
  </si>
  <si>
    <t>0000-0001-6357-9441</t>
  </si>
  <si>
    <t>The efect of insecticide resistance on malaria vector control in Chikwawa, Southern Malawi</t>
  </si>
  <si>
    <t>The effect of insecticide resistance on Malaria vector control in Chikwawa, Southern Malawi</t>
  </si>
  <si>
    <t>C6/011</t>
  </si>
  <si>
    <t>Joan</t>
  </si>
  <si>
    <t>Nankya</t>
  </si>
  <si>
    <t>Mutyoba</t>
  </si>
  <si>
    <t>Epidemiology &amp; Biostatistics</t>
  </si>
  <si>
    <t>2014/HD07/18654U</t>
  </si>
  <si>
    <t>jmutyoba@cartafrica.org</t>
  </si>
  <si>
    <t>eron.jm@hotmail.com</t>
  </si>
  <si>
    <t>+256 772 324 309</t>
  </si>
  <si>
    <t>MS Epidemiology &amp; Biostatistics</t>
  </si>
  <si>
    <t>Hepatitis B Among Pregnant Women:Epidemiology, Knowledge, perceptions and behavioral intentions</t>
  </si>
  <si>
    <t>Professor Ponsiano Ocama</t>
  </si>
  <si>
    <t>Assoc. Professor Frederick Makumbi</t>
  </si>
  <si>
    <t>0000-0002-0661-5933</t>
  </si>
  <si>
    <t>Hepatitis B among pregnant women: Epidemiology, knowledge, perceptions and behavioral intentions</t>
  </si>
  <si>
    <t>Hepatitis B among Ugandan pregnant women: Studies on Epidemiology, Knowledge, Perceptions and Behavioural Intentions</t>
  </si>
  <si>
    <t>C6/012</t>
  </si>
  <si>
    <t>Kudus</t>
  </si>
  <si>
    <t>Oluwatoyin</t>
  </si>
  <si>
    <t>Adebayo</t>
  </si>
  <si>
    <t>kadebayo@cartafrica.org</t>
  </si>
  <si>
    <t>oluwatoyinkudus@gmail.com</t>
  </si>
  <si>
    <t>+2348029516738</t>
  </si>
  <si>
    <t>M.Sc Sociology</t>
  </si>
  <si>
    <t>Migration and settlement experiences of Nigerians in Guangzhou, China</t>
  </si>
  <si>
    <t>Prof Omololu O. Femi</t>
  </si>
  <si>
    <t>Tutorial Assistant</t>
  </si>
  <si>
    <t>Research Fellow I</t>
  </si>
  <si>
    <t>0000-0002-3746-4963</t>
  </si>
  <si>
    <t>International migration and settlement experiences of Nigerians in Guangzhou, China</t>
  </si>
  <si>
    <t>C6/013</t>
  </si>
  <si>
    <t>Kolawole</t>
  </si>
  <si>
    <t>Aliyu</t>
  </si>
  <si>
    <t>Sociology and Anthropology</t>
  </si>
  <si>
    <t>SSP15/16/R/0083</t>
  </si>
  <si>
    <t>kaliyu@cartafrica.org</t>
  </si>
  <si>
    <t>aliyukola@gmail.com</t>
  </si>
  <si>
    <t>+2348060100021</t>
  </si>
  <si>
    <t>M.Sc Sociology &amp; Anthropology</t>
  </si>
  <si>
    <t>Socio-ecological Factors Influencing Parent-adolescent Communication on Sexual and Reproductive Health Issues in Selected Slum Communities of Ibadan, Southwest, Nigeria</t>
  </si>
  <si>
    <t>Prof. Anna Baranowska-Rataj</t>
  </si>
  <si>
    <t xml:space="preserve">Senior Lecturer </t>
  </si>
  <si>
    <t>0000-0001-7896-1061</t>
  </si>
  <si>
    <t>Socio -ecological factors influencing parent -adolescent Communication on sexual and reproductive Health issues in selected slum cCommunities of Ibadan, Southwest, Nigeria</t>
  </si>
  <si>
    <t>C6/014</t>
  </si>
  <si>
    <t>Khumbo</t>
  </si>
  <si>
    <t>Kalulu</t>
  </si>
  <si>
    <t>Engineering</t>
  </si>
  <si>
    <t>PhD/13/MPL/001</t>
  </si>
  <si>
    <t>kkalulu@cartafrica.org</t>
  </si>
  <si>
    <t>kmkalulu@gmail.com</t>
  </si>
  <si>
    <t>+265 999 691 961</t>
  </si>
  <si>
    <t>M.BA, Masters in Integrated Water Resources</t>
  </si>
  <si>
    <t>Improving resource efficiency in treatment of faecal sludge from unplanned settlements of in the cities of Malawi</t>
  </si>
  <si>
    <t>Asso. Prof. Bernard Thole (PhD)</t>
  </si>
  <si>
    <t xml:space="preserve">Ass. Prof. Theresa Mkandawire (PhD) </t>
  </si>
  <si>
    <t xml:space="preserve">Prof. Grant Kululanga (PhD) </t>
  </si>
  <si>
    <t>0000-0001-9841-9173</t>
  </si>
  <si>
    <t>C6/015</t>
  </si>
  <si>
    <t>Mumuni</t>
  </si>
  <si>
    <t>Adejumo</t>
  </si>
  <si>
    <t>madejumo@cartafrica.org</t>
  </si>
  <si>
    <t>adejumo_mumuni@yahoo.com</t>
  </si>
  <si>
    <t>+234 8050821482</t>
  </si>
  <si>
    <t>Improving greywater quality and Harnessing Water Resources through Algae Based Technology in a Low to Middle-Income Community in South-West Nigeria</t>
  </si>
  <si>
    <t>Dr. Elizabeth O. OLORUNTOBA</t>
  </si>
  <si>
    <t>Prof. M.K.C. SRIDHAR</t>
  </si>
  <si>
    <t>0000-0003-4797-7508</t>
  </si>
  <si>
    <t>Improving greywater quality and harnessing water resources through algae based technology in Low to Middle income community in South West Nigeria</t>
  </si>
  <si>
    <t>C6/016</t>
  </si>
  <si>
    <t>Macellina</t>
  </si>
  <si>
    <t>Yinyinade</t>
  </si>
  <si>
    <t>Ijadunola</t>
  </si>
  <si>
    <t>CLP/13/14/H/2482</t>
  </si>
  <si>
    <t>mijadunola@cartafrica.org</t>
  </si>
  <si>
    <t>yijadun@yahoo.com</t>
  </si>
  <si>
    <t>+234 803 706 2008</t>
  </si>
  <si>
    <t>CHARACTERISTICS OF SKIPPED GENERATION HOUSEHOLDS AND HEALTH OF ADOLESCENTS IN IFE-IJESA ZONE, OSUN STATE, NIGERIA.</t>
  </si>
  <si>
    <t>Prof. Adesegun O. Fatusi</t>
  </si>
  <si>
    <t>Dr. Olapeju A. Esimai</t>
  </si>
  <si>
    <t>0000-0002-4838-0431</t>
  </si>
  <si>
    <t>Characteristics of skipped generation houseolds and health of adolescents in Ife-Ijesa Nigeria: Implications for grandparents and adolescent Health</t>
  </si>
  <si>
    <t>C6/017</t>
  </si>
  <si>
    <t>Marie Chantal</t>
  </si>
  <si>
    <t>Uwimana</t>
  </si>
  <si>
    <t>Midwifery</t>
  </si>
  <si>
    <t>Nursing Education</t>
  </si>
  <si>
    <t>muwimana@cartafrica.org</t>
  </si>
  <si>
    <t>uwimac@yahoo.fr</t>
  </si>
  <si>
    <t>+250(0) 788 527 435</t>
  </si>
  <si>
    <t>Master of Nursing Management</t>
  </si>
  <si>
    <t>DEVELOPING AND PILOT TESTING OF A LABOUR SUPPORT INTERVENTION BY NURSES AND MIDWIVES AT PUBLIC HEALTH FACILITIES IN RWANDA</t>
  </si>
  <si>
    <t>Dr. Gorrette Nalwadda K</t>
  </si>
  <si>
    <t>Prof. Nazarius Mbona T</t>
  </si>
  <si>
    <t>Head of Midwifery</t>
  </si>
  <si>
    <t>0000-0001-6105-2611</t>
  </si>
  <si>
    <t>Measuring the importance of labour support practice for mothers and nurses and midwives at public health facilities in Rwanda</t>
  </si>
  <si>
    <t>C6/018</t>
  </si>
  <si>
    <t>Wanjira</t>
  </si>
  <si>
    <t>Njue-Kamau</t>
  </si>
  <si>
    <t>COMMUNITY HEALTH</t>
  </si>
  <si>
    <t>COMMUNITY HEALTH NURSING</t>
  </si>
  <si>
    <t>H80/50154/2015</t>
  </si>
  <si>
    <t>mwanjira@cartafrica.org</t>
  </si>
  <si>
    <t>mwkamau@gmail.com</t>
  </si>
  <si>
    <t>+254 727 736810</t>
  </si>
  <si>
    <t>Msc. Public Health</t>
  </si>
  <si>
    <t>Iron and Folic Acid Supplementation (IFAS) among pregnant women: A community based approach in Kiambu County</t>
  </si>
  <si>
    <t>Dr. Waithira Mirie</t>
  </si>
  <si>
    <t xml:space="preserve">Dr. Samuel T. Kimani  </t>
  </si>
  <si>
    <t> 0000-0002-4167-3549</t>
  </si>
  <si>
    <t>Iron and folic acid supplementation (IFAS) among pregnant women: A community based approach in Kiambu County</t>
  </si>
  <si>
    <t>C6/019</t>
  </si>
  <si>
    <t>Makhosazane</t>
  </si>
  <si>
    <t>Nomhle</t>
  </si>
  <si>
    <t>Khoza</t>
  </si>
  <si>
    <t>Clinical Medicine</t>
  </si>
  <si>
    <t>Wits Reproductive Health &amp; HIV Institute</t>
  </si>
  <si>
    <t>nkhoza@cartafrica.org</t>
  </si>
  <si>
    <t>nomhle@tuks.co.za; u21128716@tuks.co.za</t>
  </si>
  <si>
    <t>+27765125071</t>
  </si>
  <si>
    <t>MA Research Psychology</t>
  </si>
  <si>
    <t>The use of cash transfers for cash outcomes: exploring the influence of gender</t>
  </si>
  <si>
    <t>Catherine MacPhail</t>
  </si>
  <si>
    <t>Prof. Delany-Moretlwe</t>
  </si>
  <si>
    <t>Honorary Researcher</t>
  </si>
  <si>
    <t>0000-0003-1312-7783</t>
  </si>
  <si>
    <t>The social consequences of cash transfers on adolescent recipients and their relationships</t>
  </si>
  <si>
    <t>Exploring the social consequences of cash transfers on adolescent recipients and their relationships</t>
  </si>
  <si>
    <t>C6/020</t>
  </si>
  <si>
    <t>Aanuoluwapo</t>
  </si>
  <si>
    <t>Omobolanle</t>
  </si>
  <si>
    <t>Olajubu</t>
  </si>
  <si>
    <t>Bmsp13/14/H/0861</t>
  </si>
  <si>
    <t>oolajubu@cartafrica.org</t>
  </si>
  <si>
    <t>bolajubu@gmail.com</t>
  </si>
  <si>
    <t>+234 8062784468</t>
  </si>
  <si>
    <t>M.Sc Community Health</t>
  </si>
  <si>
    <t>Impact of a Mobile Health Intervention on Uptake of Postnatal Care Services and Related Outcomes among Mothers in Osun State, Nigeria</t>
  </si>
  <si>
    <t>Prof. R. B. Fajemilehin</t>
  </si>
  <si>
    <t>Prof. B. S. Afolabi</t>
  </si>
  <si>
    <t>0000-0001-9617-8660</t>
  </si>
  <si>
    <t>Impact Of A Mobile Health Intervention On Uptake Of Postnatal Care Services And Related Outcomes Among Mothers In Osun State, Nigeria.</t>
  </si>
  <si>
    <t>C6/021</t>
  </si>
  <si>
    <t>Olivia</t>
  </si>
  <si>
    <t>Millicent Awino</t>
  </si>
  <si>
    <t>Osiro</t>
  </si>
  <si>
    <t>Restorative and Preventive dentistry</t>
  </si>
  <si>
    <t>Conservative and Prosthetic Dentistry</t>
  </si>
  <si>
    <t>V91/51081/2016</t>
  </si>
  <si>
    <t>oosiro@cartafrica.org</t>
  </si>
  <si>
    <t>oaosiro@uonbi.ac.ke</t>
  </si>
  <si>
    <t>+254 722 861488</t>
  </si>
  <si>
    <t>M.Sc Dental Materials</t>
  </si>
  <si>
    <t>Development of a glass ionomer cement using fluorspar from Kerio Valley and other raw materials in Kenya</t>
  </si>
  <si>
    <t>experimental model</t>
  </si>
  <si>
    <t>Prof. David Kinuthia Kariuki</t>
  </si>
  <si>
    <t>Dr. Elizabeth Dimba</t>
  </si>
  <si>
    <t>Prof. Loice Gathece</t>
  </si>
  <si>
    <t>Chairman of Department of Conservative and Prosthetic Dentistry  (Sep, 2020)</t>
  </si>
  <si>
    <t>0000-0002-0095-4694</t>
  </si>
  <si>
    <t>Development of a prototype for a restorative dental cement in Kenya</t>
  </si>
  <si>
    <t>JAS 1, 2016</t>
  </si>
  <si>
    <t>C6/022</t>
  </si>
  <si>
    <t>Olutoyin</t>
  </si>
  <si>
    <t>Olubunmi</t>
  </si>
  <si>
    <t>Sekoni</t>
  </si>
  <si>
    <t>Not yet available</t>
  </si>
  <si>
    <t>osekoni@cartafrica.org</t>
  </si>
  <si>
    <t>t1toyin@yahoo.com</t>
  </si>
  <si>
    <t>+234-803-357-9048</t>
  </si>
  <si>
    <t>Structural factors associated with sexual risk behaviour among Out-of-School adolescents in an Urban slum in South West Nigeria</t>
  </si>
  <si>
    <t>Prof. Christofides Nicola</t>
  </si>
  <si>
    <t>Prof. Mall Sumaya</t>
  </si>
  <si>
    <t>0000-0001-6993-1100</t>
  </si>
  <si>
    <t>C6/023</t>
  </si>
  <si>
    <t>Mpho</t>
  </si>
  <si>
    <t>Primrose</t>
  </si>
  <si>
    <t>Molete</t>
  </si>
  <si>
    <t>Oral Health</t>
  </si>
  <si>
    <t>9200430H</t>
  </si>
  <si>
    <t>pmpho@cartafrica.org</t>
  </si>
  <si>
    <t>mpho.molete@wits.ac.za</t>
  </si>
  <si>
    <t>0027 647523860</t>
  </si>
  <si>
    <t>Master in Dentistry, M.Sc Dental Public health</t>
  </si>
  <si>
    <t>Extent of oral health service integration into the school health program in the Tshwane District.</t>
  </si>
  <si>
    <t>Prof. Aimee Stewart</t>
  </si>
  <si>
    <t>Specialist in Community Dentistry</t>
  </si>
  <si>
    <t>0000-0001-9227-3927</t>
  </si>
  <si>
    <t>Schoolbased oral health programmes in Tshwane District of Gauteng: Scope, implemntation and outcomes</t>
  </si>
  <si>
    <t>School-based oral health programmes in the Tshwane District of Gauteng: scope, implementation and outcomes.'</t>
  </si>
  <si>
    <t>C6/024</t>
  </si>
  <si>
    <t>Tutu</t>
  </si>
  <si>
    <t>Said</t>
  </si>
  <si>
    <t>Mzee</t>
  </si>
  <si>
    <t>Molecular genetics</t>
  </si>
  <si>
    <t>Molecular biology and biotechnology</t>
  </si>
  <si>
    <t>2016-07-00173</t>
  </si>
  <si>
    <t>stutu@cartafrica.org</t>
  </si>
  <si>
    <t>tmzee@ihi.or.tz</t>
  </si>
  <si>
    <t>+255713869915</t>
  </si>
  <si>
    <t>M.SC Biotechnology</t>
  </si>
  <si>
    <t xml:space="preserve">Molecular epidemiology of antibiotic resistant bacteria and their interaction mechanisms in human, livestock and environment.  </t>
  </si>
  <si>
    <t>Dr. Rose J Masalu</t>
  </si>
  <si>
    <t>Quality Assurance Officer</t>
  </si>
  <si>
    <t>0000-0002-5918-0574</t>
  </si>
  <si>
    <t>Molecular epidemiology of Antibiotic resistant S.aureaus in Livestock and their human contacts</t>
  </si>
  <si>
    <t>C6/025</t>
  </si>
  <si>
    <t>Edwin</t>
  </si>
  <si>
    <t>Kipkosgei</t>
  </si>
  <si>
    <t>Cheruiyot Sang</t>
  </si>
  <si>
    <t>Biostatistics</t>
  </si>
  <si>
    <t>Public and Population Health</t>
  </si>
  <si>
    <t>esang@cartafrica.org</t>
  </si>
  <si>
    <t>edwin.ampath@gmail.com</t>
  </si>
  <si>
    <t>+254711531441</t>
  </si>
  <si>
    <t>C7/001</t>
  </si>
  <si>
    <t>Abigail</t>
  </si>
  <si>
    <t>Ruth</t>
  </si>
  <si>
    <t>Dreyer</t>
  </si>
  <si>
    <t>Medical Education</t>
  </si>
  <si>
    <t>adreyer@cartafrica.org</t>
  </si>
  <si>
    <t>abigaildreyer@gmail.com</t>
  </si>
  <si>
    <t>+27 116152976</t>
  </si>
  <si>
    <t>Masters of Public Health</t>
  </si>
  <si>
    <t>Comparative analysis of decentralised training platforms in undergraduate medical education at four South African universities</t>
  </si>
  <si>
    <t xml:space="preserve">Prof. Laetitia Rispel  </t>
  </si>
  <si>
    <t>Head of Learning, Influence and Networking at PATA</t>
  </si>
  <si>
    <t>PATA Cape Town</t>
  </si>
  <si>
    <t>0000-0002-0499-0094</t>
  </si>
  <si>
    <t>A comparative study of decentralized training platforms in undergraduate medical education at four South African Universities</t>
  </si>
  <si>
    <t>A comparative study of decentralised training platforms in undergraduate medical education at four South African universities</t>
  </si>
  <si>
    <t>C7/002</t>
  </si>
  <si>
    <t>Alexander</t>
  </si>
  <si>
    <t>Kagaha</t>
  </si>
  <si>
    <t>Sociology and Social Anthropology</t>
  </si>
  <si>
    <t>akagaha@cartafrica.org</t>
  </si>
  <si>
    <t>akagaha@gmail.com</t>
  </si>
  <si>
    <t>+256772419211</t>
  </si>
  <si>
    <t>MA Sociology; Msc. Development Management</t>
  </si>
  <si>
    <t>The Power Discourse in Health Services Uptake: A case of Maternal and Child Health services uptake in Eastern Uganda</t>
  </si>
  <si>
    <t>Prof. Eleanor Manderson</t>
  </si>
  <si>
    <t xml:space="preserve">Assistant Lecturer </t>
  </si>
  <si>
    <t>0000-0002-7787-8597</t>
  </si>
  <si>
    <t>Policy and Practice of Abortion Care in Eastern Uganda</t>
  </si>
  <si>
    <t>Policy and Practice of Abortion care in Eastern Uganda</t>
  </si>
  <si>
    <t xml:space="preserve">PhD Research and dissertation writing </t>
  </si>
  <si>
    <t>C7/003</t>
  </si>
  <si>
    <t>Abiola</t>
  </si>
  <si>
    <t>Olubusola</t>
  </si>
  <si>
    <t>Komolafe</t>
  </si>
  <si>
    <t>Department of Nursing Science</t>
  </si>
  <si>
    <t>BMSP15/16/H/0919</t>
  </si>
  <si>
    <t>akomolafe@cartafrica.org</t>
  </si>
  <si>
    <t>abiolakomolafe2016@gmail.com</t>
  </si>
  <si>
    <t>XESC</t>
  </si>
  <si>
    <t>MSc. (Nursing), OAU</t>
  </si>
  <si>
    <t>Digital Enabled Intervention for Improved Data Capture among Nurses in Perinatal Care in Selected Health Care Facilities in Osun State</t>
  </si>
  <si>
    <t xml:space="preserve">Prof. Irinoye Oladunni Omolola </t>
  </si>
  <si>
    <t>Instructor</t>
  </si>
  <si>
    <t>0000-0002-2123-7782</t>
  </si>
  <si>
    <t>Determinants of Implementation Success of Emergency Obstetric and Neonatal Care in Selected Health Facilities in Osun State, Nigeria</t>
  </si>
  <si>
    <t>C7/004</t>
  </si>
  <si>
    <t>Blessings</t>
  </si>
  <si>
    <t>Nyasilia Kaunda</t>
  </si>
  <si>
    <t>Kaunda-Khangamwa</t>
  </si>
  <si>
    <t>Medical Anthropology</t>
  </si>
  <si>
    <t>bkaunda@cartafrica.org</t>
  </si>
  <si>
    <t>b.n.kaunda@gmail.com</t>
  </si>
  <si>
    <t>+ 265 888 554052</t>
  </si>
  <si>
    <t>Master of Science in Medical Anthropology</t>
  </si>
  <si>
    <t>Sexuality and reproductive health needs of adolescents living with HIV in Malawi: An anthropological study of teen club members and non-members</t>
  </si>
  <si>
    <t>Prof. Munthali, Alister</t>
  </si>
  <si>
    <t>Dr. Chipeta, Effie</t>
  </si>
  <si>
    <t>Research Fellow</t>
  </si>
  <si>
    <t>0000-0001-7345-9427</t>
  </si>
  <si>
    <t>Sexual and reproductive health, service use and resilience among adolescents in urban Blantyre</t>
  </si>
  <si>
    <t>I work as a research scientist in a research institution and they cannot afford to employ me while studying for the PhD.</t>
  </si>
  <si>
    <t>C7/005</t>
  </si>
  <si>
    <t>Banamwana</t>
  </si>
  <si>
    <t>Environmental Studies</t>
  </si>
  <si>
    <t>cbanamwana@cartafrica.org</t>
  </si>
  <si>
    <t>banacele@yahoo.fr</t>
  </si>
  <si>
    <t>+250785160088</t>
  </si>
  <si>
    <t>Biodiversity Concervation Sciences</t>
  </si>
  <si>
    <t xml:space="preserve">The use of Ecological Sanitation (EcoSan) latrines towards sustainable economics in Rwanda </t>
  </si>
  <si>
    <t xml:space="preserve">Dr. David Musoke, PhD </t>
  </si>
  <si>
    <t xml:space="preserve"> Assoc. Prof. Nazarius Mbona Tumwesigye</t>
  </si>
  <si>
    <t>Assoc.Prof.Theoneste Ntakirutimana</t>
  </si>
  <si>
    <t xml:space="preserve">0000-0002-2817-2926 </t>
  </si>
  <si>
    <t>Ecological sanitation technology uptake and health risks among users of its products in Burera District, Rwanda</t>
  </si>
  <si>
    <t>WT-DELTAS/DAAD</t>
  </si>
  <si>
    <t>C7/006</t>
  </si>
  <si>
    <t>Catherine</t>
  </si>
  <si>
    <t>Mawia</t>
  </si>
  <si>
    <t>Musyoka</t>
  </si>
  <si>
    <t>Clinical Psychology</t>
  </si>
  <si>
    <t>Department of Psychiatry</t>
  </si>
  <si>
    <t>cmusyoka@cartafrica.org</t>
  </si>
  <si>
    <t>camulundu2011@gmail.com</t>
  </si>
  <si>
    <t>+254 721 723514, +254 720 326 306</t>
  </si>
  <si>
    <t>Master of Science Clinical Psychology</t>
  </si>
  <si>
    <t>Evaluating the Effectiveness of Peer Mentorship Programs in the Prevention of Alcohol and Drug Abuse among Students at the University of Nairobi</t>
  </si>
  <si>
    <t>Dr. Muthoni Mathai</t>
  </si>
  <si>
    <t>Dr William Byansi</t>
  </si>
  <si>
    <t>Dr Thomas Crea</t>
  </si>
  <si>
    <t>Clinical Psychologist</t>
  </si>
  <si>
    <t>Clinical Psychologist &amp; ADAP Program Coordinator</t>
  </si>
  <si>
    <t>0000-0001-6669-9860</t>
  </si>
  <si>
    <t>Prevention of Alcohol and Substance Abuse: mHealth Technology Based Peer Mentoring Among University of Nairobi Students</t>
  </si>
  <si>
    <t>C7/007</t>
  </si>
  <si>
    <t>Olubukola</t>
  </si>
  <si>
    <t>Cadmus</t>
  </si>
  <si>
    <t>Community Medicine</t>
  </si>
  <si>
    <t>colubukola@cartafrica.org</t>
  </si>
  <si>
    <t>eniyolacadmus@gmail.com</t>
  </si>
  <si>
    <t>+234802360510</t>
  </si>
  <si>
    <t>Feasibility and preferences of older persons in Oyo State Nigeria regarding ageing in place: A Rural-Urban Comparison</t>
  </si>
  <si>
    <t>Prof. Eme Owoaje Theodara</t>
  </si>
  <si>
    <t>Dr Adebusoye Adekunle Lawrence</t>
  </si>
  <si>
    <t>0000-0002-0201-1462</t>
  </si>
  <si>
    <t>An exploration of models for community care and desire to Age in Place among older persons in Oyo State, South Western Nigeria</t>
  </si>
  <si>
    <t>Unmet Needs for Informal Support and Their Health Implications for Older Adults in Oyo State, Nigeria</t>
  </si>
  <si>
    <t>C7/008</t>
  </si>
  <si>
    <t>Wanangwa</t>
  </si>
  <si>
    <t>Chimwaza</t>
  </si>
  <si>
    <t>Manda</t>
  </si>
  <si>
    <t>wmanda@cartafrica.org</t>
  </si>
  <si>
    <t>wchimwaza@medcol.mw</t>
  </si>
  <si>
    <t>+265999445465</t>
  </si>
  <si>
    <t>Lived Experiences of Couple Adopters of Modern Contraceptive Methods: Husbands’ Perspectives</t>
  </si>
  <si>
    <t>Associate Professor Yandisa Sikweyiya</t>
  </si>
  <si>
    <t>Associate Professor Mphatso Kamndaya</t>
  </si>
  <si>
    <t>Research Coordinator</t>
  </si>
  <si>
    <t>Research coordinator</t>
  </si>
  <si>
    <t>0000-0001-8061-8457</t>
  </si>
  <si>
    <t>Social Support and Sexual Health among Very Young adolescent girls in two Districts in Malawi: A Narrative Inquiry</t>
  </si>
  <si>
    <t>Social support and sexual health among very young adolescent girls in two districts in Malawi: A narrative inquiry</t>
  </si>
  <si>
    <t>JAS 1&amp;2, 2017</t>
  </si>
  <si>
    <t>C7/009</t>
  </si>
  <si>
    <t>Madalitso</t>
  </si>
  <si>
    <t>Enock</t>
  </si>
  <si>
    <t>Chisati</t>
  </si>
  <si>
    <t>Exercise Science</t>
  </si>
  <si>
    <t>Physiotherapy</t>
  </si>
  <si>
    <t>201580013286</t>
  </si>
  <si>
    <t>echisati@cartafrica.org</t>
  </si>
  <si>
    <t>echisati@medcol.mw</t>
  </si>
  <si>
    <t>+265888168284</t>
  </si>
  <si>
    <t>MSc in Exercise Physiology and Sports Sciences</t>
  </si>
  <si>
    <t>Lipodystrophy and physical fitness surveillance of people living with HIV while on antiretroviral therapy in Malawi</t>
  </si>
  <si>
    <t>Professor Lampiao Fanuel</t>
  </si>
  <si>
    <t>Professor Demitri Constantino</t>
  </si>
  <si>
    <t>Head of department of Physiotherapy; Country Contact |Global Observatory for Physical Activity (GoPA); Part Time Lecturer|Health &amp; Fitness Professionals Academy (HFPA) International; Chairperson |College of Medicine HPC Sports Science Committee; (Oct 22020)</t>
  </si>
  <si>
    <t>0000-0001-5596-9386</t>
  </si>
  <si>
    <t>Physical fitness and bone mineral density in people living with HIV and receiving antiretroviral therapy in Blantyre, Malawi</t>
  </si>
  <si>
    <t>Reduced bone mineral density among people living wih HIV and receiving ant-retroviral therapy in Blantyre, Malawi: Pharmacological challenges, prevalence and the role of exercise</t>
  </si>
  <si>
    <t>C7/010</t>
  </si>
  <si>
    <t>Edna</t>
  </si>
  <si>
    <t>Wairimu</t>
  </si>
  <si>
    <t>Kamau</t>
  </si>
  <si>
    <t>Internal Medicine</t>
  </si>
  <si>
    <t>Clinical Medicine and Therapeutics</t>
  </si>
  <si>
    <t>ekamau@cartafrica.org</t>
  </si>
  <si>
    <t>dr.ednakamau@gmail.com</t>
  </si>
  <si>
    <t>+254 722-649187</t>
  </si>
  <si>
    <t>Detection of esophageal squamous cell dysplasia and early squamous cell carcinoma in high risk populations</t>
  </si>
  <si>
    <t>Professor Lucy Muchiri</t>
  </si>
  <si>
    <t>Non-Alcoholic Steatohepatitis and Advanced Fibrosis in Patients with Non-Alcoholic Fatty Liver Disease at the Kenyatta National Clinical research - The Diagnostic Utility of Non-Invasive Tests</t>
  </si>
  <si>
    <t>C7/011</t>
  </si>
  <si>
    <t>Felishana</t>
  </si>
  <si>
    <t>Jepkosgei</t>
  </si>
  <si>
    <t>Cherop</t>
  </si>
  <si>
    <t>Management Science</t>
  </si>
  <si>
    <t>Management Science, School of Business and Economics</t>
  </si>
  <si>
    <t>SBE/DPHIL/BM/18/15</t>
  </si>
  <si>
    <t>fcherop@cartafrica.org</t>
  </si>
  <si>
    <t>fcherop@gmail.com</t>
  </si>
  <si>
    <t>+254720296334</t>
  </si>
  <si>
    <t xml:space="preserve">MBA, Strategic Management, MSc. International Health Research Ethics </t>
  </si>
  <si>
    <t>Entrepreneurial Orientation and Self-Concept Traits on Health Outcomes of People Living With HIV/Aids in Western Kenya</t>
  </si>
  <si>
    <t>Prof. Michael Korir</t>
  </si>
  <si>
    <t>Dr. Juddy Wachira</t>
  </si>
  <si>
    <t>0000-0001-5599-0839</t>
  </si>
  <si>
    <t>Strategic Leadership, Relational Dynamics and Patient Loyalty to HIV Care in a Public Clinical research in Eldoret, Western Kenya</t>
  </si>
  <si>
    <t>Strategic Clinical Leader Attributes and Health System Factors Associated with Patient Loyalty to HIV Care in Moi Teaching and Referral Clinical research, Eldoret, Kenya</t>
  </si>
  <si>
    <t>JAS 3&amp;4, 2021</t>
  </si>
  <si>
    <t>C7/012</t>
  </si>
  <si>
    <t>Folake</t>
  </si>
  <si>
    <t>Barakat</t>
  </si>
  <si>
    <t>Lawal</t>
  </si>
  <si>
    <t>Dentistry</t>
  </si>
  <si>
    <t>Department of Periodontology and Community Dentistry</t>
  </si>
  <si>
    <t>flawal@cartafrica.org</t>
  </si>
  <si>
    <t>folakemilawal@yahoo.com</t>
  </si>
  <si>
    <t>+2348023658988</t>
  </si>
  <si>
    <t>MDS</t>
  </si>
  <si>
    <t>Evaluation and comparison of oral health education delivery strategies in the promotion of oral health among adolescents in Ibadan</t>
  </si>
  <si>
    <t>Professor Oke Aderemi Gbemisola</t>
  </si>
  <si>
    <t>Coordinator Community oral health programme</t>
  </si>
  <si>
    <t>0000-0002-3193-387X</t>
  </si>
  <si>
    <t>Comparison of school based oral health promotion strategies among adolescents in Ibadan, Nigeria</t>
  </si>
  <si>
    <t>C7/013</t>
  </si>
  <si>
    <t>Funmilola</t>
  </si>
  <si>
    <t>Folasade</t>
  </si>
  <si>
    <t>Oyinlola</t>
  </si>
  <si>
    <t>SSP15/16/R/0001</t>
  </si>
  <si>
    <t>foyinlola@cartafrica.org</t>
  </si>
  <si>
    <t>funmibek1@yahoo.com</t>
  </si>
  <si>
    <t>+2347037847020</t>
  </si>
  <si>
    <t>M.sc Demography and Social Statistics</t>
  </si>
  <si>
    <t>Childbearing Choices and Intentions among Married Women in Nigeria</t>
  </si>
  <si>
    <t>Prof. Bamiwuye Olusina</t>
  </si>
  <si>
    <t xml:space="preserve">Dr. Adedokun Sulaimon </t>
  </si>
  <si>
    <t>0000-0002-9630-963X</t>
  </si>
  <si>
    <t>Individual, Household and Neighbourhood Factors Influencing Women's Reproductive Choices in Nigeria</t>
  </si>
  <si>
    <t>JAS1, 2017</t>
  </si>
  <si>
    <t>C7/014</t>
  </si>
  <si>
    <t>Justus</t>
  </si>
  <si>
    <t>Khashmottoh</t>
  </si>
  <si>
    <t>Musasiah</t>
  </si>
  <si>
    <t>Social Sciences</t>
  </si>
  <si>
    <t>Research Capacity Strengthening Division</t>
  </si>
  <si>
    <t>jmusasiah@cartafrica.org</t>
  </si>
  <si>
    <t>musasiahjustus@yahoo.com; justus.musasiah.ke@gmail.com</t>
  </si>
  <si>
    <t>+254720970716</t>
  </si>
  <si>
    <t>Assessing the importance of private providers in Maternal Health Services in Nairobi Slums</t>
  </si>
  <si>
    <t>Dr. Caryn Abrahams</t>
  </si>
  <si>
    <t>Prof. Alex Van Den Heever</t>
  </si>
  <si>
    <t>0000-0001-8586-186X</t>
  </si>
  <si>
    <t>C7/015</t>
  </si>
  <si>
    <t>Reegan Mulubwa</t>
  </si>
  <si>
    <t>Mwansa-Kambafwile</t>
  </si>
  <si>
    <t>jmwansa@cartafrica.org</t>
  </si>
  <si>
    <t>judy.mwansa@gmail.com</t>
  </si>
  <si>
    <t>+27739217403</t>
  </si>
  <si>
    <t>Initial Lost to follow-up and Contact Tracing among Tuberculosis patients: The Role of Ward-based Outreach Teams and SMS Technology</t>
  </si>
  <si>
    <t xml:space="preserve">Prof. Colin Menezes  </t>
  </si>
  <si>
    <t>Senior Epidemiologist</t>
  </si>
  <si>
    <t>0000-0001-8552-2366</t>
  </si>
  <si>
    <t>Initial lost to follow up and contact tracing amongst tuberclosis patients: the role of ward based outreach teams (WBOT'S) and short message services (SMS) technology</t>
  </si>
  <si>
    <t>JAS 2, 2017</t>
  </si>
  <si>
    <t>C7/016</t>
  </si>
  <si>
    <t>Kellen</t>
  </si>
  <si>
    <t>Joyce</t>
  </si>
  <si>
    <t>EPIDEMIOLOGY/ BIOSTATISTICS</t>
  </si>
  <si>
    <t>SCHOOL OF PUBLIC HEALTH</t>
  </si>
  <si>
    <t>kkarimi@cartafrica.org</t>
  </si>
  <si>
    <t>karimikellen@gmail.com</t>
  </si>
  <si>
    <t>+254(0)721263316</t>
  </si>
  <si>
    <t>Prevalence and Risk factors of non-communicable diseases related to urban ground water among households in informal settlements, Kisumu City, Kenya</t>
  </si>
  <si>
    <t>Laboratory</t>
  </si>
  <si>
    <t>Prof. Mutuku A. Mwanthi</t>
  </si>
  <si>
    <t>Investigation of Contamination of Community Groundwater Sources with Antibiotics in Informal Settlements in Kisumu, Kenya</t>
  </si>
  <si>
    <t>Investigation of contamination of community groundwater sources with antibiotics in informal settlements in Kisumu, Kenya</t>
  </si>
  <si>
    <t>C7/017</t>
  </si>
  <si>
    <t>Marceline</t>
  </si>
  <si>
    <t>Finda</t>
  </si>
  <si>
    <t>Carta-17-17</t>
  </si>
  <si>
    <t>mfinda@cartafrica.org</t>
  </si>
  <si>
    <t>marcelinefinda@gmail.com</t>
  </si>
  <si>
    <t>+255684967440</t>
  </si>
  <si>
    <t xml:space="preserve">Effective outbreak Communication to urban and rural communities in Tanzania, using Zika as an example </t>
  </si>
  <si>
    <t>Dr. Fredros Okumu</t>
  </si>
  <si>
    <t>Senior Research Scientist</t>
  </si>
  <si>
    <t>0000-0003-4460-4415</t>
  </si>
  <si>
    <t>Awareness and acceptance of alternative technologies for malaria control among stakeholders in Tanzania: A community engagement processs</t>
  </si>
  <si>
    <t>C7/018</t>
  </si>
  <si>
    <t>Martha</t>
  </si>
  <si>
    <t>Kabudula</t>
  </si>
  <si>
    <t>Makwero</t>
  </si>
  <si>
    <t>Family Medicine</t>
  </si>
  <si>
    <t>mmakwero@cartafrica.org</t>
  </si>
  <si>
    <t>marthamakwero@gmail.com</t>
  </si>
  <si>
    <t>+265 884111312</t>
  </si>
  <si>
    <t>Masters in Medicine ( Family Medicine)</t>
  </si>
  <si>
    <t>Assessment of chronic care patients’ perspectives on core attributes of patient centered care in Malawi</t>
  </si>
  <si>
    <t>Jude Igumbor</t>
  </si>
  <si>
    <t>Clinical Lecturer</t>
  </si>
  <si>
    <t>Clinical Lecturer &amp; Senior advisor</t>
  </si>
  <si>
    <t>Head of Department, Family Medicine department</t>
  </si>
  <si>
    <t>0000-0002-8396-5056</t>
  </si>
  <si>
    <t>STAKEHOLDERS' UNDERSTANDING AND EXPERIENCES OF PATIENT CENTRED CARE: A CASE STUDY OF DIABETES MELLITUS MANAGEMENT IN BLANTYRE, MALAWI.</t>
  </si>
  <si>
    <t>The Assessment of Patient-centered Care among diabetic patients in Southern Malawi</t>
  </si>
  <si>
    <t>C7/019</t>
  </si>
  <si>
    <t>Marie Claire</t>
  </si>
  <si>
    <t>Uwamahoro</t>
  </si>
  <si>
    <t>muwamahoro@cartafrica.org</t>
  </si>
  <si>
    <t>clairuwa073@gmail.com</t>
  </si>
  <si>
    <t>+250788402547</t>
  </si>
  <si>
    <t>Developing intervention strategies to improve health literacy and quality of life for diabetic patients in Rwanda</t>
  </si>
  <si>
    <t>Dr. Nokuthula Mafutha</t>
  </si>
  <si>
    <t>Professor Daleen Casteleijn</t>
  </si>
  <si>
    <t>Post-Doctoral Associate</t>
  </si>
  <si>
    <t>UNIVERSITY OF CALGARY (2022)</t>
  </si>
  <si>
    <t>0000-0002-0750-3992</t>
  </si>
  <si>
    <t>Development and pilot testing of an instrument to assess self management barriers among patients diagonised with type 2 diabetes patients in Rwanda.</t>
  </si>
  <si>
    <t>C7/020</t>
  </si>
  <si>
    <t>Nishimwe</t>
  </si>
  <si>
    <t>Aurore</t>
  </si>
  <si>
    <t>naurore@cartafrica.org</t>
  </si>
  <si>
    <t>aurorehirwa@gmail.com</t>
  </si>
  <si>
    <t>+250788814121</t>
  </si>
  <si>
    <t>Master of Science in Health Informatics</t>
  </si>
  <si>
    <t>M-Health To Battle Maternal Death In Sub - Saharan Africa. Case Of Rwanda</t>
  </si>
  <si>
    <t xml:space="preserve">Dr. Daphney Nozizwe Conco </t>
  </si>
  <si>
    <t>Senior lecturer</t>
  </si>
  <si>
    <t>Deputy team leader/ digital health</t>
  </si>
  <si>
    <t>0000-0002-8019-2561</t>
  </si>
  <si>
    <t>Safe delivery mhealth application and clinical decision making among nurses and midwives on basic emergency obstetric and newborn carein district Clinical researchs in Rwanda</t>
  </si>
  <si>
    <t>I am on 4-year study leave for Ph.D. (20% contract) since March 2018 which implies that I am implementing 20% of my workload at my work Institution.</t>
  </si>
  <si>
    <t>C7/021</t>
  </si>
  <si>
    <t>Olufemi</t>
  </si>
  <si>
    <t>Adetutu</t>
  </si>
  <si>
    <t>DEPARTMENT OF DEMOGRAPHY AND SOCIAL STATISTICS</t>
  </si>
  <si>
    <t>SSP15/16/R/0002</t>
  </si>
  <si>
    <t>oadetutu@cartafrica.org</t>
  </si>
  <si>
    <t>femzhor2006@yahoo.com</t>
  </si>
  <si>
    <t>+2347038065386</t>
  </si>
  <si>
    <t>Individual and Social Contexts of  Risky Sexual Behaviour of Emerging Adults in Nigeria</t>
  </si>
  <si>
    <t>Dr. Sola Asa</t>
  </si>
  <si>
    <t>0000-0001-5699-7055</t>
  </si>
  <si>
    <t>Contextual Determinants of Sexual Behaviour of Emerging Adults in Nigeria</t>
  </si>
  <si>
    <t>C7/022</t>
  </si>
  <si>
    <t>Onabanjo</t>
  </si>
  <si>
    <t>Ogun</t>
  </si>
  <si>
    <t>PGX16121713024003</t>
  </si>
  <si>
    <t>oogun@cartafrica.org</t>
  </si>
  <si>
    <t>olufunmiogun@gmail.com</t>
  </si>
  <si>
    <t>+2348032137984</t>
  </si>
  <si>
    <t>Usefulness of immunohistochemistry in the characterization of malignant potential in pterygium specimens following excision</t>
  </si>
  <si>
    <t>Prof. Charles O. Bekibele</t>
  </si>
  <si>
    <t>Health related quality of life, mental health status and lived experiences of visually impaired adolescents in selected institutions in Oyo state, Nigeria</t>
  </si>
  <si>
    <t>C7/023</t>
  </si>
  <si>
    <t>Oluseye</t>
  </si>
  <si>
    <t>Ademola</t>
  </si>
  <si>
    <t>Okunola</t>
  </si>
  <si>
    <t>SOCIOLOGY</t>
  </si>
  <si>
    <t>SOCIOLOGY AND ANTHROPOLOGY</t>
  </si>
  <si>
    <t>ookunola@cartafrica.org</t>
  </si>
  <si>
    <t>spancho2001@yahoo.com</t>
  </si>
  <si>
    <t>+2347039086791</t>
  </si>
  <si>
    <t>Socio-Cultural Determinants of Healthcare Utilisation among Caregivers for Under-Five Children in South Western Nigeria</t>
  </si>
  <si>
    <t>Prof. M.A.O Aluko</t>
  </si>
  <si>
    <t>0000-0003-4138-0233</t>
  </si>
  <si>
    <t>Sociological Analysis of Self-medication practices in the care of Under-five Children by Caregivers in South western Nigeria</t>
  </si>
  <si>
    <t>Sociological Analysis of Self-medication practices in the care of Under-five Children by Caregivers in Southwestern Nigeria.</t>
  </si>
  <si>
    <t>C7/024</t>
  </si>
  <si>
    <t>Olusola</t>
  </si>
  <si>
    <t>Oluyinka</t>
  </si>
  <si>
    <t>Olawoye</t>
  </si>
  <si>
    <t>Ophthalmologist</t>
  </si>
  <si>
    <t>Department of Ophthalmology</t>
  </si>
  <si>
    <t>oolawoye@cartafrica.org</t>
  </si>
  <si>
    <t>solaolawoye@yahoo.com</t>
  </si>
  <si>
    <t>+2348023890063</t>
  </si>
  <si>
    <t>Prevalence and Determinants of Primary Open Angle Glaucoma in a sub-urban population in South West Nigeria</t>
  </si>
  <si>
    <t>Prof. Olufunmilayo Fawole</t>
  </si>
  <si>
    <t>Prof. Ashaye</t>
  </si>
  <si>
    <t>0000-0003-2357-8924</t>
  </si>
  <si>
    <t>Pathways to care and Clinical research retention of glaucoma patients in South West Nigeria</t>
  </si>
  <si>
    <t>C7/025</t>
  </si>
  <si>
    <t>Stevens</t>
  </si>
  <si>
    <t>M.B</t>
  </si>
  <si>
    <t>Kisaka</t>
  </si>
  <si>
    <t>W80/52986/2018</t>
  </si>
  <si>
    <t>skisaka@cartafrica.org</t>
  </si>
  <si>
    <t>bmks@dr.com</t>
  </si>
  <si>
    <t>+256 392 945 160</t>
  </si>
  <si>
    <t>HIV - Brucellosis co-infections in Uganda: Epidemiology, clinical profiles, antimicrobial susceptibility patterns and molecular characterization of Brucella species</t>
  </si>
  <si>
    <t>Field and Laboratory</t>
  </si>
  <si>
    <t>Prof. Fredrick Edward Makumbi</t>
  </si>
  <si>
    <t>NATIONAL AGRICULTURAL RESEARCH ORGANOZATION (NARO) - 2023</t>
  </si>
  <si>
    <t>0000-0001-7848-316X</t>
  </si>
  <si>
    <t>PRE-CLINICAL CARE, CLINICAL MANAGEMENT AND OUTCOMES OF DOG BITE INJURIES IN HIGH RABIES BURDEN DISTRICTS OF WAKISO AND KAMPALA, UGANDA</t>
  </si>
  <si>
    <t>Preclinical care, clinical management and outcomes of dog bites injuries in high Rabies burden districts of Wakiso and Kampala, Uganda</t>
  </si>
  <si>
    <t>I study out of my home country and home institution.</t>
  </si>
  <si>
    <t>C7/026</t>
  </si>
  <si>
    <t>Sonti</t>
  </si>
  <si>
    <t>Imogene</t>
  </si>
  <si>
    <t>Pilusa</t>
  </si>
  <si>
    <t>PHYSIOTHERAPY</t>
  </si>
  <si>
    <t>9311506K</t>
  </si>
  <si>
    <t>spilusa@cartafrica.org</t>
  </si>
  <si>
    <t>sonti.pilusa@wits.ac.za</t>
  </si>
  <si>
    <t>082 053 6190</t>
  </si>
  <si>
    <t xml:space="preserve">Prevalence of Secondary and Co-Morbidities in People with Physical Disabilities  </t>
  </si>
  <si>
    <t>Hellen Myezwa</t>
  </si>
  <si>
    <t xml:space="preserve">Prof. Joanne Potterton </t>
  </si>
  <si>
    <t>0000-0003-0606-9669</t>
  </si>
  <si>
    <t>Prevention care for secondary health conditions amongst people living with spinal cord iinjuries in the Tshwane Metropolitan area</t>
  </si>
  <si>
    <t>Prevention care of secondary health conditions among people living with spinal cord injuries in the Tshwane Metropolitan area</t>
  </si>
  <si>
    <t>C7/027</t>
  </si>
  <si>
    <t>Gad</t>
  </si>
  <si>
    <t>Rutayisire</t>
  </si>
  <si>
    <t>Immunology and Clinical microbiology</t>
  </si>
  <si>
    <t>Microbiology</t>
  </si>
  <si>
    <t>grutayisire@cartafrica.org</t>
  </si>
  <si>
    <t>gadrutal@yahoo.co.uk</t>
  </si>
  <si>
    <t>+25078886881</t>
  </si>
  <si>
    <t>Molecular and social behaviour factors associated with mother to child transmission of drug resistant HIV-1 strains in District Clinical research’s PMTCT Clinic, Rwanda</t>
  </si>
  <si>
    <t>C8/001</t>
  </si>
  <si>
    <t>Lindiwe</t>
  </si>
  <si>
    <t>Farlane</t>
  </si>
  <si>
    <t>Monitoring &amp; Evaluation</t>
  </si>
  <si>
    <t>lfarlane@cartafrica.org</t>
  </si>
  <si>
    <t>lindiwefarlane@gmail.com</t>
  </si>
  <si>
    <t>+27113585324</t>
  </si>
  <si>
    <t>MA HEALTH PROMOTION</t>
  </si>
  <si>
    <t>Systematic review and cohort analysis of at risk children tracked and managed through the 90-90-90 HIV treatment cascade in the City of Johannesburg District, South Africa</t>
  </si>
  <si>
    <t>Lee Fairlie</t>
  </si>
  <si>
    <t>Saiqa Mullick</t>
  </si>
  <si>
    <t>Nancy Yinger</t>
  </si>
  <si>
    <t>TECHNICAL HEAD: MONITORING &amp; EVALUATION</t>
  </si>
  <si>
    <t>Consultant - Social &amp; Behavior Change</t>
  </si>
  <si>
    <t>0000-0002-2051-0118</t>
  </si>
  <si>
    <t>Improving 90-90-90 HIV coverage for children and adolescents in the inner city of Johannesburg, South Africa: an outcome evaluation</t>
  </si>
  <si>
    <t>Implementation evaluation of the Paediatric and Adolescent Scale-up Plan for 90-90-90 HIV outcomes in the inner City of Johannesburg, South Africa</t>
  </si>
  <si>
    <t>C8/002</t>
  </si>
  <si>
    <t>Adeleye</t>
  </si>
  <si>
    <t>Adeomi</t>
  </si>
  <si>
    <t>aadeomi@cartafrica.org</t>
  </si>
  <si>
    <t>leyeadeomi@yahoo.com</t>
  </si>
  <si>
    <t>+234 803 653 5077</t>
  </si>
  <si>
    <t>Pattern and determinants of the nutritional status of school-aged children and adolescents in Nigeria; using multi-level modeling</t>
  </si>
  <si>
    <t xml:space="preserve">Dr Kerstin Klipstein-Grobusch </t>
  </si>
  <si>
    <t>0000-0002-6645-7295</t>
  </si>
  <si>
    <t>THE DOUBLE BURDEN OF MALNUTRITION AMONG SCHOOL-AGED CHILDREN AND ADOLESCENTS; THE NIGERIAN EXPERIENCE</t>
  </si>
  <si>
    <t>C8/003</t>
  </si>
  <si>
    <t>Jean de Dieu</t>
  </si>
  <si>
    <t>Habimana</t>
  </si>
  <si>
    <t>jhabimana@cartafrica.org</t>
  </si>
  <si>
    <t>kajado7@gmail.com</t>
  </si>
  <si>
    <t>+250788446024</t>
  </si>
  <si>
    <t>MSc of applied Human Nutrition</t>
  </si>
  <si>
    <t>Prevalence of Aflatoxin from Breast Milk and its effect on nutrition status of children under two years old in Nyamagabe District of Rwanda</t>
  </si>
  <si>
    <t>Dr. John Wangoh</t>
  </si>
  <si>
    <t>Academic Staff</t>
  </si>
  <si>
    <t>Member of Exams moderattion commeittee</t>
  </si>
  <si>
    <t>0000-0002-7473-853X</t>
  </si>
  <si>
    <t>Positive deviance in child growth</t>
  </si>
  <si>
    <t>C8/004</t>
  </si>
  <si>
    <t>Julienne</t>
  </si>
  <si>
    <t>Murererehe</t>
  </si>
  <si>
    <t>Oral  maxillofacial surgery and pathology</t>
  </si>
  <si>
    <t>jmurererehe@cartafrica.org</t>
  </si>
  <si>
    <t>jmurererehe@yahoo.com</t>
  </si>
  <si>
    <t>+250788593017</t>
  </si>
  <si>
    <t>Effect of early treatment of dental caries and periodontal diseases on the psycho-social functionality and viral load among HIV-infected patients in Rwanda.</t>
  </si>
  <si>
    <t xml:space="preserve">Prof. V Yengopal </t>
  </si>
  <si>
    <t>Dr Yolanda Malele-Kolisa; Yolanda.Kolisa@wits.ac.za; University of the Witwatersrand</t>
  </si>
  <si>
    <t>0000-0001-7980-1107</t>
  </si>
  <si>
    <t>Risk factors to caries and periodontal diseases among HIV-positive adults on Antiretroviral treatment in Nyarugenge district, Rwanda</t>
  </si>
  <si>
    <t>Risk factors for caries and periodontal diseases: A comparative study among HIV-positive and HIV-negative adults in Nyarugenge district, Rwanda.</t>
  </si>
  <si>
    <t>C8/005</t>
  </si>
  <si>
    <t>Jacob</t>
  </si>
  <si>
    <t>Wale</t>
  </si>
  <si>
    <t>Mobolaji</t>
  </si>
  <si>
    <t>SSP16/17/H/0462</t>
  </si>
  <si>
    <t>jmobolaji@cartafrica.org</t>
  </si>
  <si>
    <t>mobolawale@gmail.com</t>
  </si>
  <si>
    <t>+2348030755825</t>
  </si>
  <si>
    <t>M.Sc. Demography and Social Statistics</t>
  </si>
  <si>
    <t>Individual and Family Context of Social Support and Quality of Life of Elderly in South Western Nigeria</t>
  </si>
  <si>
    <t>Prof. Akanni Ibukun Akinyemi</t>
  </si>
  <si>
    <t>Dr. Bola Lukman Solanke</t>
  </si>
  <si>
    <t>0000-0002-4996-9387</t>
  </si>
  <si>
    <t>Determinants and Health Implication of Unmet Needs for Informal Support for Older people in South-Western Nigeria.</t>
  </si>
  <si>
    <t>C8/006</t>
  </si>
  <si>
    <t>Doris</t>
  </si>
  <si>
    <t>Kwesiga</t>
  </si>
  <si>
    <t>dkwesiga@cartafrica.org</t>
  </si>
  <si>
    <t>dknnkwesiga@gmail.com</t>
  </si>
  <si>
    <t>+256 750 972487</t>
  </si>
  <si>
    <t>Factors affecting measurement of pregnancy and adverse pregnancy outcomes in survey data collection and HDSS longitudinal surveillance</t>
  </si>
  <si>
    <t>C8/007</t>
  </si>
  <si>
    <t>Samuel</t>
  </si>
  <si>
    <t>Waweru</t>
  </si>
  <si>
    <t>Mwaniki</t>
  </si>
  <si>
    <t>smwaniki@cartafrica.org</t>
  </si>
  <si>
    <t>smwanex@gmail.com</t>
  </si>
  <si>
    <t>+254 721 543 351</t>
  </si>
  <si>
    <t>MSC. TROPICAL AND INFECTIOUS DISEASES</t>
  </si>
  <si>
    <t>Sexual health of male university students who have sex with men in Nairobi, Kenya: Needs and Responses</t>
  </si>
  <si>
    <t xml:space="preserve">Dr. Thesla Palanee </t>
  </si>
  <si>
    <t>Dr. Peter Mugo</t>
  </si>
  <si>
    <t>PHARMACIST</t>
  </si>
  <si>
    <t xml:space="preserve">Member, CARTA Steering Committee </t>
  </si>
  <si>
    <t>0000-0001-8682-311X</t>
  </si>
  <si>
    <t>HIV, STI and related factors among tertiary male students who have sex with men in Nairobi, Kenya and Blantyre, Malawi</t>
  </si>
  <si>
    <t>Integrated biological behavioural assessment of human immunodeficiency virus and sexually transmitted infections among tertiary student men who have sex with men in Nairobi, Kenya</t>
  </si>
  <si>
    <t>TO CONCENTRATE ON PROTOCOL DEVELOPMENT AND DATA COLLECTION</t>
  </si>
  <si>
    <t>C8/008</t>
  </si>
  <si>
    <t>Christine</t>
  </si>
  <si>
    <t>Minoo</t>
  </si>
  <si>
    <t>Mbindyo</t>
  </si>
  <si>
    <t>Veterinary Microbiology</t>
  </si>
  <si>
    <t>Veterinary Pathology, Microbiology and Parasitology</t>
  </si>
  <si>
    <t>cmbindyo@cartafrica.org</t>
  </si>
  <si>
    <t>christineminoo@yahoo.com</t>
  </si>
  <si>
    <t>+254726467024</t>
  </si>
  <si>
    <t>Msc in Applied Microbiology (Bacteriology option)</t>
  </si>
  <si>
    <t>CHARACTERIZATION OF MICROBIOTA OF RAW MILK FROM HEALTHY AND MASTITIC DAIRY COWS BY METAGENOMIC ANALYSIS AND ASSESSMENT OF ANTIMICROBIAL RESISTANCE POTENTIAL FOR THE DETECTED STRAINS IN KIAMBU COUNTY</t>
  </si>
  <si>
    <t>Prof. George Gitao</t>
  </si>
  <si>
    <t>Prof. Paul Plummer</t>
  </si>
  <si>
    <t>Prof. Charles Mulei</t>
  </si>
  <si>
    <t>0000-0001-7423-0341</t>
  </si>
  <si>
    <t>Bovine mastitis: Characterization of milk microbial diversity, their antibiotic resistance and factors linked to these profiles in dairy cows in Kenya</t>
  </si>
  <si>
    <t>C8/009</t>
  </si>
  <si>
    <t>Siphamandla</t>
  </si>
  <si>
    <t>Bonga</t>
  </si>
  <si>
    <t>Gumede</t>
  </si>
  <si>
    <t>sgumede@cartafrica.org</t>
  </si>
  <si>
    <t>sbzgumede@gmail.com</t>
  </si>
  <si>
    <t>+27 11 358 5500</t>
  </si>
  <si>
    <t>Analysis of factors associated with adherence on second-line regimen in the inner city Johannesburg, South Africa: A mixed method retrospective cohort study</t>
  </si>
  <si>
    <t>Samanta T Lalla-Edward</t>
  </si>
  <si>
    <t>John de Wit</t>
  </si>
  <si>
    <t>Technical Specialist</t>
  </si>
  <si>
    <t>0000-0002-7870-1363</t>
  </si>
  <si>
    <t>Adherence to first-line and second-line antiretroviral therapy (ART) in selected rural and urban communities in South Africa: assessment of patient support needs and adherence strategies</t>
  </si>
  <si>
    <t>Strengthening understanding of effective adherence strategies for first-line and second-line antiretroviral therapy (ART) in selected rural and urban communities in South Africa</t>
  </si>
  <si>
    <t>C8/010</t>
  </si>
  <si>
    <t>Margaret</t>
  </si>
  <si>
    <t>Omowaleola</t>
  </si>
  <si>
    <t>Akinwaare</t>
  </si>
  <si>
    <t>makinwaare@cartafrica.org</t>
  </si>
  <si>
    <t>margaretakinwaare@gmail.com</t>
  </si>
  <si>
    <t>+2348034242253</t>
  </si>
  <si>
    <t>M.Sc</t>
  </si>
  <si>
    <t>Effects of goal-oriented prenatal class on birth preparedness and complication readiness among pregnant women in selected local governments in Ibadan</t>
  </si>
  <si>
    <t>Dr. O. Abimbola Oluwatosin</t>
  </si>
  <si>
    <t>0000-0003-3453-2569</t>
  </si>
  <si>
    <t>Fostering women's birth preparedness and complication through goal-oriented prenatal classes in primary health facilities in Ibadan, Nigeria.</t>
  </si>
  <si>
    <t>C8/011</t>
  </si>
  <si>
    <t>Angella</t>
  </si>
  <si>
    <t>Musewa</t>
  </si>
  <si>
    <t>One Health</t>
  </si>
  <si>
    <t>Biosecurity, Ecosystems and Veterinary Public Health</t>
  </si>
  <si>
    <t>W80/54808/2019</t>
  </si>
  <si>
    <t>amusewa@cartafrica.org</t>
  </si>
  <si>
    <t>musewaa@gmail.com</t>
  </si>
  <si>
    <t>+256787456336</t>
  </si>
  <si>
    <t>MSc. Clinical epidemiology and Biostatistics</t>
  </si>
  <si>
    <t xml:space="preserve">Molecular Epidemiology and Immunological responses associated with Flavivirus infections among febrile individuals in Western Uganda. </t>
  </si>
  <si>
    <t>Dr. Kato Charles Drago</t>
  </si>
  <si>
    <t>Dr. Kristina Roesel</t>
  </si>
  <si>
    <t>0000-0002-9399-1522</t>
  </si>
  <si>
    <t>Epidemiology and Molecular Characterization of Erysipelothrix rhusiopathiae infections in pigs and humans in Uganda</t>
  </si>
  <si>
    <t>C8/012</t>
  </si>
  <si>
    <t>Robert</t>
  </si>
  <si>
    <t>Chemistry</t>
  </si>
  <si>
    <t>Biomedical Laboratory Sciences</t>
  </si>
  <si>
    <t>rrutayisire@cartafrica.org</t>
  </si>
  <si>
    <t>robertrutayisire@gmail.com</t>
  </si>
  <si>
    <t>+250734984170</t>
  </si>
  <si>
    <t>The effect of HIV itself and HIV with ARV treatment on the biochemical risk factors related to cardiovascular diseases.</t>
  </si>
  <si>
    <t>Dr David Tumusiime</t>
  </si>
  <si>
    <t>NATIONAL REFERENCE LABORATORY</t>
  </si>
  <si>
    <t>0000-0003-4818-1552</t>
  </si>
  <si>
    <t>ALTERED BIOMARKERS OF CARDIOVASCULAR DISEASES: THE ASSOCIATION WITH ART DRUGS.</t>
  </si>
  <si>
    <t>C8/013</t>
  </si>
  <si>
    <t>Getrude</t>
  </si>
  <si>
    <t>Shepelo</t>
  </si>
  <si>
    <t>Veterinary Medicine</t>
  </si>
  <si>
    <t>Clinical Studies</t>
  </si>
  <si>
    <t>gshepelo@cartafrica.org</t>
  </si>
  <si>
    <t>shepelog@gmail.com</t>
  </si>
  <si>
    <t>+254 2055198</t>
  </si>
  <si>
    <t>Masters in Veterinary Medicine</t>
  </si>
  <si>
    <t>Molecular epidemiology of re-emerging zoonotic Ehrlichia infections in bovine in Nairobi and its peri-urban areas.</t>
  </si>
  <si>
    <t xml:space="preserve">Prof. Daniel Waweru Gakuya </t>
  </si>
  <si>
    <t>Dr. Gabriel Oluga Aboge</t>
  </si>
  <si>
    <t>Prof. Ndichu Maingi</t>
  </si>
  <si>
    <t>0000-0002-2188-3303</t>
  </si>
  <si>
    <t>Epidemiology and characteristics of Ehrlichia infections in dairy cattle in Nairobi and peri-urban areas</t>
  </si>
  <si>
    <t>Epidemiology and Molecular Characterization of Anaplasma and Ehrlichia Species infecting Dairy cattle in smalleholder farms in Peri Urnab Nairobi, Kenya</t>
  </si>
  <si>
    <t>C8/014</t>
  </si>
  <si>
    <t>Atupele</t>
  </si>
  <si>
    <t>Ngina</t>
  </si>
  <si>
    <t>Mulaga</t>
  </si>
  <si>
    <t>amulaga@cartafrica.org</t>
  </si>
  <si>
    <t>atupelemulaga@gmail.com</t>
  </si>
  <si>
    <t>+265 882 363 717</t>
  </si>
  <si>
    <t xml:space="preserve">Spatial analysis and modeling of household out-of-pocket healthcare expenditure in Malawi: implications on household welfare           </t>
  </si>
  <si>
    <t>Dr.Mphatso Kamndaya</t>
  </si>
  <si>
    <t>Dr Lumbwe Chola</t>
  </si>
  <si>
    <t>0000-0002-9172-0366</t>
  </si>
  <si>
    <t>Modelling catastrophic out-of-pocket health expenditure and its implication for household welfare in Malawi: A spatial multilevel approach</t>
  </si>
  <si>
    <t>Modelling Catastrophic Out-of-pocket Health Expenditures and its Implication for Household Welfare in Malawi: A Multilevel Spatial Approach.</t>
  </si>
  <si>
    <t>C8/015</t>
  </si>
  <si>
    <t>Esan</t>
  </si>
  <si>
    <t>oesan@cartafrica.org</t>
  </si>
  <si>
    <t>seunkayo@yahoo.com</t>
  </si>
  <si>
    <t>+2348124352700</t>
  </si>
  <si>
    <t>Master of Public Health (MPH), Master of Business Administration (MBA)</t>
  </si>
  <si>
    <t>Poor maternal Health Outcomes: Development of Strategies and Short term Evaluation for Improving Human Resources for Health in South West, Nigeria.</t>
  </si>
  <si>
    <t xml:space="preserve">Dr. Duane Blaauw </t>
  </si>
  <si>
    <t xml:space="preserve">Dr. Salome Maswime </t>
  </si>
  <si>
    <t>0000-0002-2908-6034</t>
  </si>
  <si>
    <t>Strategies to Positively Shift Readiness for Change to a Respectful Maternity Care Practice During Childbirth in Public Health Facilities, Ibadan, Nigeria</t>
  </si>
  <si>
    <t>Improving readiness for change to respectful maternity care practice in public health facilities, Ibadan, Nigeria</t>
  </si>
  <si>
    <t>C8/016</t>
  </si>
  <si>
    <t>Folashayo</t>
  </si>
  <si>
    <t>Ikenna Peter</t>
  </si>
  <si>
    <t>Adeniji</t>
  </si>
  <si>
    <t>Health Policy &amp; Management</t>
  </si>
  <si>
    <t>fiadeniji@cartafrica.org</t>
  </si>
  <si>
    <t>folashayoadeniji@yahoo.co.uk</t>
  </si>
  <si>
    <t>+2347034649073</t>
  </si>
  <si>
    <t>M.Sc. Economics</t>
  </si>
  <si>
    <t>Cost analysis of selected tobacco-related diseases in tertiary and secondary Clinical researchs in Ibadan, South-West, Nigeria: Implication for Tobacco Control Policy</t>
  </si>
  <si>
    <t>PD. Dr. med. Wilm Quentin</t>
  </si>
  <si>
    <t>0000-0002-4697-3081</t>
  </si>
  <si>
    <t>The Economic Burden of Cardiovascular Diseases in some sub-Saharan Africa Countries</t>
  </si>
  <si>
    <t>C8/017</t>
  </si>
  <si>
    <t>Lebogang</t>
  </si>
  <si>
    <t>Johanna</t>
  </si>
  <si>
    <t>Occupational Therapy</t>
  </si>
  <si>
    <t>9703746R</t>
  </si>
  <si>
    <t>lmaseko@cartafrica.org</t>
  </si>
  <si>
    <t>lkomape@hotmail.com</t>
  </si>
  <si>
    <t>+2711 717 3701/0735266884</t>
  </si>
  <si>
    <t>Master of Public Health (MPH)</t>
  </si>
  <si>
    <t>Rehabilitation in a reengineered Primary Health Care system: a model for service delivery in an under-resourced urban community setting</t>
  </si>
  <si>
    <t>Prof. Hellen Myezwa</t>
  </si>
  <si>
    <t>Dr Fasloen Adams</t>
  </si>
  <si>
    <t>Chairperson of committee and acting Head of Department when the Head of Department is out of the department</t>
  </si>
  <si>
    <t>Integrating Rehabilitation services at Primary Healthcare level in Gauteng, South Africa</t>
  </si>
  <si>
    <t>Integrating rehabilitation services at primary healthcare level in Johannesburg, South Africa</t>
  </si>
  <si>
    <t>C8/018</t>
  </si>
  <si>
    <t>H80/53286/2018</t>
  </si>
  <si>
    <t>amaina@cartafrica.org</t>
  </si>
  <si>
    <t>acnmaina@gmail.com</t>
  </si>
  <si>
    <t>+254 737 348848</t>
  </si>
  <si>
    <t>Msc. Medical Microbiology</t>
  </si>
  <si>
    <t>Cytokine Profile and the Genital Bacterial Microbiome in Neisseria gonorrhoeae infection: A Case-Control study</t>
  </si>
  <si>
    <t>Clinical and laboratory based</t>
  </si>
  <si>
    <t>Dr. Marianne Mureithi</t>
  </si>
  <si>
    <t>Dr. John Ndemi Kiiru</t>
  </si>
  <si>
    <t>Prof. Gunturu Revathi</t>
  </si>
  <si>
    <t>0000-0003-4945-0734</t>
  </si>
  <si>
    <t>Role of the Genital Bacterial Microbiome in the Immune Response to Neisseria gonorrhoeae infection</t>
  </si>
  <si>
    <t>C8/019</t>
  </si>
  <si>
    <t>Oyeyemi</t>
  </si>
  <si>
    <t>Olajumoke</t>
  </si>
  <si>
    <t>Oyelade</t>
  </si>
  <si>
    <t>Department of Nursing Sciences</t>
  </si>
  <si>
    <t>ooyelade@cartafrica.org</t>
  </si>
  <si>
    <t>oyeyemisamuel13@gmail.com</t>
  </si>
  <si>
    <t>+234(0)8076580198</t>
  </si>
  <si>
    <t>Development of Quality Care Indicator for the Management of Violent Mentally ill Patients in Psychiatric Clinical researchs in Nigeria.</t>
  </si>
  <si>
    <t>Dr Nokuthula Mafutha</t>
  </si>
  <si>
    <t>0000-0002-0173-9208</t>
  </si>
  <si>
    <t>A context specific psychosocial rehabilitation practice guide for the management of patients living with schizophrenia in South West Nigeria</t>
  </si>
  <si>
    <t>“An Exploration into Mealtimes for Families of Children with Autism Spectrum Disorders in South Africa.”</t>
  </si>
  <si>
    <t>C8/020</t>
  </si>
  <si>
    <t>Faustin</t>
  </si>
  <si>
    <t>Ntirenganya</t>
  </si>
  <si>
    <t>Onco-Plastic surgery</t>
  </si>
  <si>
    <t>Surgery</t>
  </si>
  <si>
    <t>fntirenganya@cartafrica.org</t>
  </si>
  <si>
    <t>fostino21@yahoo.fr</t>
  </si>
  <si>
    <t>+250788732667</t>
  </si>
  <si>
    <t>The analysis of biomarkers and key oncogenes expression in Rwandan breast cancer patients: From molecular sub-typing to clinical presentation, prognosis and outcomes</t>
  </si>
  <si>
    <t>Prof RULISA Steven</t>
  </si>
  <si>
    <t>Senior Lecturer of Surgery and Head of department</t>
  </si>
  <si>
    <t xml:space="preserve">0000-0001-8886-8100
</t>
  </si>
  <si>
    <t>Risk factors, clinical and histopathology-based Model to predict breast cancer molecular subtypes in premenopausal women, Rwanda</t>
  </si>
  <si>
    <t>C8/021</t>
  </si>
  <si>
    <t>Foluso</t>
  </si>
  <si>
    <t>Ayobami</t>
  </si>
  <si>
    <t>Atiba</t>
  </si>
  <si>
    <t>Neuroscience</t>
  </si>
  <si>
    <t>School of Anatomical Sciences</t>
  </si>
  <si>
    <t>fatiba@cartafrica.org</t>
  </si>
  <si>
    <t>omoloye1@yahoo.com</t>
  </si>
  <si>
    <t>+234 8034237082</t>
  </si>
  <si>
    <t>Studies on the effect of kolanut isolates on the developing brain of rats: Electron microscopic structure of the blood brain barrier</t>
  </si>
  <si>
    <t>Dr Felix Mbajiorgu</t>
  </si>
  <si>
    <t>Prof. Amadi Ihunwo</t>
  </si>
  <si>
    <t>Prof. Adefolarin Malomo</t>
  </si>
  <si>
    <t>0000-0003-4780-7840</t>
  </si>
  <si>
    <t>Kolanut (Cola nitida) consumption among pregnant women and structural changes in the postnatal brain of Sprague-Dawley rat pups</t>
  </si>
  <si>
    <t>Effects of aqueous extract of kolanut (Cola nitida) on Sprague Dawley dams and exposure on the hippocampus of the progeny</t>
  </si>
  <si>
    <t>C8/022</t>
  </si>
  <si>
    <t>Leo</t>
  </si>
  <si>
    <t>Peter Lockie</t>
  </si>
  <si>
    <t>Masamba</t>
  </si>
  <si>
    <t>Oncology/Medicine</t>
  </si>
  <si>
    <t>lmasamba@cartafrica.org</t>
  </si>
  <si>
    <t>leomasamba@yahoo.co.uk</t>
  </si>
  <si>
    <t>+2651630333/+265888868714</t>
  </si>
  <si>
    <t>EVALUATING IMPACT OF HIV, BENIGN NEUTROPAENIA AND DARC-NULL ON CHEMOTHERAPY INDUCED INFECTIONS IN CANCER PATIENTS AT QUEEN ELIZABETH CENTRAL Clinical research</t>
  </si>
  <si>
    <t>Prof Adamson Muula</t>
  </si>
  <si>
    <t>0000-0002-7775-0139</t>
  </si>
  <si>
    <t>C8/023</t>
  </si>
  <si>
    <t>Florence</t>
  </si>
  <si>
    <t>Basiimwa</t>
  </si>
  <si>
    <t>Tushemerirwe</t>
  </si>
  <si>
    <t>Community Health and Behavioural Sciences</t>
  </si>
  <si>
    <t>ftushemerirwe@cartafrica.org</t>
  </si>
  <si>
    <t>ftusht01@gmail.com</t>
  </si>
  <si>
    <t>256794944401
256414543872</t>
  </si>
  <si>
    <t xml:space="preserve">The Uganda Food System and its influence on Non-Communicable Diseases trends </t>
  </si>
  <si>
    <t>Assoc. Prof. Freddie Ssengooba</t>
  </si>
  <si>
    <t>0000-0001-7147-6012</t>
  </si>
  <si>
    <t>C8/024</t>
  </si>
  <si>
    <t>Oluwafemi</t>
  </si>
  <si>
    <t>Akinyele</t>
  </si>
  <si>
    <t>Popoola</t>
  </si>
  <si>
    <t>opopoola@cartafrica.org</t>
  </si>
  <si>
    <t>drpopee@gmail.com</t>
  </si>
  <si>
    <t>+2348131733285</t>
  </si>
  <si>
    <t>An assessment of patient safety culture and practices across tiers of the Nigerian Health System: a contextual analysis for intervention</t>
  </si>
  <si>
    <t>Dr Akindele Olupelumi Adebiyi</t>
  </si>
  <si>
    <t>Prof Eme Theodora Owoaje</t>
  </si>
  <si>
    <t>Lecturerr</t>
  </si>
  <si>
    <t>0000-0001-8535-7882</t>
  </si>
  <si>
    <t>Analysing patient safety culture and medical errors in a tertiary Clinical research in South Western Nigeria</t>
  </si>
  <si>
    <t>C8/025</t>
  </si>
  <si>
    <t>Kafu</t>
  </si>
  <si>
    <t>Health Communication</t>
  </si>
  <si>
    <t>Development Communication</t>
  </si>
  <si>
    <t>ckafu@cartafrica.org</t>
  </si>
  <si>
    <t>catekafu@gmail.com</t>
  </si>
  <si>
    <t>+254 532 033 471</t>
  </si>
  <si>
    <t>Communication and Journalism</t>
  </si>
  <si>
    <t>Mass Media As A Key Adherence Intervention Strategy For The Perinatal Infected HIV Adolescents</t>
  </si>
  <si>
    <t>Prof. Dina Ligaga</t>
  </si>
  <si>
    <t>Manager, Social Behavioural Department-AMPATHPlus</t>
  </si>
  <si>
    <t>Departmental Manager</t>
  </si>
  <si>
    <t>0000-0003-4890-4458</t>
  </si>
  <si>
    <t>Exploring the Kenyan media framing of abortion content on television: A focus on adolescents</t>
  </si>
  <si>
    <t>Exploring media framing of abortion content on Kenyan Television: A focus on adolescents.</t>
  </si>
  <si>
    <t>N/A</t>
  </si>
  <si>
    <t>C8/026</t>
  </si>
  <si>
    <t>Agnes</t>
  </si>
  <si>
    <t>Jemuge</t>
  </si>
  <si>
    <t>Maleyo</t>
  </si>
  <si>
    <t>Environmental Planning and Managementt</t>
  </si>
  <si>
    <t>Geography and Environmental Studies</t>
  </si>
  <si>
    <t>amaleyo@cartafrica.org</t>
  </si>
  <si>
    <t>maleyoagnes@gmail.com</t>
  </si>
  <si>
    <t>+254720319202</t>
  </si>
  <si>
    <t>THE EFFECT OF MINING ACTIVITIES AND CORPORATE SOCIAL RESPONSIBILITY (CSR) INITIATIVES ON LIVELIHOODS: A CASE OF SODA ASH MINING IN LAKE MAGADI, KENYA</t>
  </si>
  <si>
    <t>Dr. Kennedy J. Omoke</t>
  </si>
  <si>
    <t>Dr. James M. Moronge</t>
  </si>
  <si>
    <t>0000-0003-3475-9982</t>
  </si>
  <si>
    <t>AN EVALUATION OF FACTORS LOCAL ACTORS CONSIDER WHEN PROVIDING ACCESS TO CHILDBIRTH SERVICES: A CASE OF MAGADI SUB COUNTY</t>
  </si>
  <si>
    <t>C9/001</t>
  </si>
  <si>
    <t>Ernest</t>
  </si>
  <si>
    <t>Yamie</t>
  </si>
  <si>
    <t>Moya</t>
  </si>
  <si>
    <t>Maternal Health</t>
  </si>
  <si>
    <t>Public Health Department</t>
  </si>
  <si>
    <t>emoya@cartafrica.org</t>
  </si>
  <si>
    <t>emoya@medcol.mw</t>
  </si>
  <si>
    <t>+2651871911/'+265999639917</t>
  </si>
  <si>
    <t>A prospective cohort study on “Extent of iron deficiency anemia and its impact on Malawian postnatal mothers”</t>
  </si>
  <si>
    <t>Clinical Research</t>
  </si>
  <si>
    <t>Prof. Phiri Kamija</t>
  </si>
  <si>
    <t>Dr. Martin Mwangi</t>
  </si>
  <si>
    <t>Research fellow</t>
  </si>
  <si>
    <t>Senior Research fellow</t>
  </si>
  <si>
    <t>0000-0002-1157-7724</t>
  </si>
  <si>
    <t>Long-term effects of antenatal intravenous iron on maternal well-being after child birth</t>
  </si>
  <si>
    <t>C9/002</t>
  </si>
  <si>
    <t>Olujide</t>
  </si>
  <si>
    <t>Olusesan</t>
  </si>
  <si>
    <t>Arije</t>
  </si>
  <si>
    <t>oarije@cartafrica.org</t>
  </si>
  <si>
    <t>olujide_arije@yahoo.com</t>
  </si>
  <si>
    <t>+2348023208897</t>
  </si>
  <si>
    <t>MBA</t>
  </si>
  <si>
    <t>Impact on adolescent health of a minimum healthcare package delivered by primary health care workers with strengthened links to primary health care facilities</t>
  </si>
  <si>
    <t>Dr Olumide, Adesola O.</t>
  </si>
  <si>
    <t>University of Ibadan, Ibadan</t>
  </si>
  <si>
    <t>Research Fellow 1; Senior lecture r (Jan 2022)</t>
  </si>
  <si>
    <t>0000-0001-5192-3698</t>
  </si>
  <si>
    <t>Adolescent and youth-friendly health service capacity and readiness in primary healthcare facilities in South West Nigeria</t>
  </si>
  <si>
    <t>Quality of care and stated preferences in sexual and reproductive health services for adolescents and young people in Southwest Nigeria</t>
  </si>
  <si>
    <t>C9/003</t>
  </si>
  <si>
    <t>Skye</t>
  </si>
  <si>
    <t>Nandi</t>
  </si>
  <si>
    <t>Adams</t>
  </si>
  <si>
    <t>Speech Pathology</t>
  </si>
  <si>
    <t>sadams@cartafrica.org</t>
  </si>
  <si>
    <t>skye.adams@wits.ac.za</t>
  </si>
  <si>
    <t xml:space="preserve">+27 11 717 4484,+27 732218804 </t>
  </si>
  <si>
    <t>Implementation of a dysphagia management programme for children with Cerebral Palsy in a care facilities in Johannesburg</t>
  </si>
  <si>
    <t xml:space="preserve">Dr Jaishika Seedat </t>
  </si>
  <si>
    <t>0000-0002-6388-0960</t>
  </si>
  <si>
    <t>An Exploration into Mealtimes for Families of Children with Autism Spectrum Disorders in Gauteng, South Africa</t>
  </si>
  <si>
    <t>An Exploration into Mealtimes for Families of Children with Autism Spectrum Disorders in South Africa.</t>
  </si>
  <si>
    <t>C9/004</t>
  </si>
  <si>
    <t>Noel</t>
  </si>
  <si>
    <t>Korukire</t>
  </si>
  <si>
    <t xml:space="preserve">Environmental Health Sciences </t>
  </si>
  <si>
    <t>nkorukire@cartafrica.org</t>
  </si>
  <si>
    <t>koranoe@yahoo.com</t>
  </si>
  <si>
    <t>+250789453462/ +250788524045</t>
  </si>
  <si>
    <t>HI&amp;UMD</t>
  </si>
  <si>
    <t>Water quality and community health in  informal settlements in Rwanda</t>
  </si>
  <si>
    <t>Ass.Prof. Theoneste Ntakirutimana</t>
  </si>
  <si>
    <t>home</t>
  </si>
  <si>
    <t xml:space="preserve">The chairperson of the National Council Board(NCB) of Rwanda Allied Health Professions Council (RAHPC). 
Nominated to be head of the commanding of the COVID-19 response team at the level of College of Medicine and Health Sciences, University of Rwanda.
</t>
  </si>
  <si>
    <t>0000-0003-1249-5138</t>
  </si>
  <si>
    <t>Health effects of exposure to urban indoor and outdoor air pollution among communities living in Kigali, Rwanda</t>
  </si>
  <si>
    <t>C9/005</t>
  </si>
  <si>
    <t>Priscille</t>
  </si>
  <si>
    <t>Musabirema</t>
  </si>
  <si>
    <t>pmusabirema@cartafrica.org</t>
  </si>
  <si>
    <t>priscillemusa10@yahoo.fr</t>
  </si>
  <si>
    <t>+250788304396/+250788497838</t>
  </si>
  <si>
    <t>Critical Care and Trauma Nursing</t>
  </si>
  <si>
    <t>Ecological factors impacting adherence to hemodialysis sessions among persons with end stage renal disease, in Rwanda: a mixed method study.</t>
  </si>
  <si>
    <t>Professor Lize Maree</t>
  </si>
  <si>
    <t>0000-0002-5106-1394</t>
  </si>
  <si>
    <t>Holistic adherence to hemodialysis and associated social-ecological factors among persons with end-stage renal diseases in Rwanda.</t>
  </si>
  <si>
    <t>Development and pilot testing of an educational supportive program for persons with end-stage renal disease on hemodialysis in Rwanda</t>
  </si>
  <si>
    <t>C9/006</t>
  </si>
  <si>
    <t>Lilian</t>
  </si>
  <si>
    <t>Nkirote</t>
  </si>
  <si>
    <t>Njagi</t>
  </si>
  <si>
    <t>Tropical and Infectious Diseases</t>
  </si>
  <si>
    <t>Clinical Medicine and therapeutics</t>
  </si>
  <si>
    <t>W80/52095/2017</t>
  </si>
  <si>
    <t>lnjagi@cartafrica.org</t>
  </si>
  <si>
    <t>njagi.lilian@gmail.com</t>
  </si>
  <si>
    <t>+254731575686/'+254722575686</t>
  </si>
  <si>
    <t>Master of Science in Tropical and Infectious Diseases</t>
  </si>
  <si>
    <t>Tuberculosis and HIV, novel strategies for treatment monitoring.</t>
  </si>
  <si>
    <t>Dr Kennedy Abuga</t>
  </si>
  <si>
    <t>Dr Marianne Mureithi</t>
  </si>
  <si>
    <t>Dr Videlis Nduba</t>
  </si>
  <si>
    <t>Senior Project Officer</t>
  </si>
  <si>
    <t>Senior Clinical Research Scientist</t>
  </si>
  <si>
    <t>Sub investigator at KEMRI Center for Respiratory Disease Research.</t>
  </si>
  <si>
    <t xml:space="preserve">KEMRI WELLCOME TRUST </t>
  </si>
  <si>
    <t>0000-0002-5067-0788</t>
  </si>
  <si>
    <t>Isoniazid for latent tuberculosis infection: Validating and testing novel treatment monitoring methods in Kenya</t>
  </si>
  <si>
    <t>C9/007</t>
  </si>
  <si>
    <t>Leonidas</t>
  </si>
  <si>
    <t>lbanamwana@cartafrica.org</t>
  </si>
  <si>
    <t>leontosbanamwana@gmail.com</t>
  </si>
  <si>
    <t>+250785385308; 250783544242</t>
  </si>
  <si>
    <t>Sexual and Reproductive Health among adolescents</t>
  </si>
  <si>
    <t>Dr. Onyango Owuor Nelson</t>
  </si>
  <si>
    <t>Dr. Chukwu Unna Angela</t>
  </si>
  <si>
    <t>0000-0003-1267-235X</t>
  </si>
  <si>
    <t>Assessing Sexual Behaviors, Fertility Preferences and Contraceptive Use among Sexual Active People living with HIV/AIDS in Rwanda</t>
  </si>
  <si>
    <t>C9/008</t>
  </si>
  <si>
    <t>Ssemugabo</t>
  </si>
  <si>
    <t>Disease Control and Environmental Health</t>
  </si>
  <si>
    <t xml:space="preserve">2018/HD07/19459U </t>
  </si>
  <si>
    <t>cssemugabo@cartafrica.org</t>
  </si>
  <si>
    <t>cssemugabo@gmail.com</t>
  </si>
  <si>
    <t>+256 779 625 182/
'+256706066096</t>
  </si>
  <si>
    <t xml:space="preserve">Public Health - Health promotion </t>
  </si>
  <si>
    <t>Pesticide residues in fruits and vegetables along the food supply and consumption chain and associated human health effects in central Uganda</t>
  </si>
  <si>
    <t>Prof. David Guwatudde</t>
  </si>
  <si>
    <t xml:space="preserve">Dr. John C. Ssempebwa </t>
  </si>
  <si>
    <t>Prof. Asa Bradman</t>
  </si>
  <si>
    <t xml:space="preserve">Research Associate </t>
  </si>
  <si>
    <t>0000-0001-6857-0091</t>
  </si>
  <si>
    <t xml:space="preserve">Health risk assessment of pesticide residues in fruits and vegetables among consumers in central Uganda - using the "from farm to fork" principle  </t>
  </si>
  <si>
    <t>C9/009</t>
  </si>
  <si>
    <t>Cyril</t>
  </si>
  <si>
    <t>Nyalik</t>
  </si>
  <si>
    <t>Ogada</t>
  </si>
  <si>
    <t>Conservative and Prosthetic Dentisry</t>
  </si>
  <si>
    <t>cogada@cartafrica.org</t>
  </si>
  <si>
    <t>nyalikogada@yahoo.com</t>
  </si>
  <si>
    <t>+254772438224; 254720342901</t>
  </si>
  <si>
    <t xml:space="preserve"> Prof. Laetitia Rispel</t>
  </si>
  <si>
    <t xml:space="preserve">Dr Richard Ayah </t>
  </si>
  <si>
    <t>Tutorial fellow</t>
  </si>
  <si>
    <t>0000-0003-0919-3411</t>
  </si>
  <si>
    <t>Absenteeism among Doctors and health service utilization in the devolved system of government in Kenya.</t>
  </si>
  <si>
    <t>C9/010</t>
  </si>
  <si>
    <t>Evelyne</t>
  </si>
  <si>
    <t>Kantarama</t>
  </si>
  <si>
    <t>Biochemistry</t>
  </si>
  <si>
    <t>Clinical Biology</t>
  </si>
  <si>
    <t>ekantarama@cartafrica.org</t>
  </si>
  <si>
    <t>kantever11@gmail.com</t>
  </si>
  <si>
    <t>+250788651907</t>
  </si>
  <si>
    <t>Medical Biochemistry</t>
  </si>
  <si>
    <t>Medical Biochemistry with focus on the relationship between epigenetic effects of hormonal contraceptives and lipid profile abnormalities</t>
  </si>
  <si>
    <t>Prof. Muvunyi Mambo</t>
  </si>
  <si>
    <t>Dr. Uwineza Annette</t>
  </si>
  <si>
    <t>0000-0002-5428-8914</t>
  </si>
  <si>
    <t>Dyslipidemia, related factors and risk of cardiovascular diseases in users of hormonal contraceptives in Rwanda</t>
  </si>
  <si>
    <t>Effect of Depo Medroxyprogesterone Acetate (DMPA)  Injectable Contraceptive on Cardiometabolic Risk Profile Among Women of Reproductive Age in Kigali, Rwanda</t>
  </si>
  <si>
    <t>JAS1, 2019</t>
  </si>
  <si>
    <t>C9/011</t>
  </si>
  <si>
    <t>Wilfred</t>
  </si>
  <si>
    <t>Eneku</t>
  </si>
  <si>
    <t>Pathobiology</t>
  </si>
  <si>
    <t>Pharmacy, Clinical and Comparative Medicine</t>
  </si>
  <si>
    <t>weneku@cartafrica.org</t>
  </si>
  <si>
    <t>weneku@gmail.com</t>
  </si>
  <si>
    <t>+256 776 535187, +256 752 535187</t>
  </si>
  <si>
    <t>Masters of Veterinary Pathology</t>
  </si>
  <si>
    <t>Molecular and Sero-Epidemiology of Rickettsia in Uganda</t>
  </si>
  <si>
    <t>Prof. Byarugaba K. Denis</t>
  </si>
  <si>
    <t>Assoc. Prof. Robert Tweyongyere</t>
  </si>
  <si>
    <t>0000-0001-5013-7118</t>
  </si>
  <si>
    <t>Molecular and Sero-epidemiology of Zoonotic rickettsioses in Uganda</t>
  </si>
  <si>
    <t>C9/012</t>
  </si>
  <si>
    <t>Kirsty</t>
  </si>
  <si>
    <t>Van Stormbroek</t>
  </si>
  <si>
    <t>kstormbroek@cartafrica.org</t>
  </si>
  <si>
    <t>kirststorm@gmail.com</t>
  </si>
  <si>
    <t>+27 11 717 3701/'+27760977705</t>
  </si>
  <si>
    <t>MSc Occupational Therapy</t>
  </si>
  <si>
    <t>Improving access to quality hand injury-care services in the public service.</t>
  </si>
  <si>
    <t>Professor Hellen Myezwa,</t>
  </si>
  <si>
    <t>Dr Tania Rauch-van der Merwe</t>
  </si>
  <si>
    <t>Professor Lisa O’Brien</t>
  </si>
  <si>
    <t>Chairperson, Committee on Immunization and HIV/AIDS for the Nigerian Medical Association, Osun State Chapter</t>
  </si>
  <si>
    <t>0000-0003-4890-5063</t>
  </si>
  <si>
    <t>Towards enabling livelihood after hand injury: Contextually responsive support and development strategies for generalist occupational therapists delivering hand rehabilitation in South Africa.</t>
  </si>
  <si>
    <t>Contextually responsive support and development strategies for generalist occupational therapists delivering hand-injury care in South Africa</t>
  </si>
  <si>
    <t>C9/013</t>
  </si>
  <si>
    <t>Funmito</t>
  </si>
  <si>
    <t>Omolola</t>
  </si>
  <si>
    <t>Fehintola</t>
  </si>
  <si>
    <t>Medical doctor</t>
  </si>
  <si>
    <t>fomolola@cartafrica.org</t>
  </si>
  <si>
    <t>funmitoabioye@yahoo.com</t>
  </si>
  <si>
    <t>+2348033913964; 2348037998247</t>
  </si>
  <si>
    <t>Effect of multi-level intervention on modifiable risk factors of non-communicable diseases among in –school adolescents in Nigeria</t>
  </si>
  <si>
    <t>Prof/Omotade/Olayemi</t>
  </si>
  <si>
    <t>Prof/Fatusi/Adesegun</t>
  </si>
  <si>
    <t>0000-0002-3283-6641</t>
  </si>
  <si>
    <t>Health literacy on  behavioural risk factors of NCDs and its determinants among adolescents</t>
  </si>
  <si>
    <t>C9/014</t>
  </si>
  <si>
    <t>OLUFUNMILOLA</t>
  </si>
  <si>
    <t>BAMIDELE</t>
  </si>
  <si>
    <t>MAKANJUOLA</t>
  </si>
  <si>
    <t>Medical Microbiology and Parasitology</t>
  </si>
  <si>
    <t>PGS19250719432936</t>
  </si>
  <si>
    <t>omakanjuola@cartafrica.org</t>
  </si>
  <si>
    <t>funmimakanjuola@yahoo.com</t>
  </si>
  <si>
    <t>+2348034731717; 2348087643340</t>
  </si>
  <si>
    <t>MSc Epidemiology</t>
  </si>
  <si>
    <t>Cutaneous fungal infections in rural and urban primary school children in Oyo State, Nigeria: Epidemiology, diagnosis and public health impact.</t>
  </si>
  <si>
    <t>Prof Fawole Olufunmilayo</t>
  </si>
  <si>
    <t>0000-0001-7785-0183</t>
  </si>
  <si>
    <t>Molecular epidemiology of dermatophyte infections among HIV positive individuals in South-Western Nigeria</t>
  </si>
  <si>
    <t>C9/015</t>
  </si>
  <si>
    <t>Abiket</t>
  </si>
  <si>
    <t>Nanfizat</t>
  </si>
  <si>
    <t>Alamukii</t>
  </si>
  <si>
    <t>Zoology</t>
  </si>
  <si>
    <t>Institute for Advanced Medical Research and Training (IAMRAT)</t>
  </si>
  <si>
    <t>aabiket@cartafrica.org</t>
  </si>
  <si>
    <t>iyabiket@gmail.com</t>
  </si>
  <si>
    <t>+234 706 435 6537</t>
  </si>
  <si>
    <t>M.Sc Zoology (Cell biology and Genetics)</t>
  </si>
  <si>
    <t>Prevalence of breast cancer among Nigerian women and the use of TNF alpha and receptors’ Single Nucleotide Polymorphisms as possible diagnostic indicators.</t>
  </si>
  <si>
    <t>Dr. Nwuba I. Roseangela</t>
  </si>
  <si>
    <t>Teaching and Research Assistant at the Department of Zoology, University of Ibadan</t>
  </si>
  <si>
    <t>Teaching and Research Assistant at the Department of Zoology</t>
  </si>
  <si>
    <t>UNIVERSITY OF MEDICAL SCIENCES, ONDO, NIGERIA</t>
  </si>
  <si>
    <t>0000-0002-5741-1383</t>
  </si>
  <si>
    <t>TUMOUR NECROSIS FACTOR ALPHA (TNF α) AND ITS RECEPTORS AS INDICATORS FOR BREAST CANCER AMONG NIGERIAN WOMEN</t>
  </si>
  <si>
    <t>Barriers to early diagnosis turnout nacrosis factors and receptors genetic varied  as possible predictors fro breast cancer among Nigerian women</t>
  </si>
  <si>
    <t>C9/016</t>
  </si>
  <si>
    <t>Olindah</t>
  </si>
  <si>
    <t>Mkhonto</t>
  </si>
  <si>
    <t>Silaule</t>
  </si>
  <si>
    <t>occupational therapy</t>
  </si>
  <si>
    <t>Occupational therapy</t>
  </si>
  <si>
    <t>0504217T</t>
  </si>
  <si>
    <t>osilaule@cartafrica.org</t>
  </si>
  <si>
    <t>o.silaule@gmail.com</t>
  </si>
  <si>
    <t>+27 11 717 3701/'+27782035213/+27 11 717 3714</t>
  </si>
  <si>
    <t>MSc Occupational therapy</t>
  </si>
  <si>
    <t>Quality and efficiency in mental health services in South Africa</t>
  </si>
  <si>
    <t>Dr Adams Fasloen</t>
  </si>
  <si>
    <t>Dr Nkosi-Mafutha Nokuthula</t>
  </si>
  <si>
    <t>UNIVERSITY OF CAPE TOWN</t>
  </si>
  <si>
    <t>Developing and validation of a community-based program for caregivers of persons with mental disorders in rural South Africa</t>
  </si>
  <si>
    <t>Developing strategies for alleviating caregiver burden among informal caregivers of persons with severe mental disorders in Bushbuckridge, Mpumalanga Province Informal caregivers of persons with severe mental disorders are faced with high levels of distress</t>
  </si>
  <si>
    <t>C9/017</t>
  </si>
  <si>
    <t>Jane</t>
  </si>
  <si>
    <t>Wanjiru</t>
  </si>
  <si>
    <t>Macharia</t>
  </si>
  <si>
    <t>Department of Chemistry</t>
  </si>
  <si>
    <t>I80/52247/2017</t>
  </si>
  <si>
    <t>jmacharia@cartafrica.org</t>
  </si>
  <si>
    <t>jmacharia251@gmail.com</t>
  </si>
  <si>
    <t>+254 726418703</t>
  </si>
  <si>
    <t>Msc in Chemistry</t>
  </si>
  <si>
    <t>Prof. Kariuki K. David</t>
  </si>
  <si>
    <t>Prof. Thole Benard</t>
  </si>
  <si>
    <t>Part-time researcher</t>
  </si>
  <si>
    <t>0000-0003-3415-2048</t>
  </si>
  <si>
    <t>Prenatal and Postnatal Exposure to Fluoride in High Fluoride Areas in Kenya</t>
  </si>
  <si>
    <t>JAS 1, 2019</t>
  </si>
  <si>
    <t>C9/018</t>
  </si>
  <si>
    <t xml:space="preserve">Abimbola  </t>
  </si>
  <si>
    <t>Obimakinde</t>
  </si>
  <si>
    <t xml:space="preserve">Family Medicine </t>
  </si>
  <si>
    <t xml:space="preserve">Registration on going </t>
  </si>
  <si>
    <t>mabimbola@cartafrica.org</t>
  </si>
  <si>
    <t>tolutammy@yahoo.com</t>
  </si>
  <si>
    <t>+234 8106912778</t>
  </si>
  <si>
    <t>Effect of Life Style Modifications On the Control of Chronic Non-Communicable Diseases in Sub Sahara Africa</t>
  </si>
  <si>
    <t>Prof Shabir Moosa</t>
  </si>
  <si>
    <t>0000-0001-5954-952x</t>
  </si>
  <si>
    <t>CHILDREN STREETISM IN IBADAN, NIGERIA; THE FAMILY DYNAMICS, EXPERIENCES AND HEALTH OUTCOMES</t>
  </si>
  <si>
    <t>Children on the streets of Ibadan, Nigeria: experiences, family dynamics and health status.</t>
  </si>
  <si>
    <t>C9/019</t>
  </si>
  <si>
    <t>Ronald</t>
  </si>
  <si>
    <t>Kibet</t>
  </si>
  <si>
    <t>Tonui</t>
  </si>
  <si>
    <t>Immunology</t>
  </si>
  <si>
    <t>Clinical Microbiology and Infectious Diseases</t>
  </si>
  <si>
    <t>rtonui@cartafrica.org</t>
  </si>
  <si>
    <t>tonuironald@gmail.com</t>
  </si>
  <si>
    <t>+254532060958/+254722258484</t>
  </si>
  <si>
    <t>Immunology, Global Health and Infectious Diseases</t>
  </si>
  <si>
    <t>Role of immune response genes’ polymorphisms in susceptibility to and severity of Mycobacterium tuberculosis infections</t>
  </si>
  <si>
    <t xml:space="preserve"> Dr. Aijaz Ahmad	</t>
  </si>
  <si>
    <t xml:space="preserve"> Prof. Simeon Mining	</t>
  </si>
  <si>
    <t>Dr. Rispah Torrorey</t>
  </si>
  <si>
    <t>0000-0001-5087-1435</t>
  </si>
  <si>
    <t>Genetic predictors of tuberculosis in western Kenya</t>
  </si>
  <si>
    <t>C9/020</t>
  </si>
  <si>
    <t xml:space="preserve">Omolayo </t>
  </si>
  <si>
    <t xml:space="preserve">Bukola </t>
  </si>
  <si>
    <t>Oluwatope</t>
  </si>
  <si>
    <t>DEMOGRAPHY</t>
  </si>
  <si>
    <t xml:space="preserve">DEMOGRAPHY AND SOCIAL STATISTICS </t>
  </si>
  <si>
    <t>SSP17/18/R/0016</t>
  </si>
  <si>
    <t>ooluwatope@cartafrica.org</t>
  </si>
  <si>
    <t xml:space="preserve"> omolayooluwatope@gmail.com</t>
  </si>
  <si>
    <t>+2348023926477</t>
  </si>
  <si>
    <t>DR SOLANKE LUKMAN BOLA</t>
  </si>
  <si>
    <t>DR T. SULAIMAN ADEDOKUN</t>
  </si>
  <si>
    <t>0000-0002-3908-0314</t>
  </si>
  <si>
    <t>Contextual Social support for maternal healthcare service utilisation in Nigeria</t>
  </si>
  <si>
    <t>Social supports, capability of women and utilisation of healthcare services in Northwest and Southwest Nigeria</t>
  </si>
  <si>
    <t>C9/021</t>
  </si>
  <si>
    <t xml:space="preserve">Alex </t>
  </si>
  <si>
    <t>Ntamatungiro</t>
  </si>
  <si>
    <t>Biomedical</t>
  </si>
  <si>
    <t>antamatungiro@cartafrica.org</t>
  </si>
  <si>
    <t>ajntamatungiro@gmail.com</t>
  </si>
  <si>
    <t>255 222 774 714/255 222 774 756</t>
  </si>
  <si>
    <t xml:space="preserve">Master of Science in Molecular biology of Infectious diseases </t>
  </si>
  <si>
    <t>Understanding the Spatial-Temporal trends of HIV drug resistant strains among newly diagnosed HIV-1 treatment-naive patients in rural Tanzania.</t>
  </si>
  <si>
    <t>Dr. Kagura Juliana</t>
  </si>
  <si>
    <t>Joel Msafiri Francis</t>
  </si>
  <si>
    <t>Dr. Maja Wisser</t>
  </si>
  <si>
    <t>0000-0002-3134-3992</t>
  </si>
  <si>
    <t>Levels and temporal trends of pre-ART drug resistance among pregnant women over a full decade of ART rollout in a Tanzanian rural setting</t>
  </si>
  <si>
    <t>Trend of pre-antiretroviral therapy HIV-1 drug resistance in Kilombero and Ulanga antiretroviral cohort, South-Western Tanzania, for over 15 years (2005-2020)</t>
  </si>
  <si>
    <t>C9/022</t>
  </si>
  <si>
    <t xml:space="preserve">Glory </t>
  </si>
  <si>
    <t>Mzembe</t>
  </si>
  <si>
    <t xml:space="preserve">CLINICAL EPIDEMIOLOGY </t>
  </si>
  <si>
    <t>Training and Research</t>
  </si>
  <si>
    <t>gmzembe@cartafrica.org</t>
  </si>
  <si>
    <t>glorymzembe00@gmail.com</t>
  </si>
  <si>
    <t>+2651677245/'+265997373789</t>
  </si>
  <si>
    <t xml:space="preserve">London School of Hygiene and Tropical Medicine, University of London </t>
  </si>
  <si>
    <t xml:space="preserve">Predictors of iron deficiency and iron deficiency anaemia and its impact on incidence of childhood illnesses and immune response to vaccines among infants up to 12 months of age in Zomba and Blantyre Districts of Malawi - an observational cohort study </t>
  </si>
  <si>
    <t>Prof Phiri Samuel Kamija</t>
  </si>
  <si>
    <t>Dr Mwangi Ndegwa Martin</t>
  </si>
  <si>
    <t>0000-0002-7277-9987</t>
  </si>
  <si>
    <t xml:space="preserve">Effect of intravenous iron use in pregnancy on infant's immune response and health outcomes </t>
  </si>
  <si>
    <t>C9/023</t>
  </si>
  <si>
    <t xml:space="preserve">Temitope </t>
  </si>
  <si>
    <t>Ilori</t>
  </si>
  <si>
    <t>FAMILY MEDICINE</t>
  </si>
  <si>
    <t>COMMUNITY MEDICINE</t>
  </si>
  <si>
    <t>tilori@cartafrica.org</t>
  </si>
  <si>
    <t>boatop@yahoo.com</t>
  </si>
  <si>
    <t>+234 8102723484; +234 8023009099</t>
  </si>
  <si>
    <t>Master degree in Human Nutrition (MSc. Human Nutrition) from the University of Ibadan, Nigeria</t>
  </si>
  <si>
    <t>Dietary Intake and Metabolic Risk Factors for Cardiovascular Diseases Among Adults in Selected Local Government Areas of Oyo State, Nigeria: A Rural Urban Comparison</t>
  </si>
  <si>
    <t xml:space="preserve">Prof.Baldwin-Ragaven Laurel </t>
  </si>
  <si>
    <t>University of Witwatersrand, South Africa</t>
  </si>
  <si>
    <t>0000-0001-6648-9521</t>
  </si>
  <si>
    <t>Psycho social factors, Dietary Patterns and Cardiovascular Risk Factors among Adults in selected Urban Slum and Non Slum Areas of Oyo State, Nigeria.</t>
  </si>
  <si>
    <t>C9/024</t>
  </si>
  <si>
    <t>Joselyn</t>
  </si>
  <si>
    <t>Annet</t>
  </si>
  <si>
    <t>Atuhairwe</t>
  </si>
  <si>
    <t>jatuhairwe@cartafrica.org</t>
  </si>
  <si>
    <t>atuhairwejoselyn@gmail.com</t>
  </si>
  <si>
    <t>+256 782 422 826</t>
  </si>
  <si>
    <t>Master of Science in Biology and Control of Parasites and Disease Vectors</t>
  </si>
  <si>
    <t>Characterising residual malaria transmission in areas where universal distribution of Long Lasting Insecticide-treated Nets and Indoor Residual Spraying have been rolled out in Uganda</t>
  </si>
  <si>
    <t>0000-0002-1488-3364</t>
  </si>
  <si>
    <t>C10/001</t>
  </si>
  <si>
    <t>Alice</t>
  </si>
  <si>
    <t>Muhayimana</t>
  </si>
  <si>
    <t>Nursing/Midwifery</t>
  </si>
  <si>
    <t>amuhayimana@cartafrica.org</t>
  </si>
  <si>
    <t>hayiali@yahoo.fr</t>
  </si>
  <si>
    <t>+250788687626</t>
  </si>
  <si>
    <t>Masters of Science in Nursing(Maternal and Neonatal Health)</t>
  </si>
  <si>
    <t>Status of Respectful Care during Childbirth among Mothers  and its Drivers from Health Care Providers at Eastern Province of Rwanda</t>
  </si>
  <si>
    <t>Dr Irene J. Kearns</t>
  </si>
  <si>
    <t>0000-0002-5318-497X</t>
  </si>
  <si>
    <t>11/1/2020 &amp; 22/5/2022</t>
  </si>
  <si>
    <t>DEVELOPMENT OF STRATEGIES FOR HEALTH CARE PROVIDERS TO SUSTAIN RESPECTFUL MATERNITY CARE TO WOMEN IN LABOUR</t>
  </si>
  <si>
    <t>C10/002</t>
  </si>
  <si>
    <t>Aline</t>
  </si>
  <si>
    <t>Uwase</t>
  </si>
  <si>
    <t>Anesthesia</t>
  </si>
  <si>
    <t>auwase@cartafrica.org</t>
  </si>
  <si>
    <t>alinemunyaneza1@gmail.com</t>
  </si>
  <si>
    <t>+ 250 789 865 930; +250 788 642 136</t>
  </si>
  <si>
    <t>Master's degree in Public Health</t>
  </si>
  <si>
    <t>Effect of nutrition education based on  health belief model and involving male partner’s compared to traditional education on nutritional knowledge and healthy dietary practices Among pregnant women in the southern province of Rwanda</t>
  </si>
  <si>
    <t>Prof. Jonathan Levin</t>
  </si>
  <si>
    <t xml:space="preserve">Deputy coordinator of post-graduate studies,  School of Health Sciences </t>
  </si>
  <si>
    <t>0000-0001-6256-2541</t>
  </si>
  <si>
    <t>C10/004</t>
  </si>
  <si>
    <t>Aneth</t>
  </si>
  <si>
    <t>Vedastus</t>
  </si>
  <si>
    <t>Kalinjuma</t>
  </si>
  <si>
    <t>Intervention and Clinical Trials Department</t>
  </si>
  <si>
    <t>akalinjuma@cartafrica.org</t>
  </si>
  <si>
    <t>avedastus@gmail.com; avedastus@yahoo.com</t>
  </si>
  <si>
    <t>+255232625164; +255754662828</t>
  </si>
  <si>
    <t xml:space="preserve">Master of Science in Statistics specializing in Biostatistics </t>
  </si>
  <si>
    <t>Transition dynamics and treatment outcomes among HIV-positive adults in Ifakara, Tanzania: A comprehensive analysis for optimizing existing longitudinal cohort data</t>
  </si>
  <si>
    <t xml:space="preserve">Prof. Kennedy Otwombe </t>
  </si>
  <si>
    <t>Dr. Fiona Vanobberghen</t>
  </si>
  <si>
    <t>0000-0001-5862-9264</t>
  </si>
  <si>
    <t>C10/015</t>
  </si>
  <si>
    <t>Ogbenyi</t>
  </si>
  <si>
    <t>Ugalahi</t>
  </si>
  <si>
    <t>Opthamology</t>
  </si>
  <si>
    <t>Ophthalmology</t>
  </si>
  <si>
    <t>mugalahi@cartafrica.org</t>
  </si>
  <si>
    <t>oheobe26@yahoo.com; maryugalahi@gmail.com</t>
  </si>
  <si>
    <t>+234 (0)8126908495</t>
  </si>
  <si>
    <t>MSc Global Health</t>
  </si>
  <si>
    <t>Pathways to Care and Determinants of Delayed Presentation of Children to Child Eye Health Tertiary Facilities (CEHTF) in Ibadan, South West Nigeria</t>
  </si>
  <si>
    <t>Dr. Adebiyi Olupelumi Akindele</t>
  </si>
  <si>
    <t>0000-0003-3272-310X</t>
  </si>
  <si>
    <t>C10/016</t>
  </si>
  <si>
    <t>Maureen</t>
  </si>
  <si>
    <t>Daisy</t>
  </si>
  <si>
    <t>Majamanda</t>
  </si>
  <si>
    <t>CHILD HEALTH</t>
  </si>
  <si>
    <t>mmajamanda@cartafrica.org</t>
  </si>
  <si>
    <t>mdmajamanda@gmail.com</t>
  </si>
  <si>
    <t>+265873623; 265992160415</t>
  </si>
  <si>
    <t>MASTER IN ADVANCED PRACTICE (CHILD HEALTH)</t>
  </si>
  <si>
    <t>Improving the quality of paediatric oncology nursing care in Malawi through nursing education: a mixed methods study</t>
  </si>
  <si>
    <t>Dr. Irene Kearns</t>
  </si>
  <si>
    <t>0000-0001-8886-3158</t>
  </si>
  <si>
    <t>C10/006</t>
  </si>
  <si>
    <t>Beryl</t>
  </si>
  <si>
    <t>Chelangat</t>
  </si>
  <si>
    <t>Maritim</t>
  </si>
  <si>
    <t xml:space="preserve">Public Health </t>
  </si>
  <si>
    <t>School of Medicine</t>
  </si>
  <si>
    <t>bmaritim@cartafrica.org</t>
  </si>
  <si>
    <t>berylc.maritim@gmail.com</t>
  </si>
  <si>
    <t>+254722799685</t>
  </si>
  <si>
    <t>Masters in Business Adminstration</t>
  </si>
  <si>
    <t>Why They Stay: Understanding Retention in Voluntary National Health Insurance Among Rural Informal Sector Households in Western Kenya</t>
  </si>
  <si>
    <t>Prof. Jane Goudge</t>
  </si>
  <si>
    <t>Dr. Adam Koon</t>
  </si>
  <si>
    <t>Early Carrer Researcher</t>
  </si>
  <si>
    <t>KEMRI WELLCOME TRUST (2023)</t>
  </si>
  <si>
    <t>0000-0002-3754-0735</t>
  </si>
  <si>
    <t>Examining the role of affordability, citizen engagement and social solidarity in determining health insurance coverage in Kenya</t>
  </si>
  <si>
    <t>C10/007</t>
  </si>
  <si>
    <t>Chinenyenwa</t>
  </si>
  <si>
    <t>Maria Dorathy</t>
  </si>
  <si>
    <t>Ohia</t>
  </si>
  <si>
    <t>Environmental health</t>
  </si>
  <si>
    <t>cohia@cartafrica.org</t>
  </si>
  <si>
    <t>ohiacmd@gmail.com</t>
  </si>
  <si>
    <t>+234 7038318289</t>
  </si>
  <si>
    <t>MPH (Environmental Health)</t>
  </si>
  <si>
    <t>Unravelling the drivers and dynamics of sustained malaria transmission in South-West Nigeria</t>
  </si>
  <si>
    <t>Prof Charles M. Mbogo</t>
  </si>
  <si>
    <t>Prof. Wolfang Richard Mukabana</t>
  </si>
  <si>
    <t>Prof. Godson Ana</t>
  </si>
  <si>
    <t>0000-0001-8337-3221</t>
  </si>
  <si>
    <t>Bio-Insecticidal effectiveness of Moringa oleifera-synthesised silver nanoparticles and other products on selected mosquito species and toxicity effects on a non-target organism (Clarias gariepinus)</t>
  </si>
  <si>
    <t>JAS 1, 2020</t>
  </si>
  <si>
    <t>C10/008</t>
  </si>
  <si>
    <t xml:space="preserve">Duncan </t>
  </si>
  <si>
    <t>Wekesa</t>
  </si>
  <si>
    <t>Nyukuri</t>
  </si>
  <si>
    <t>Medical Doctor</t>
  </si>
  <si>
    <t>dnyukuri@cartafrica.org</t>
  </si>
  <si>
    <t>dnyukuri@gmail.com</t>
  </si>
  <si>
    <t>+254 720977887</t>
  </si>
  <si>
    <t>Master of Medicine in Internal Medicine</t>
  </si>
  <si>
    <t>The Role of Multiplex PCR and Procalcitonin in diagnosis and management of Community Acquired Pneumonia among Adults Admitted at Kenyatta National Clinical research</t>
  </si>
  <si>
    <t>Dr. Jared Mecha</t>
  </si>
  <si>
    <t>0000-0002-4739-2000</t>
  </si>
  <si>
    <t>C10/018</t>
  </si>
  <si>
    <t>Oluwatosin</t>
  </si>
  <si>
    <t>Eunice</t>
  </si>
  <si>
    <t>Olorunmoteni</t>
  </si>
  <si>
    <t>Paediatrics and Child Health</t>
  </si>
  <si>
    <t>oolorunmoteni@cartafrica.org</t>
  </si>
  <si>
    <t>tosinolorunmoteni@gmail.com</t>
  </si>
  <si>
    <t>+234815 209 2837; +234803 941 3535</t>
  </si>
  <si>
    <t>WHAT IS IN A GOOD NIGHT’S SLEEP? PATTERN, DETERMINANTS AND ASSOCIATED PROBLEMS WITH SLEEP IN NIGERIAN ADOLESCENTS</t>
  </si>
  <si>
    <t>Dr Scheuermaier Karine</t>
  </si>
  <si>
    <t>Dr Gomez-Olive F. Xavier</t>
  </si>
  <si>
    <t>Prof. Fatusi Olayiwola Adesegun</t>
  </si>
  <si>
    <t>0000-0001-8561-9918</t>
  </si>
  <si>
    <t xml:space="preserve"> Sleep characteristics among In-school Adolescents in South-Western Nigeria: Pattern, Determinants and Association with Cardiometabolic risk factors</t>
  </si>
  <si>
    <t>C10/010</t>
  </si>
  <si>
    <t xml:space="preserve">Frederick </t>
  </si>
  <si>
    <t>Oporia</t>
  </si>
  <si>
    <t>foporia@cartafrica.org</t>
  </si>
  <si>
    <t>phrezzie@gmail.com</t>
  </si>
  <si>
    <t>+256 703 857 428</t>
  </si>
  <si>
    <t>Preventing drowning among boaters in Lake Albert, Uganda: An enhanced educational intervention to improve knowledge and use of seaworthy lifejackets</t>
  </si>
  <si>
    <t>Prof Fred Nuwaha Ntoni</t>
  </si>
  <si>
    <t>Dr Jagnoor Jagnoor</t>
  </si>
  <si>
    <t>Dr Simon Peter Kibira</t>
  </si>
  <si>
    <t>0000-0001-6280-8919</t>
  </si>
  <si>
    <t>Improving lifejacket wear among occupational boaters on Lake Altert, Uganda: A cluster-randomized controlled trial</t>
  </si>
  <si>
    <t>C10/019</t>
  </si>
  <si>
    <t>Omotade</t>
  </si>
  <si>
    <t>Adebimpe</t>
  </si>
  <si>
    <t>Ijarotimi</t>
  </si>
  <si>
    <t xml:space="preserve">Obstertrics and reproductive health </t>
  </si>
  <si>
    <t>Department of Obstetrics, Gynaecology &amp; Perinatology.</t>
  </si>
  <si>
    <t>oijarotimi@cartafrica.org</t>
  </si>
  <si>
    <t>tadeijarotimi@gmail.com; tadeolar@yahoo.com</t>
  </si>
  <si>
    <t>+234-803-400-2812</t>
  </si>
  <si>
    <t>Outcome of Male Partners’ Involvement in Antenatal Counselling on Women’s Postpartum Family Planning Uptake in South-west Nigeria</t>
  </si>
  <si>
    <t xml:space="preserve">Prof Olayemi Oladapo </t>
  </si>
  <si>
    <t>Dr Olumide Adesola</t>
  </si>
  <si>
    <t xml:space="preserve"> Professor</t>
  </si>
  <si>
    <t>0000-0002-2824-466X</t>
  </si>
  <si>
    <t>C10/012</t>
  </si>
  <si>
    <t>James</t>
  </si>
  <si>
    <t>Muleme</t>
  </si>
  <si>
    <t xml:space="preserve">Disease Control and Environmental Health </t>
  </si>
  <si>
    <t>jmuleme@cartafrica.org</t>
  </si>
  <si>
    <t>mulemej@gmail.com</t>
  </si>
  <si>
    <t>+256787364697; 256701271259</t>
  </si>
  <si>
    <t>Masters of Veterinary Preventive Medicine (Field Epidemiology track)</t>
  </si>
  <si>
    <t>Extended Spectrum β Lactamase (ESBL) producing Escherichia coli as bio-threats:   pathobiology, transmission dynamics and antibiotic resistance in rural and urban
communities of Wakiso district, Uganda</t>
  </si>
  <si>
    <t>Dr. Ssempebwa John</t>
  </si>
  <si>
    <t>Dr. Musoke David</t>
  </si>
  <si>
    <t>Assoc. Prof. Kankya Clovice</t>
  </si>
  <si>
    <t>0000-0001-8967-7031</t>
  </si>
  <si>
    <t>Reservoirs, transmission and antibiotic resistance resistance profiles of extended specturum SPECTRUM BETA LACTAMASE-PRODUCING Escherichia Coli at the humananimal-environmant interface among farming communities in Wakiso District, Uganda”.</t>
  </si>
  <si>
    <t>C10/020</t>
  </si>
  <si>
    <t>Patience</t>
  </si>
  <si>
    <t>Shamu</t>
  </si>
  <si>
    <t>Wits Reproductive Health and HIV Institute (Implementation Science)</t>
  </si>
  <si>
    <t>pshamu@cartafrica.org</t>
  </si>
  <si>
    <t>patieshamu@gmail.com; pshamu@wrhi.ac.za</t>
  </si>
  <si>
    <t>+27113585300; +27731960356</t>
  </si>
  <si>
    <t>Master of Science in Population Studies</t>
  </si>
  <si>
    <t>Determinants, lived experiences, and outcomes of HIV Pre-Exposure Prophylaxis use among young female university students in South Africa: A prospective cohort study</t>
  </si>
  <si>
    <t>Professor Saiqa Mullick</t>
  </si>
  <si>
    <t>0000-0003-1946-5046</t>
  </si>
  <si>
    <t>Perceptions of long-acting HIV pre-exposure prophylaxis and preferences for service delivery among young women in tertiary institutions in South Africa</t>
  </si>
  <si>
    <t>WT - DELTAS</t>
  </si>
  <si>
    <t>C10/014</t>
  </si>
  <si>
    <t>Marifa</t>
  </si>
  <si>
    <t>Muchemwa</t>
  </si>
  <si>
    <t>Demography and Population studies</t>
  </si>
  <si>
    <t>mmuchemwa@cartafrica.org</t>
  </si>
  <si>
    <t>marifamuchemwa@yahoo.com</t>
  </si>
  <si>
    <t>+27117174095; 27780200743</t>
  </si>
  <si>
    <t>MA in Sociology and MA in Demography and Population studies</t>
  </si>
  <si>
    <t xml:space="preserve">Family Changes and Child Maintenance Effect on Men’s Mental Health in South Africa </t>
  </si>
  <si>
    <t>Professor Clifford Odimegwu</t>
  </si>
  <si>
    <t>Teaching assistant</t>
  </si>
  <si>
    <t>Post-Doctoral Fellow</t>
  </si>
  <si>
    <t>0000-0002-1957-9513</t>
  </si>
  <si>
    <t>Family change, child maintenance and mental health outcomes of men in South Africa”</t>
  </si>
  <si>
    <t>JAS 2, 2022</t>
  </si>
  <si>
    <t>C10/021</t>
  </si>
  <si>
    <t xml:space="preserve">Shakeerah </t>
  </si>
  <si>
    <t>Olaide</t>
  </si>
  <si>
    <t>Gbadebo</t>
  </si>
  <si>
    <t>RESTORATIVE DENTISTRY</t>
  </si>
  <si>
    <t>Widowe(r)d</t>
  </si>
  <si>
    <t>Widow</t>
  </si>
  <si>
    <t>sgbadebo@cartafrica.org</t>
  </si>
  <si>
    <t>olaaris2k1@yahoo.com</t>
  </si>
  <si>
    <t>+2348057358291</t>
  </si>
  <si>
    <t>MASTERS DENTAL SURGERY</t>
  </si>
  <si>
    <t>Dental anxiety: measuring the fear factors and its effect on endodontic treatment among adults in Ibadan, Nigeria</t>
  </si>
  <si>
    <t>Prof Gbemisola Oke</t>
  </si>
  <si>
    <t>Prof Dosumu OO</t>
  </si>
  <si>
    <t>0000-0002-2109-753X</t>
  </si>
  <si>
    <t>Pre-treatment Information Communication and Dental Anxiety among Adult  Dental Care Seekers in Ibadan, Nigeria</t>
  </si>
  <si>
    <t>C10/022</t>
  </si>
  <si>
    <t>Stefanie</t>
  </si>
  <si>
    <t>Vermaak</t>
  </si>
  <si>
    <t>HIV Prevention and Treatment</t>
  </si>
  <si>
    <t>Perinatal HIV Research Unit</t>
  </si>
  <si>
    <t>svermaak@cartafrica.org</t>
  </si>
  <si>
    <t>stefanie.hornschuh88@gmail.com</t>
  </si>
  <si>
    <t>+27 11 989 9959; +27 826087634</t>
  </si>
  <si>
    <t>Health Sciences (International's Public Health)</t>
  </si>
  <si>
    <t>Feasibility and acceptability of using digital assent to improve comprehension of study procedures among adolescents with perinatally acquired HIV: a study in Soweto, South Africa</t>
  </si>
  <si>
    <t>Dr Janan Dietrich</t>
  </si>
  <si>
    <t>Prof Tiffany Chennevile</t>
  </si>
  <si>
    <t>Senior Researcher</t>
  </si>
  <si>
    <t>0000-0002-5505-6488</t>
  </si>
  <si>
    <t>C10/023</t>
  </si>
  <si>
    <t>Takondwa</t>
  </si>
  <si>
    <t>Connis</t>
  </si>
  <si>
    <t>Bakuwa</t>
  </si>
  <si>
    <t>Rehabilitation and Therapy</t>
  </si>
  <si>
    <t>tbakuwa@cartafrica.org</t>
  </si>
  <si>
    <t>tbakuwa@medcol.mw; tako.bakuwa@gmail.com</t>
  </si>
  <si>
    <t xml:space="preserve"> +265 1 871 911; +265 993 67 2960</t>
  </si>
  <si>
    <t>Master of science in Community Physiotherapy</t>
  </si>
  <si>
    <t>Effectiveness of a peer-led training program for caregivers of children with cerebral palsy in Malawi</t>
  </si>
  <si>
    <t>Gillian Saloojee</t>
  </si>
  <si>
    <t>Wiedaad Slemming</t>
  </si>
  <si>
    <t>0000-0003-1817-9689</t>
  </si>
  <si>
    <t>C10/025</t>
  </si>
  <si>
    <t>Yetunde</t>
  </si>
  <si>
    <t>A</t>
  </si>
  <si>
    <t>Onimode</t>
  </si>
  <si>
    <t>Nuclear Medicine/Radiology</t>
  </si>
  <si>
    <t>RADIATION ONCOLOGY</t>
  </si>
  <si>
    <t>Married (P1 - 2022)</t>
  </si>
  <si>
    <t>yonimode@cartafrica.org</t>
  </si>
  <si>
    <t>yately_md@yahoo.com; yately_md@yahoo.com</t>
  </si>
  <si>
    <t>+2347087821065</t>
  </si>
  <si>
    <t>Master of Science (Stellenbosch) 2009, Master of Medicine (Witwatersrand) 2012</t>
  </si>
  <si>
    <t>Medical personnel's knowledge about thyroid disease in pregnancy and its management, and development of a trimester-based thyroid reference range In South-West Nigeria</t>
  </si>
  <si>
    <t>Dr Chesang Jacqueline Jelagat</t>
  </si>
  <si>
    <t>Prof Omigbodun Akinyinka</t>
  </si>
  <si>
    <t>0000-0002-4004-6113</t>
  </si>
  <si>
    <t>C10/003</t>
  </si>
  <si>
    <t>Jean de la Croix</t>
  </si>
  <si>
    <t>Allen</t>
  </si>
  <si>
    <t>Ingabire</t>
  </si>
  <si>
    <t>Orthopedics</t>
  </si>
  <si>
    <t>ajcroix@cartafrica.org</t>
  </si>
  <si>
    <t>ingabireallenjc@gmail.com; ijea2000@gmail.com</t>
  </si>
  <si>
    <t>+250788549975</t>
  </si>
  <si>
    <t>Masters of Public health/Masters of Medicine(Surgery)/Fellowship in Orthopedics</t>
  </si>
  <si>
    <t xml:space="preserve">Long term disability following road traffic injuries in Rwanda: Cost and health outcomes </t>
  </si>
  <si>
    <t xml:space="preserve">Prof Tumussime K. David </t>
  </si>
  <si>
    <t>Dr. Jean Baptiste Sagahutu </t>
  </si>
  <si>
    <t>Lecturer of Surgery</t>
  </si>
  <si>
    <t>Deputy Director, NIHR Research Hub on Global Surgery/Rwanda </t>
  </si>
  <si>
    <t>0000-0001-8636-6473</t>
  </si>
  <si>
    <t>C10/005</t>
  </si>
  <si>
    <t>Apatsa</t>
  </si>
  <si>
    <t>Selemani</t>
  </si>
  <si>
    <t>Library and Information Science</t>
  </si>
  <si>
    <t>aselemani@cartafrica.org</t>
  </si>
  <si>
    <t>apatsaselemani@gmail.com</t>
  </si>
  <si>
    <t>+2651871911; 265888707373</t>
  </si>
  <si>
    <t>Master of Library and Information Science</t>
  </si>
  <si>
    <t>Journal Indexing and Scientific Impact of Africa's Public Health Research: current status, barriers, facilitators and opportunities.</t>
  </si>
  <si>
    <t>Prof. Jude Igumbor</t>
  </si>
  <si>
    <t>Dr Innocent Maposa</t>
  </si>
  <si>
    <t>Assistant Librarian</t>
  </si>
  <si>
    <t>0000-0003-1216-6158</t>
  </si>
  <si>
    <t>C10/009</t>
  </si>
  <si>
    <t>Nzabonimana</t>
  </si>
  <si>
    <t>Preventive and Community Dentistry</t>
  </si>
  <si>
    <t>enzabonimana@cartafrica.org</t>
  </si>
  <si>
    <t>nzabaemmy@gmail.com</t>
  </si>
  <si>
    <t>+250783880746</t>
  </si>
  <si>
    <t>Health Informatics</t>
  </si>
  <si>
    <t>Investigating reasons, challenges, and perceptions of poor oral health among adults in rural and urban Rwanda</t>
  </si>
  <si>
    <t>Prof Phumzile Hlongwa</t>
  </si>
  <si>
    <t>Prof Veerasamy Yengopal</t>
  </si>
  <si>
    <t>Dr Yolanda Malele-Kolisa</t>
  </si>
  <si>
    <t>0000-0002-6876-3472</t>
  </si>
  <si>
    <t>Oral Health in Nyarugenge District of Rwanda: The Role of Mobile Application in Oral Health Education</t>
  </si>
  <si>
    <t>C10/011</t>
  </si>
  <si>
    <t>Mburu</t>
  </si>
  <si>
    <t>Kang'ethe</t>
  </si>
  <si>
    <t>Institute of tropical and infectious diseases/ PMTCT- Under OBS/ GYN department</t>
  </si>
  <si>
    <t>jkangethe@cartafrica.org</t>
  </si>
  <si>
    <t>jimkangethe@gmail.com</t>
  </si>
  <si>
    <t>+254726237390; 254731221155</t>
  </si>
  <si>
    <t>MSC. Medical Virology</t>
  </si>
  <si>
    <t>Human Papillomavirus type-specific risk and association with Human T Lymphotrophic Virus-1 among HIV infected Women at Kenyatta Clinical research</t>
  </si>
  <si>
    <t>Dr. Marianne Wanjiru Mureithi</t>
  </si>
  <si>
    <t>Dr. Odari Eddy</t>
  </si>
  <si>
    <t>Dr. Eddy Odari</t>
  </si>
  <si>
    <t>HIV research scientist and tutor</t>
  </si>
  <si>
    <t>0000-0001-5813-5360</t>
  </si>
  <si>
    <t>C10/013</t>
  </si>
  <si>
    <t>Kganetso</t>
  </si>
  <si>
    <t>Sekome</t>
  </si>
  <si>
    <t>physiotherapy</t>
  </si>
  <si>
    <t>ksekome@cartafrica.org</t>
  </si>
  <si>
    <t>kgakzin88@gmail.com</t>
  </si>
  <si>
    <t>+27 11 7173705; +27 78 0118605</t>
  </si>
  <si>
    <t>Master of public health</t>
  </si>
  <si>
    <t>Effects of modifications in lifestyle and daily routine  on blood pressure among hypertensive rural adults in Agincourt, South Africa.</t>
  </si>
  <si>
    <t>Professor Hellen Myezwa</t>
  </si>
  <si>
    <t>Prof. F. Gomez Olive- Casas</t>
  </si>
  <si>
    <t>0000-0002-4567-1022</t>
  </si>
  <si>
    <t>Feasibility and acceptability of a Contextualized Physical Activity and Diet Intervention for Hypertension Control in a Rural Adult Population of South Africa</t>
  </si>
  <si>
    <t>C10/017</t>
  </si>
  <si>
    <t>Monday</t>
  </si>
  <si>
    <t>Daniel</t>
  </si>
  <si>
    <t>Olodu</t>
  </si>
  <si>
    <t>molodu@cartafrica.org</t>
  </si>
  <si>
    <t>mondayolodu@gmail.com; mondayolodu@yahoo.com</t>
  </si>
  <si>
    <t>+234-8063168131</t>
  </si>
  <si>
    <t>Master of Science (Human Nutrition)</t>
  </si>
  <si>
    <t>Improving Childhood Nutrition among the Yoruba Ethnic Group in the Rural Communities, Southwest Nigeria: An Indigenous Food-Based Approach</t>
  </si>
  <si>
    <t>Dr. Oladejo Thomas Adepoju</t>
  </si>
  <si>
    <t>0000-0002-1928-9209</t>
  </si>
  <si>
    <t>C10/024</t>
  </si>
  <si>
    <t>Temitope</t>
  </si>
  <si>
    <t>Olumuyiwa</t>
  </si>
  <si>
    <t>Occupational Health and Industrial Hygiene</t>
  </si>
  <si>
    <t>tojo@cartafrica.org</t>
  </si>
  <si>
    <t>linktopeojo@yahoo.com</t>
  </si>
  <si>
    <t>+2348035798224</t>
  </si>
  <si>
    <t>Factors associated with occupational injuries and work-related musculoskeletal disorders among artisans in the informal sector of the Nigerian construction industry</t>
  </si>
  <si>
    <t>Dr Nisha Naicker</t>
  </si>
  <si>
    <t>Prof Onayade Adedeji</t>
  </si>
  <si>
    <t>0000-0003-1899-5213</t>
  </si>
  <si>
    <t>C11/001</t>
  </si>
  <si>
    <t>Adeola</t>
  </si>
  <si>
    <t>Williams</t>
  </si>
  <si>
    <t>Paediatric Dentistry</t>
  </si>
  <si>
    <t>Child Oral Health</t>
  </si>
  <si>
    <t>awilliams@cartafrica.org</t>
  </si>
  <si>
    <t>adeolawilliams022@gmail.com</t>
  </si>
  <si>
    <t>+2348051694622</t>
  </si>
  <si>
    <t>Masters of Dental Sciences, 2018</t>
  </si>
  <si>
    <t>Improving oral health among vulnerable children and adolescents living with HIV/AIDS using evidence-based intervention (Masters of Dental Sciences (MDS)</t>
  </si>
  <si>
    <t>Field based</t>
  </si>
  <si>
    <t>Prof. Denloye O.  Obafunke</t>
  </si>
  <si>
    <t>Prof. Lawal Barakat Folake</t>
  </si>
  <si>
    <t>Dr Yetunde  Adeniyi</t>
  </si>
  <si>
    <t>0000-0003-1915-2138</t>
  </si>
  <si>
    <t>Development and acceptability of an integrated oral health intervention among Adolescents Living with Mental Health Conditions (ALMHC) in Ibadan, Nigeria</t>
  </si>
  <si>
    <t>C11/002</t>
  </si>
  <si>
    <t>Amina</t>
  </si>
  <si>
    <t>Hassan</t>
  </si>
  <si>
    <t>Maternal and Reproductive health</t>
  </si>
  <si>
    <t>School of Public health</t>
  </si>
  <si>
    <t>ahusien@cartafrica.org</t>
  </si>
  <si>
    <t>dramiina12@gmail.com</t>
  </si>
  <si>
    <t>+252615506933</t>
  </si>
  <si>
    <t>Master in Public Health (2023 )</t>
  </si>
  <si>
    <t>Reproductive and maternal health in Somalia</t>
  </si>
  <si>
    <t>ProfChristopher Garimoi Orach</t>
  </si>
  <si>
    <t>Dr. Dinah Amongin</t>
  </si>
  <si>
    <t>Dr. Abdullahi Muse Mohamoud</t>
  </si>
  <si>
    <t>0009-0006-9247-6453</t>
  </si>
  <si>
    <t>C11/003</t>
  </si>
  <si>
    <t>Christabellah</t>
  </si>
  <si>
    <t>Namugenyi</t>
  </si>
  <si>
    <t>Department of Planning and Applied Statistics</t>
  </si>
  <si>
    <t>cnamugenyi@cartafrica.org</t>
  </si>
  <si>
    <t>tabellahn@gmail.com</t>
  </si>
  <si>
    <t>+256788101810;+256700979442</t>
  </si>
  <si>
    <t>Master of Statistics (2020)</t>
  </si>
  <si>
    <t>Examining patient satisfaction and dual outcomes of HIV and hypertension through decision-making and allocation of Service Delivery Models for Older PLHIV</t>
  </si>
  <si>
    <t xml:space="preserve">Dr. Roy William Mayega </t>
  </si>
  <si>
    <t>Prof Rhoda Wanyenze</t>
  </si>
  <si>
    <t>Dr John Ssenkusu</t>
  </si>
  <si>
    <t>0000-0003-2534-5526</t>
  </si>
  <si>
    <t>Assessing service delivery and dual control outcomes of HIV and hypertension PLHIV with hypertension in South-Central Uganda</t>
  </si>
  <si>
    <t>C11/004</t>
  </si>
  <si>
    <t>Tamuka</t>
  </si>
  <si>
    <t>Chironda</t>
  </si>
  <si>
    <t>Health Data Science</t>
  </si>
  <si>
    <t>Agincourt Research Center</t>
  </si>
  <si>
    <t>cchironda@cartafrica.org</t>
  </si>
  <si>
    <t>cyriltamuka05@gmail.com</t>
  </si>
  <si>
    <t>+27786413285</t>
  </si>
  <si>
    <t>MSc Mathematical Statistics (2021)</t>
  </si>
  <si>
    <t>Multimorbidity trends and changes in Rural South Africa: A clustering, and competing risk modelling approach (2012-2022).</t>
  </si>
  <si>
    <t>Tobias Chirwa</t>
  </si>
  <si>
    <t>Chodziwadziwa Kabudula</t>
  </si>
  <si>
    <t>Farai Mlambo</t>
  </si>
  <si>
    <t>0000-0002-0412-1059</t>
  </si>
  <si>
    <t>C11/005</t>
  </si>
  <si>
    <t>Elizabeth</t>
  </si>
  <si>
    <t>Oral Pathology/ Oral Medicine</t>
  </si>
  <si>
    <t>eoabe@cartafrica.org</t>
  </si>
  <si>
    <t>elizabethabe831@gmail.com</t>
  </si>
  <si>
    <t>+2348029789847</t>
  </si>
  <si>
    <t>Masters in Dental Surgery (2014)</t>
  </si>
  <si>
    <t>Oral health promotion for improved maternal-fetal health among women of reproductive age. (Masters in Dental Surgery (MDS)</t>
  </si>
  <si>
    <t>Prof Adeyemi Folasade  Bukola</t>
  </si>
  <si>
    <t>Prof Arowojolu Olayinka  Modupeola</t>
  </si>
  <si>
    <t>0000-0001-6632-9026</t>
  </si>
  <si>
    <t xml:space="preserve">Characterization of Oral Microbiome and Salivary Biomarkers Related to Periodontal Diseases and Pregnancy Outcomes among Pregnant and Postpartum Women in Ibadan </t>
  </si>
  <si>
    <t>C11/006</t>
  </si>
  <si>
    <t>Fanuel</t>
  </si>
  <si>
    <t>Meckson</t>
  </si>
  <si>
    <t>Bickton</t>
  </si>
  <si>
    <t xml:space="preserve">Department of Rehabilitation Sciences </t>
  </si>
  <si>
    <t>fbickton@cartafrica.org</t>
  </si>
  <si>
    <t>fbickton@kuhes.ac.mw</t>
  </si>
  <si>
    <t>+265982552353</t>
  </si>
  <si>
    <t>Master of Science in Cardiorespiratory Physiotherapy (2021)</t>
  </si>
  <si>
    <t>Personalized exercise-based Rehabilitation needs, implementation and effectiveness among  multimorbid patients in Malawi.</t>
  </si>
  <si>
    <t xml:space="preserve">Field based and clinical research </t>
  </si>
  <si>
    <t xml:space="preserve">Prof Ronel Roos 
</t>
  </si>
  <si>
    <t>Prof Roos Ronel</t>
  </si>
  <si>
    <t xml:space="preserve">Dr Manifield R. James </t>
  </si>
  <si>
    <t>0000-0002-0925-909X</t>
  </si>
  <si>
    <t>Development of the International Classification of Functioning, Disability, and Health Core Sets for Adults Living with Multimorbidity in Malawi</t>
  </si>
  <si>
    <t>C11/007</t>
  </si>
  <si>
    <t>Olanike</t>
  </si>
  <si>
    <t>Wuraola</t>
  </si>
  <si>
    <t>Breast Surgical Oncology</t>
  </si>
  <si>
    <t>fwuraola@cartafrica.org</t>
  </si>
  <si>
    <t>fwuraola@oauife.edu.ng</t>
  </si>
  <si>
    <t>+2348032287556</t>
  </si>
  <si>
    <t>ChM General Surgery 2022</t>
  </si>
  <si>
    <t>Towards early detection of breast cancer in Nigeria: Prevalence of BRCA1/2 mutations and perceptions of genetic screening among relatives of patients with breast cancer</t>
  </si>
  <si>
    <t>Prof. Penny Clement</t>
  </si>
  <si>
    <t>Dr Ayeni Oluwatosin</t>
  </si>
  <si>
    <t>Prof Alatise Oluwasegun Isaac</t>
  </si>
  <si>
    <t>0000-0003-3315-990x</t>
  </si>
  <si>
    <t>C11/008</t>
  </si>
  <si>
    <t>Gallad</t>
  </si>
  <si>
    <t>Dahir</t>
  </si>
  <si>
    <t xml:space="preserve">Department of Public Health </t>
  </si>
  <si>
    <t>ghassan@cartafrica.org</t>
  </si>
  <si>
    <t>Public Health (2017)</t>
  </si>
  <si>
    <t>Vaccine preventable disease surveillance</t>
  </si>
  <si>
    <t>Prof. Wanyenze Rhoda</t>
  </si>
  <si>
    <t>Dr Isunju Bosco John</t>
  </si>
  <si>
    <t>Dr Omar Salaad Elmi</t>
  </si>
  <si>
    <t>0000-0002-8569-8748</t>
  </si>
  <si>
    <t>Effect of Integrating Community Health Workers and Community Pharmacies into Measles and Cholera Disease Surveillance among Internally Displaced Populations in Mogadishu, Somalia</t>
  </si>
  <si>
    <t>C11/009</t>
  </si>
  <si>
    <t xml:space="preserve">Justine </t>
  </si>
  <si>
    <t>Okello</t>
  </si>
  <si>
    <t>Preventive Medicine, Laboratory diagnostics, Epidemiology, Biostatistics, Research methods, Food safety and One Health</t>
  </si>
  <si>
    <t>Department of Biosecurity, Ecosystems and Veterinary Public Health</t>
  </si>
  <si>
    <t>jokello@cartafrica.org</t>
  </si>
  <si>
    <t>justinokello01@gmail.com</t>
  </si>
  <si>
    <t>+256-783210265</t>
  </si>
  <si>
    <t>Masters of Veterinary Preventive Medicine (Field Epidemiology)_(2023)</t>
  </si>
  <si>
    <t>Epidemiology of Rift Valley Fever in Northern Uganda: Prevalence, Molecular Characterization, and Geospatial Modelling in Humans and Livestock in Apac and Lira Districtsl</t>
  </si>
  <si>
    <t>Laboratory based</t>
  </si>
  <si>
    <t>Dr. Luke Nyakarahuka</t>
  </si>
  <si>
    <t>Prof. Clovice Kankya</t>
  </si>
  <si>
    <t>Prof Robert F. Breiman</t>
  </si>
  <si>
    <t>0000-0001-6218-8318</t>
  </si>
  <si>
    <t>C11/010</t>
  </si>
  <si>
    <t>Lydiah</t>
  </si>
  <si>
    <t>Njihia</t>
  </si>
  <si>
    <t>PhD Pathobiology (Virology Option)</t>
  </si>
  <si>
    <t>Department of Veterinary Pathology, Microbiology and Parasitology</t>
  </si>
  <si>
    <t>lnjihia@cartafrica.org</t>
  </si>
  <si>
    <t>lydiahnjihia4@gmail.com</t>
  </si>
  <si>
    <t>+254 712316454</t>
  </si>
  <si>
    <t>Master of Science Applied Microbiology (Virology Option), (2022)</t>
  </si>
  <si>
    <t>Molecular characterization and risk factors associated with rift valley fever transmission and outbreaks in humans and animals in Garissa and Murang’a counties, Kenya in the age of climate change</t>
  </si>
  <si>
    <t>Both Laboratory and field based</t>
  </si>
  <si>
    <t xml:space="preserve">Gitao George Chege
</t>
  </si>
  <si>
    <t>Moses Masika</t>
  </si>
  <si>
    <t>Prof Gitao Chege George</t>
  </si>
  <si>
    <t>0009-0007-0633-3294</t>
  </si>
  <si>
    <t>C11/011</t>
  </si>
  <si>
    <t>Nigandi</t>
  </si>
  <si>
    <t>Kubo</t>
  </si>
  <si>
    <t>Department of Clinical Medicine &amp; Therapeutics</t>
  </si>
  <si>
    <t>mkubo@cartafrica.org</t>
  </si>
  <si>
    <t>mkubo@uonbi.ac.ke</t>
  </si>
  <si>
    <t>+254721541439</t>
  </si>
  <si>
    <t>Master of Medicine in Internal Medicine (2013)</t>
  </si>
  <si>
    <t>Early Detection of Chronic Kidney Disease among communities with high prevalence of risk factors and early linkage to care: The ED-CKD Study</t>
  </si>
  <si>
    <t>Dr Opiyo Okoyo Rose</t>
  </si>
  <si>
    <t>Dr Mweu Mutinda Marshal</t>
  </si>
  <si>
    <t>0000-0002-0708-605X</t>
  </si>
  <si>
    <t>C11/012</t>
  </si>
  <si>
    <t>Miles-Dei</t>
  </si>
  <si>
    <t>Benedict</t>
  </si>
  <si>
    <t>Olufeagba</t>
  </si>
  <si>
    <t>Genetics and Molecular Sciences</t>
  </si>
  <si>
    <t>molufeagba@cartafrica.org</t>
  </si>
  <si>
    <t>mben.olufsen@gmail.com</t>
  </si>
  <si>
    <t>+2348169215993;+2348026073373</t>
  </si>
  <si>
    <t>Master of Science (2018)</t>
  </si>
  <si>
    <t>Genetic Epidemiology of Identified Single Nucleotide Variants of Alpha and Beta Thalassemia Traits among Nigerians in Southwest Nigeria. (M.Sc. (Public Health Biotechnology) Genetics and Molecular Sciences, Institute of Child Health)</t>
  </si>
  <si>
    <t>Prof Amodu Kehinde Olukemi</t>
  </si>
  <si>
    <t>Prof  Kotila Rachel Taiwo</t>
  </si>
  <si>
    <t>0000-0003-0065-5990</t>
  </si>
  <si>
    <t>C11/013</t>
  </si>
  <si>
    <t>Molly</t>
  </si>
  <si>
    <t>Mercy</t>
  </si>
  <si>
    <t>Jerono</t>
  </si>
  <si>
    <t>Economics</t>
  </si>
  <si>
    <t xml:space="preserve">Research and Sponsored Projects Office (RSPO)-AMPATH </t>
  </si>
  <si>
    <t>mjerono@cartafrica.org</t>
  </si>
  <si>
    <t>mollymercy20@gmail.com</t>
  </si>
  <si>
    <t>265 1874107;+265  888881282</t>
  </si>
  <si>
    <t>Master of Arts in Economics</t>
  </si>
  <si>
    <t>Economic Evaluation of School-Based and Institutional Programs in Preventing Sexual Violence Against Children in Uasin Gishu County, Kenya</t>
  </si>
  <si>
    <t>Dr. Simeon Nganai</t>
  </si>
  <si>
    <t xml:space="preserve">Dr. Felishana Cherop </t>
  </si>
  <si>
    <t>Dr. Richard Siele</t>
  </si>
  <si>
    <t>0000-0003-4763-0344</t>
  </si>
  <si>
    <t>Evaluation of socioeconomic drivers in reducing sexual violence against children in western kenya</t>
  </si>
  <si>
    <t>OAK</t>
  </si>
  <si>
    <t>C11/014</t>
  </si>
  <si>
    <t>Razak</t>
  </si>
  <si>
    <t>Lewis</t>
  </si>
  <si>
    <t>Mussa</t>
  </si>
  <si>
    <t>Social Scientist</t>
  </si>
  <si>
    <t>School of Global and Public Health</t>
  </si>
  <si>
    <t>rmussa@cartafrica.org</t>
  </si>
  <si>
    <t>razmussa@yahoo.com</t>
  </si>
  <si>
    <t>+265 1874107; +265  888881282</t>
  </si>
  <si>
    <t>Master of Arts Development Studies (2015)</t>
  </si>
  <si>
    <t>Assessing the Effectiveness of Community-Based Approaches in Preventing Sexual Violence Against Street Children in Malawi</t>
  </si>
  <si>
    <t>Dr. Mipando Nyondo Linda</t>
  </si>
  <si>
    <t>Dr  Conco  Nozizwe Daphney</t>
  </si>
  <si>
    <t>0009-0000-6991-6912</t>
  </si>
  <si>
    <t>C11/015</t>
  </si>
  <si>
    <t>Nichodemus</t>
  </si>
  <si>
    <t>Mutinda</t>
  </si>
  <si>
    <t>Kamuti</t>
  </si>
  <si>
    <t xml:space="preserve">Veterinary Pathology and Diagnostics </t>
  </si>
  <si>
    <t>nkamuti@cartafrica.org</t>
  </si>
  <si>
    <t>nkamuti@uonbi.ac.ke</t>
  </si>
  <si>
    <t>+254701106893,+254714667857</t>
  </si>
  <si>
    <t>Master of science in Veterinary Pathology and Diagnostics (2022)</t>
  </si>
  <si>
    <t>Risk factors, socio-economic impact and morpho-molecular characterization of etiological agent(s) of Human and Livestock cutaneous myiasis in Kitui County, Kenya</t>
  </si>
  <si>
    <t xml:space="preserve">Field and Laboratory based </t>
  </si>
  <si>
    <t xml:space="preserve">Prof Gathumbi Karuri Peter
</t>
  </si>
  <si>
    <t>Prof  Githigia Maina Samuel</t>
  </si>
  <si>
    <t>Dr. Mulei Rumpel Isaac</t>
  </si>
  <si>
    <t>0000-0001-5741-1271</t>
  </si>
  <si>
    <t>Prevalence pathology and socio-economic impact of myiasis in sheep and goats in kitui county kenya</t>
  </si>
  <si>
    <t>C11/016</t>
  </si>
  <si>
    <t>Ochuko</t>
  </si>
  <si>
    <t>Orherhe</t>
  </si>
  <si>
    <t>Clinical Pharmacy</t>
  </si>
  <si>
    <t>Department of Clinical Pharmacy and Pharmacy Administration</t>
  </si>
  <si>
    <t>oorherhe@cartafrica.org</t>
  </si>
  <si>
    <t>oorherhe@oauife.edu.ng</t>
  </si>
  <si>
    <t>+2348051589453</t>
  </si>
  <si>
    <t>Master of Science (2016), Master of Philosophy (2023)</t>
  </si>
  <si>
    <t>Population Approach to the Optimisation of Hydroxyurea in the Management of Sickle Cell Disease (SCD) in Nigeria: An Exploration of Pharmacogenetics and Pharmacometrics</t>
  </si>
  <si>
    <t>Dr. Babatunde Adeagbo</t>
  </si>
  <si>
    <t>Dr. Adeagbo Ayodeji Babatunde</t>
  </si>
  <si>
    <t>0000-0002-3671-9717</t>
  </si>
  <si>
    <t>Pharmacogenetics and Model-Informed Optimisation of Hydroxyurea Therapy in Sickle Cell Disease Patients of Nigerian Descen</t>
  </si>
  <si>
    <t>C11/017</t>
  </si>
  <si>
    <t>Patani</t>
  </si>
  <si>
    <t>George Wills</t>
  </si>
  <si>
    <t>Mhango</t>
  </si>
  <si>
    <t>Centre for Reproductive Health</t>
  </si>
  <si>
    <t>pmhango@cartafrica.org</t>
  </si>
  <si>
    <t>pgwmhango@gmail.com</t>
  </si>
  <si>
    <t>+265994587799,+265888604700</t>
  </si>
  <si>
    <t>Master of Science in Global Health Implementation (2023)</t>
  </si>
  <si>
    <t>Exploring the implementation of Out-of-School Comprehensive Sexuality Education (OOS-CSE) tailored for young people with disabilities (YPWD) and young people living with HIV (YPLHIV) aged 10-24 years in Malawi</t>
  </si>
  <si>
    <t xml:space="preserve"> Prof Nicola Christofides</t>
  </si>
  <si>
    <t>Dr Blessings N. Kaunda-Khangamwa</t>
  </si>
  <si>
    <t>Professor Khudejha Asghar</t>
  </si>
  <si>
    <t>0000-0002-1492-260X</t>
  </si>
  <si>
    <t>C11/018</t>
  </si>
  <si>
    <t>Pierre Celestin</t>
  </si>
  <si>
    <t>Munezero</t>
  </si>
  <si>
    <t>Basic Sciences</t>
  </si>
  <si>
    <t>Microbiology and Parasitology</t>
  </si>
  <si>
    <t>pmunezero@cartafrica.org</t>
  </si>
  <si>
    <t>munezeropierrecelestin@gmail.com</t>
  </si>
  <si>
    <t>+250790990554</t>
  </si>
  <si>
    <t>Master of Science in Cellular and Molecular Immunology (2021)</t>
  </si>
  <si>
    <t>intersection of microbiology and immunology, with a specific focus on the pathogenesis of non-filarial lymphedema (podoconiosis).</t>
  </si>
  <si>
    <t>13/11/2025</t>
  </si>
  <si>
    <t>0000-0003-2876-9025</t>
  </si>
  <si>
    <t>C11/019</t>
  </si>
  <si>
    <t>Solange</t>
  </si>
  <si>
    <t>Nikwigize</t>
  </si>
  <si>
    <t xml:space="preserve">Community Health Development </t>
  </si>
  <si>
    <t>snikwigize@cartafrica.org</t>
  </si>
  <si>
    <t>solangeni4@gmail.com</t>
  </si>
  <si>
    <t>+250788804831</t>
  </si>
  <si>
    <t>Masters in Public Health (2021)</t>
  </si>
  <si>
    <t>Socio-economic and Cultural Factors Associated with Sexual Violence Among Children Born to Teen Mothers in Rwanda. A Mixed Method</t>
  </si>
  <si>
    <t xml:space="preserve">Assoc.Prof Erigene Rutayisire
</t>
  </si>
  <si>
    <t>Assoc. Prof. Olive Bazirete</t>
  </si>
  <si>
    <t>0009-0008-1667-3046</t>
  </si>
  <si>
    <t>C11/020</t>
  </si>
  <si>
    <t>Winifrida</t>
  </si>
  <si>
    <t>Paschal</t>
  </si>
  <si>
    <t>Mponzi</t>
  </si>
  <si>
    <t xml:space="preserve">Social Sciences </t>
  </si>
  <si>
    <t>Environmental Health and Ecological Sciences Department</t>
  </si>
  <si>
    <t>wmponzi@cartafrica.org</t>
  </si>
  <si>
    <t>winniepascal@gmail.com</t>
  </si>
  <si>
    <t>+255 714228558</t>
  </si>
  <si>
    <t>Masters of Science in Entrepreneurship (2017)</t>
  </si>
  <si>
    <t>Investigating the impact of village community banks (VICOBA) for enabling house improvements that enhance household environmental health by excluding vectors of malaria and other mosquito-borne pathogens”</t>
  </si>
  <si>
    <t>Dr Emmanuel Willson Kaindoa</t>
  </si>
  <si>
    <t>Prof. Ann Kelly</t>
  </si>
  <si>
    <t>0000-0003-0122-0550</t>
  </si>
  <si>
    <t>Village community banking and housing upgrades: A strategy to lower malaria and improve the well-being in Southeastern Tanzania.</t>
  </si>
  <si>
    <t>C12/001</t>
  </si>
  <si>
    <t>Alen</t>
  </si>
  <si>
    <t>Kinyina</t>
  </si>
  <si>
    <t>akinyina@cartafrica.org</t>
  </si>
  <si>
    <t>akinyina@ihi.or.tz</t>
  </si>
  <si>
    <t>Master in Public Health (2022)</t>
  </si>
  <si>
    <t>Feasibility and acceptability of intermittent Kangaroo Mother Care and Zero Separation Model among parents of sick neonates and healthcare providers in Tanzania.</t>
  </si>
  <si>
    <t>Program Coordinator</t>
  </si>
  <si>
    <t>0000-0002-9559-2816</t>
  </si>
  <si>
    <t>C12/002</t>
  </si>
  <si>
    <t>Itumeleng</t>
  </si>
  <si>
    <t>Tsatsi-Mosala</t>
  </si>
  <si>
    <t>imosala@cartafrica.org</t>
  </si>
  <si>
    <t>itumeleng.tsatsi-mosala@wits.ac.za</t>
  </si>
  <si>
    <t>Master of Science Occupational Therapy</t>
  </si>
  <si>
    <t>Exploring the integration of artificial intelligence in health science education to improve clinical reasoning for health science students when working with culturally diverse populations in South Africa</t>
  </si>
  <si>
    <t>0000-0001-5509-9659</t>
  </si>
  <si>
    <t>C12/003</t>
  </si>
  <si>
    <t>Qamar</t>
  </si>
  <si>
    <t>Olamide</t>
  </si>
  <si>
    <t>Adeosun</t>
  </si>
  <si>
    <t>Department of Sociology</t>
  </si>
  <si>
    <t>aolamide@cartafrica.org</t>
  </si>
  <si>
    <t>oadeosun74@yahoo.com</t>
  </si>
  <si>
    <t>Master of Science, Industrial Sociology (2021)</t>
  </si>
  <si>
    <t>Resilience under Risk and Precarity: Occupational Practices and Workplace Relations in Cancer Care Centers in Southwest, Nigeria</t>
  </si>
  <si>
    <t>0009-0007-8633-996X</t>
  </si>
  <si>
    <t>C12/004</t>
  </si>
  <si>
    <t>Claudine</t>
  </si>
  <si>
    <t>Nshutiyukuri</t>
  </si>
  <si>
    <t>General Nursing and Midwifery</t>
  </si>
  <si>
    <t>General Nursing Sciences</t>
  </si>
  <si>
    <t>cnshutiyukuri@cartafrica.org</t>
  </si>
  <si>
    <t>nshutiyukuric@gmail.com</t>
  </si>
  <si>
    <t>A FRAMEWORK FOR THE IMPLEMENTATION OF AI-ENABLED DIGITAL HEALTH TOOLS FOR ENHANCING ADOLESCENTS' SEXUAL AND REPRODUCTIVE HEALTH IN RWANDA</t>
  </si>
  <si>
    <t>0000-0002-5601-0326</t>
  </si>
  <si>
    <t>C12/005</t>
  </si>
  <si>
    <t>Mandala</t>
  </si>
  <si>
    <t>emandala@cartafrica.org</t>
  </si>
  <si>
    <t>emandala@kuhes.ac.mw</t>
  </si>
  <si>
    <t>Master in Public Health (2019)</t>
  </si>
  <si>
    <t>Preventing Antimicrobial resistance in under f five children in Malawi</t>
  </si>
  <si>
    <t>0000-0002-0866-0818</t>
  </si>
  <si>
    <t>C12/006</t>
  </si>
  <si>
    <t>Butungi</t>
  </si>
  <si>
    <t>Microbial genomics</t>
  </si>
  <si>
    <t>Biochemistry and Sports Science</t>
  </si>
  <si>
    <t>hbutungi@cartafrica.org</t>
  </si>
  <si>
    <t>hellen.butungi@mak.ac.ug</t>
  </si>
  <si>
    <t>Master of Science in Bioinformatics (2012)</t>
  </si>
  <si>
    <t>Optimisation of a microbial transglutaminase enzyme system for wound healing</t>
  </si>
  <si>
    <t>0000-0002-1330-1545</t>
  </si>
  <si>
    <t>C12/007</t>
  </si>
  <si>
    <t xml:space="preserve">Jean Bosco Henri </t>
  </si>
  <si>
    <t xml:space="preserve">HITAYEZU </t>
  </si>
  <si>
    <t>Nursing and Midwifery: Maternal and new-born health, and reproductive health</t>
  </si>
  <si>
    <t xml:space="preserve">jhitayezu@cartafrica.org
</t>
  </si>
  <si>
    <t>hitab88@gmail.com</t>
  </si>
  <si>
    <t>Integrating trauma-and violence-Informed maternity care for women with previous poor neonatal outcomes in Rwanda</t>
  </si>
  <si>
    <t>0009-0008-5750-7087</t>
  </si>
  <si>
    <t>C12/008</t>
  </si>
  <si>
    <t>Jean Paul</t>
  </si>
  <si>
    <t xml:space="preserve">Veterinary medicine </t>
  </si>
  <si>
    <t>School of Medicine and Pharmacy</t>
  </si>
  <si>
    <t>jphabimana@cartafrica.org</t>
  </si>
  <si>
    <t>habipau@gmail.com</t>
  </si>
  <si>
    <t xml:space="preserve">Master in tropical animal health </t>
  </si>
  <si>
    <t>Antimicrobial resistance in the dairy value chain: Detection, Risk Factors, and Plant  based alternatives against aephalosporin and carbapenem resistant enterobacterales in  Rwanda</t>
  </si>
  <si>
    <t>A combination of laboratory and field-based</t>
  </si>
  <si>
    <t>0000-0001-9420-882X</t>
  </si>
  <si>
    <t>C12/009</t>
  </si>
  <si>
    <t>Kingsley</t>
  </si>
  <si>
    <t>Kanzoole</t>
  </si>
  <si>
    <t>kkanzoole@cartafrica.org</t>
  </si>
  <si>
    <t>kingsleykanzoole@gmail.com</t>
  </si>
  <si>
    <t>Master of Science in Epidemiology (2023)</t>
  </si>
  <si>
    <t>Cancer Epidemiology and Primary Healthcare Strengthening in Rural South Africa: Examining Mortality Trends, Diagnostic delays, and implementation of Detection Guideline</t>
  </si>
  <si>
    <t xml:space="preserve">Research Assistant </t>
  </si>
  <si>
    <t>0000-0003-1287-9430</t>
  </si>
  <si>
    <t>C12/010</t>
  </si>
  <si>
    <t>Saulos</t>
  </si>
  <si>
    <t>Kantonya</t>
  </si>
  <si>
    <t>Public Health (Infectious Diseases Pharmacoepidemiology)</t>
  </si>
  <si>
    <t>School of Public and Global health</t>
  </si>
  <si>
    <t>mkantonya@cartafrica.org</t>
  </si>
  <si>
    <t>mkantonya@mlw.mw</t>
  </si>
  <si>
    <t>Clinical Epidemiology (2024)</t>
  </si>
  <si>
    <t xml:space="preserve">Optimising Triple Artemisinin-Based Combination Therapy (TACT) in High-Risk Populations (malnourished children and people living with HIV) in Malawi  </t>
  </si>
  <si>
    <t>Site Investigator</t>
  </si>
  <si>
    <t>0009-0003-7896-3659</t>
  </si>
  <si>
    <t>C12/011</t>
  </si>
  <si>
    <t>Obstetrics and Gynaecology</t>
  </si>
  <si>
    <t>mmasamba@cartafrica.org</t>
  </si>
  <si>
    <t>mmasamba@kuhes.ac.mw</t>
  </si>
  <si>
    <t xml:space="preserve">Assessing Clinical and Health System Gaps in the Diagnosis and treatment of Infertility in Malawi: A Mixed Methods Study </t>
  </si>
  <si>
    <t>Lecturer and Head of Obs and Gynae.</t>
  </si>
  <si>
    <t>0009-0006-2504-803</t>
  </si>
  <si>
    <t>C12/012</t>
  </si>
  <si>
    <t>Dorcas</t>
  </si>
  <si>
    <t>Nalweyiso</t>
  </si>
  <si>
    <t>Department of Disease Control and Environmental Health</t>
  </si>
  <si>
    <t>mnalweyiso@cartafrica.org</t>
  </si>
  <si>
    <t>nalweyisomartha@gmail.com</t>
  </si>
  <si>
    <t>Masters of Science in Animal Health (2023), Master of Public Health (2025)</t>
  </si>
  <si>
    <t>Unmasking the Dual Burden of Brucellosis: Molecular Characterisation and Health Systems Capacity among Agro-Pastoral Communities, Kiruhura District, Western Uganda".</t>
  </si>
  <si>
    <t>0009-0008-4921-4356?lang=en</t>
  </si>
  <si>
    <t>C12/013</t>
  </si>
  <si>
    <t>Nancy</t>
  </si>
  <si>
    <t>Mugure</t>
  </si>
  <si>
    <t>Public Health Engineering</t>
  </si>
  <si>
    <t>nwaweru@cartafrica.org</t>
  </si>
  <si>
    <t>nancy.mugure@uonbi.ac.ke</t>
  </si>
  <si>
    <t>MSc. Environmental Engineering (2017)</t>
  </si>
  <si>
    <t>Comparative Study of Correlation of Consumptive Water Use, Emissions, and Gendered Roles in Greenhouse and Open-Field Irrigation from Vegetable Farms in Kenya</t>
  </si>
  <si>
    <t>0009-0001-0042-9099</t>
  </si>
  <si>
    <t>C12/014</t>
  </si>
  <si>
    <t>Olamilekan</t>
  </si>
  <si>
    <t>Banwo</t>
  </si>
  <si>
    <t>obanwo@cartafrica.org</t>
  </si>
  <si>
    <t>olamilekanbanwo@gmail.com</t>
  </si>
  <si>
    <t>Masters in Veterinary Science (2017)</t>
  </si>
  <si>
    <t>Molecular epidemiology, genetic characterisation, and resistome profiling of Dermatophilus congolensis from cattle in southwest Nigeria.</t>
  </si>
  <si>
    <t>0000-0002-0686-1544</t>
  </si>
  <si>
    <t>C12/015</t>
  </si>
  <si>
    <t>Shola</t>
  </si>
  <si>
    <t>Folayan</t>
  </si>
  <si>
    <t>ofolayan@cartafrica.org</t>
  </si>
  <si>
    <t>olufolayan19@gmail.com</t>
  </si>
  <si>
    <t>Master in Public Health(2025)</t>
  </si>
  <si>
    <t>Cardiovascular Risk Factors among  Adolescents living in Ibadan North  Local Government Area</t>
  </si>
  <si>
    <t>0000-0002-5862-8170</t>
  </si>
  <si>
    <t>C12/016</t>
  </si>
  <si>
    <t>Olanrewaju</t>
  </si>
  <si>
    <t>Olaniyi</t>
  </si>
  <si>
    <t>Omosehin</t>
  </si>
  <si>
    <t>Agricultural Economics</t>
  </si>
  <si>
    <t>oomosehin@cartafrica.org</t>
  </si>
  <si>
    <t>oo.omosehin@ui.edu.ng</t>
  </si>
  <si>
    <t>M.AGRIC.Tech (Production Economics) 2021</t>
  </si>
  <si>
    <t>Economic Resilience and Mental Well-Being of Households in Flood-Affceted Rural Communities in Southwest Nigeria</t>
  </si>
  <si>
    <t>0000-0002-4249-7380</t>
  </si>
  <si>
    <t>C12/017</t>
  </si>
  <si>
    <t>Patrick</t>
  </si>
  <si>
    <t>Amboka</t>
  </si>
  <si>
    <t>pamboka@cartafrica.org</t>
  </si>
  <si>
    <t>pamboka@aphrc.org</t>
  </si>
  <si>
    <t>Master in Public Health (2025)</t>
  </si>
  <si>
    <t>Life-Course Pathways to Cardiovascular Disease Among Older Women in Two Rural Counties in Kenya: A Retrospective Case-Control Study</t>
  </si>
  <si>
    <t>Project Officer</t>
  </si>
  <si>
    <t>0000-0003-4295-3515</t>
  </si>
  <si>
    <t>C12/018</t>
  </si>
  <si>
    <t>REBECCA CLAIRE</t>
  </si>
  <si>
    <t>LUSOBYA</t>
  </si>
  <si>
    <t>OPHTHALMOLOGY</t>
  </si>
  <si>
    <t>rlusobya@cartafrica.org</t>
  </si>
  <si>
    <t>lusobyarebecca@gmail.com</t>
  </si>
  <si>
    <t>Using Oculomics And Machine Learning to Predict Preeclampsia Disease Severity and Its Long-Term Sequelae Among Pregnant Women in Uganda.</t>
  </si>
  <si>
    <t>SENIOR LECTURER</t>
  </si>
  <si>
    <t>0000-0002-7149-703X</t>
  </si>
  <si>
    <t>C12/019</t>
  </si>
  <si>
    <t>Regina</t>
  </si>
  <si>
    <t>Tikhala</t>
  </si>
  <si>
    <t>Makuluni</t>
  </si>
  <si>
    <t>rmakuluni@cartafrica.org</t>
  </si>
  <si>
    <t>rmakuluni@mlw.mw</t>
  </si>
  <si>
    <t>Master of Science in Epidemiology (2020)</t>
  </si>
  <si>
    <t>Understanding and improving sustainability of  maternal health interventions- A case study of the Active Prevention and Treatment of Maternal Sepsis (APT-Sepsis) in Malawi.</t>
  </si>
  <si>
    <t>Trial Manager</t>
  </si>
  <si>
    <t>0000-0001-9368-5456</t>
  </si>
  <si>
    <t>C12/020</t>
  </si>
  <si>
    <t>Schadrack</t>
  </si>
  <si>
    <t>HABUMUREMYI</t>
  </si>
  <si>
    <t>Human Anatomy</t>
  </si>
  <si>
    <t>Human Anatomy Department</t>
  </si>
  <si>
    <t>shabumuremyi@cartafrica.org</t>
  </si>
  <si>
    <t>habumshadra@gmail.com</t>
  </si>
  <si>
    <t>Master of Science in Clinical Anatomy (2024)</t>
  </si>
  <si>
    <t>The implications of Lumbosacral transitional vertebrae to the lower back pain in Rwanda</t>
  </si>
  <si>
    <t>Laboratory technician</t>
  </si>
  <si>
    <t>0009-0006-7309-306X</t>
  </si>
  <si>
    <t>C12/021</t>
  </si>
  <si>
    <t>Tabitha</t>
  </si>
  <si>
    <t>Jepkurgat</t>
  </si>
  <si>
    <t>Chepkwony</t>
  </si>
  <si>
    <t>Public health/Laboratory Sciences</t>
  </si>
  <si>
    <t>tchepkwony@cartafrica.org</t>
  </si>
  <si>
    <t>jepkurgatbunet@gmail.com</t>
  </si>
  <si>
    <t>MPH-Epidemiology and Medical Statistics (2025)</t>
  </si>
  <si>
    <t>Evaluation of Insecticidal and PBO Durability of PBO-based long-lasting  Insecticidal Nets and Determinants  of Their Performance in an Implementation Setting in Western Kenya: Implications for Malaria Control in Pyrethroid-Resistant Regions'</t>
  </si>
  <si>
    <t>0009-0001-5539-2975</t>
  </si>
  <si>
    <t>C12/022</t>
  </si>
  <si>
    <t>WALTER</t>
  </si>
  <si>
    <t>OKELLO</t>
  </si>
  <si>
    <t>Laboratory Sciences</t>
  </si>
  <si>
    <t>wokello@cartafrica.org</t>
  </si>
  <si>
    <t>walteriqueokello@gmail.com</t>
  </si>
  <si>
    <t>Veterinary Preventive Medicine(Field Epidemiology)</t>
  </si>
  <si>
    <t xml:space="preserve">Risk Assessment and Predictive Modelling of Aflatoxin Contamination at the Grain-Animal-Human Interface in Uganda. </t>
  </si>
  <si>
    <t>Technician</t>
  </si>
  <si>
    <t>0000-0002-7621-4844</t>
  </si>
  <si>
    <t>Color codes</t>
  </si>
  <si>
    <t>Didn’t take up</t>
  </si>
  <si>
    <t>Not Found</t>
  </si>
  <si>
    <t>Deceased</t>
  </si>
  <si>
    <t>No.</t>
  </si>
  <si>
    <t>Name</t>
  </si>
  <si>
    <t>Institution</t>
  </si>
  <si>
    <t>Suspension</t>
  </si>
  <si>
    <t>Date of Termination</t>
  </si>
  <si>
    <t xml:space="preserve">Year </t>
  </si>
  <si>
    <t>Reason for Termination</t>
  </si>
  <si>
    <t>Detailed reason for termination</t>
  </si>
  <si>
    <t>Stephen Pentz</t>
  </si>
  <si>
    <t>University of Witwatersrand</t>
  </si>
  <si>
    <t>Lack of progress on milestone</t>
  </si>
  <si>
    <t>Humphrey Phanuel Shao</t>
  </si>
  <si>
    <t>Peter Mwamba</t>
  </si>
  <si>
    <t>Gloria Omosa</t>
  </si>
  <si>
    <t>Aug 29 2014</t>
  </si>
  <si>
    <t xml:space="preserve"> October 2016</t>
  </si>
  <si>
    <t>Failure to meet key milestone</t>
  </si>
  <si>
    <t>Gad Rutayisire</t>
  </si>
  <si>
    <t>Nov 2 2017</t>
  </si>
  <si>
    <t>Gift Khangamwa</t>
  </si>
  <si>
    <t>June 5 2017</t>
  </si>
  <si>
    <t>Master Degree not recognised</t>
  </si>
  <si>
    <t>Callen Onyambu</t>
  </si>
  <si>
    <t>Edwin Sang</t>
  </si>
  <si>
    <t>Hussein Masoud</t>
  </si>
  <si>
    <t>Teresa Kinyari</t>
  </si>
  <si>
    <t>Nov 18 2011</t>
  </si>
  <si>
    <t>Not indicated</t>
  </si>
  <si>
    <t>Jacqueline Mgumia</t>
  </si>
  <si>
    <t>Feb 8 2012</t>
  </si>
  <si>
    <t>Lackson Tembo</t>
  </si>
  <si>
    <t>Doris Kwesiga</t>
  </si>
  <si>
    <t>Inability to attend JAS 2 twice</t>
  </si>
  <si>
    <t>Unable to attend JAS 2 in South Africa due to her visa issues</t>
  </si>
  <si>
    <t>Raymond Odokonyero</t>
  </si>
  <si>
    <t>Justus Musasiah</t>
  </si>
  <si>
    <t>Inability to continue participating in CARTA activities after moving institutions</t>
  </si>
  <si>
    <t>Edna Wairimu Kamau</t>
  </si>
  <si>
    <t>Requested for termination</t>
  </si>
  <si>
    <t>She requested for termination after the secretariat followed up on her delay to meet milestones</t>
  </si>
  <si>
    <t>Leo Masamba</t>
  </si>
  <si>
    <t>Failure to register for PhD at an African partner institution</t>
  </si>
  <si>
    <t>Florence Basiimwa Tuishemirirwe</t>
  </si>
  <si>
    <t>Failure to secure registration after being in the program for 3 years</t>
  </si>
  <si>
    <t>Cohort 8 fellow she was under long suspension up to December 31, 2021 to share her registration. She did not failed We have not received any evidence of registration despite having requested for it several times. .</t>
  </si>
  <si>
    <t>Jane Wanjiru Macharia</t>
  </si>
  <si>
    <t>Jane Macharia had made significant progress (had requested for research funds) but requested for leave of absence in July 2021 citing personal challenges with her supervisor. In July 2022 we initiated the process for her to resume her fellowship, however, she indicated that she still had challenges with her supervisor. Efforts by the secretariat and the University of Nairobi focal person to mediate between her and her supervisor have not borne fruit, and she has instead opted to terminate her fellowship</t>
  </si>
  <si>
    <t>Joselyn Atahuirwe</t>
  </si>
  <si>
    <t>Joselyn Atuhairwe joined CARTA in 2019 with cohort 9 but has been slow in making progress throughout. She requested for one-year leave of absence due to health challenges right after JAS1. After resumption of her fellowship she has consistently been behind her peers in cohort 10 even in completing ESE:O assignments. As of now, she has not obtained university registration nor presented her protocol. She was invited to attend the face-to-face session of JAS 2 but declined despite all efforts from the focal person and the secretariat to accommodate her needs.</t>
  </si>
  <si>
    <t>Duncan Nyukuri</t>
  </si>
  <si>
    <t>Duncan failed to attend part 2 of JAS 2 in 2022  JAS 3 in 2023 and did not communicate or respond to the secretariat when they reached out to him</t>
  </si>
  <si>
    <t>Siphesihle Mtshali</t>
  </si>
  <si>
    <t>Has been nonresponsive to our communication. The last time she registered was 2016 and her account has been suspended</t>
  </si>
  <si>
    <t>Simbaharshe Takuva</t>
  </si>
  <si>
    <t>Has been nonresponsive to our communication. Her account in the Wits system is no longer act</t>
  </si>
  <si>
    <t>Nicolette Prea Naidoo</t>
  </si>
  <si>
    <t>Has been nonresponsive to our communication. The last time she registered was 2018 and her account has been suspended</t>
  </si>
  <si>
    <t>Nomathemba Chiwoneso  Chandiwana</t>
  </si>
  <si>
    <t>Has been nonresponsive to our communication. The last time she registered was 2019 and her account has been suspended</t>
  </si>
  <si>
    <t>Pierre Celestin Munezero</t>
  </si>
  <si>
    <t>Registered at a non Africa university</t>
  </si>
  <si>
    <t xml:space="preserve">Registered for their PhD at the University of Guelph, a non African University </t>
  </si>
  <si>
    <t>(Multiple Items)</t>
  </si>
  <si>
    <t>Female Total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</si>
</sst>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409]d\-mmm\-yy;@"/>
    <numFmt numFmtId="165" formatCode="[$-409]dd\-mmm\-yy;@"/>
    <numFmt numFmtId="166" formatCode="[$-409]mmm\-yy;@"/>
    <numFmt numFmtId="167" formatCode="yyyy\-mm\-dd;@"/>
    <numFmt numFmtId="168" formatCode="0.0%"/>
  </numFmts>
  <fonts count="23">
    <font>
      <sz val="11"/>
      <color theme="1"/>
      <name val="Calibri"/>
      <family val="2"/>
      <scheme val="minor"/>
    </font>
    <font>
      <b/>
      <sz val="11"/>
      <color theme="1"/>
      <name val="Calibri"/>
      <family val="2"/>
      <scheme val="minor"/>
    </font>
    <font>
      <b/>
      <sz val="14"/>
      <color theme="1"/>
      <name val="Arial"/>
      <family val="2"/>
    </font>
    <font>
      <sz val="11"/>
      <color rgb="FF000000"/>
      <name val="Calibri"/>
      <family val="2"/>
    </font>
    <font>
      <sz val="11"/>
      <name val="Calibri"/>
      <family val="2"/>
      <scheme val="minor"/>
    </font>
    <font>
      <sz val="11"/>
      <color theme="1"/>
      <name val="Arial"/>
      <family val="2"/>
    </font>
    <font>
      <sz val="11"/>
      <color theme="1"/>
      <name val="Arial Narrow"/>
      <family val="2"/>
    </font>
    <font>
      <u/>
      <sz val="11"/>
      <color theme="10"/>
      <name val="Calibri"/>
      <family val="2"/>
      <scheme val="minor"/>
    </font>
    <font>
      <u/>
      <sz val="11"/>
      <color indexed="12"/>
      <name val="Arial Narrow"/>
      <family val="2"/>
    </font>
    <font>
      <sz val="10"/>
      <color theme="1"/>
      <name val="Arial"/>
      <family val="2"/>
    </font>
    <font>
      <sz val="11"/>
      <name val="Arial Narrow"/>
      <family val="2"/>
    </font>
    <font>
      <sz val="11"/>
      <color rgb="FF000000"/>
      <name val="Arial Narrow"/>
      <family val="2"/>
    </font>
    <font>
      <sz val="10"/>
      <name val="Arial"/>
      <family val="2"/>
    </font>
    <font>
      <sz val="12"/>
      <color theme="1"/>
      <name val="Calibri"/>
      <family val="2"/>
      <scheme val="minor"/>
    </font>
    <font>
      <sz val="11"/>
      <color theme="1"/>
      <name val="Calibri"/>
      <family val="2"/>
      <scheme val="minor"/>
    </font>
    <font>
      <b/>
      <sz val="12"/>
      <color theme="1"/>
      <name val="Calibri"/>
      <family val="2"/>
      <scheme val="minor"/>
    </font>
    <font>
      <b/>
      <sz val="12"/>
      <color theme="1"/>
      <name val="Arial"/>
      <family val="2"/>
    </font>
    <font>
      <b/>
      <sz val="11"/>
      <color theme="2"/>
      <name val="Calibri"/>
      <family val="2"/>
      <scheme val="minor"/>
    </font>
    <font>
      <sz val="11"/>
      <color rgb="FF000000"/>
      <name val="Calibri"/>
      <family val="2"/>
      <scheme val="minor"/>
    </font>
    <font>
      <sz val="9"/>
      <color rgb="FF444444"/>
      <name val="Segoe UI"/>
      <charset val="1"/>
    </font>
    <font>
      <sz val="11"/>
      <color rgb="FF000000"/>
      <name val="Aptos Narrow"/>
    </font>
    <font>
      <sz val="11"/>
      <color rgb="FF000000"/>
      <name val="Arial"/>
    </font>
    <font>
      <sz val="11"/>
      <color rgb="FF000000"/>
      <name val="Aptos Narrow"/>
      <family val="2"/>
    </font>
  </fonts>
  <fills count="22">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6" tint="0.39997558519241921"/>
        <bgColor indexed="64"/>
      </patternFill>
    </fill>
    <fill>
      <patternFill patternType="solid">
        <fgColor theme="7" tint="0.39997558519241921"/>
        <bgColor indexed="64"/>
      </patternFill>
    </fill>
    <fill>
      <patternFill patternType="solid">
        <fgColor theme="8"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rgb="FF92D050"/>
        <bgColor indexed="64"/>
      </patternFill>
    </fill>
    <fill>
      <patternFill patternType="solid">
        <fgColor theme="3" tint="0.39997558519241921"/>
        <bgColor indexed="64"/>
      </patternFill>
    </fill>
    <fill>
      <patternFill patternType="solid">
        <fgColor theme="5" tint="0.59999389629810485"/>
        <bgColor indexed="64"/>
      </patternFill>
    </fill>
    <fill>
      <patternFill patternType="solid">
        <fgColor rgb="FFFF0000"/>
        <bgColor indexed="64"/>
      </patternFill>
    </fill>
    <fill>
      <patternFill patternType="solid">
        <fgColor theme="1"/>
        <bgColor indexed="64"/>
      </patternFill>
    </fill>
    <fill>
      <patternFill patternType="solid">
        <fgColor theme="5" tint="0.79998168889431442"/>
        <bgColor theme="5" tint="0.79998168889431442"/>
      </patternFill>
    </fill>
    <fill>
      <patternFill patternType="solid">
        <fgColor rgb="FFFF00FF"/>
        <bgColor indexed="64"/>
      </patternFill>
    </fill>
    <fill>
      <patternFill patternType="solid">
        <fgColor theme="6" tint="0.79998168889431442"/>
        <bgColor indexed="64"/>
      </patternFill>
    </fill>
    <fill>
      <patternFill patternType="solid">
        <fgColor rgb="FFEDEDED"/>
        <bgColor indexed="64"/>
      </patternFill>
    </fill>
    <fill>
      <patternFill patternType="solid">
        <fgColor theme="7" tint="0.79998168889431442"/>
        <bgColor indexed="64"/>
      </patternFill>
    </fill>
    <fill>
      <patternFill patternType="solid">
        <fgColor rgb="FFFFF2CC"/>
        <bgColor indexed="64"/>
      </patternFill>
    </fill>
  </fills>
  <borders count="21">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right/>
      <top/>
      <bottom style="thin">
        <color indexed="64"/>
      </bottom>
      <diagonal/>
    </border>
    <border>
      <left style="thin">
        <color indexed="64"/>
      </left>
      <right/>
      <top style="thin">
        <color indexed="64"/>
      </top>
      <bottom/>
      <diagonal/>
    </border>
    <border>
      <left style="thin">
        <color indexed="64"/>
      </left>
      <right/>
      <top/>
      <bottom style="thin">
        <color indexed="64"/>
      </bottom>
      <diagonal/>
    </border>
    <border>
      <left style="thin">
        <color indexed="64"/>
      </left>
      <right style="thin">
        <color indexed="64"/>
      </right>
      <top/>
      <bottom/>
      <diagonal/>
    </border>
    <border>
      <left style="thin">
        <color rgb="FF000000"/>
      </left>
      <right style="thin">
        <color rgb="FF000000"/>
      </right>
      <top style="thin">
        <color rgb="FF000000"/>
      </top>
      <bottom style="thin">
        <color rgb="FF000000"/>
      </bottom>
      <diagonal/>
    </border>
    <border>
      <left/>
      <right style="thin">
        <color indexed="64"/>
      </right>
      <top/>
      <bottom/>
      <diagonal/>
    </border>
    <border>
      <left style="thin">
        <color rgb="FF000000"/>
      </left>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right style="thin">
        <color rgb="FF000000"/>
      </right>
      <top style="thin">
        <color rgb="FF000000"/>
      </top>
      <bottom style="thin">
        <color rgb="FF000000"/>
      </bottom>
      <diagonal/>
    </border>
  </borders>
  <cellStyleXfs count="4">
    <xf numFmtId="0" fontId="0" fillId="0" borderId="0"/>
    <xf numFmtId="0" fontId="7" fillId="0" borderId="0" applyNumberFormat="0" applyFill="0" applyBorder="0" applyAlignment="0" applyProtection="0"/>
    <xf numFmtId="0" fontId="5" fillId="0" borderId="0"/>
    <xf numFmtId="9" fontId="14" fillId="0" borderId="0" applyFont="0" applyFill="0" applyBorder="0" applyAlignment="0" applyProtection="0"/>
  </cellStyleXfs>
  <cellXfs count="488">
    <xf numFmtId="0" fontId="0" fillId="0" borderId="0" xfId="0"/>
    <xf numFmtId="0" fontId="0" fillId="2" borderId="1" xfId="0" applyFill="1" applyBorder="1" applyAlignment="1">
      <alignment vertical="center"/>
    </xf>
    <xf numFmtId="0" fontId="3" fillId="2" borderId="4" xfId="0" applyFont="1" applyFill="1" applyBorder="1" applyAlignment="1">
      <alignment wrapText="1"/>
    </xf>
    <xf numFmtId="0" fontId="3" fillId="2" borderId="5" xfId="0" applyFont="1" applyFill="1" applyBorder="1" applyAlignment="1">
      <alignment wrapText="1"/>
    </xf>
    <xf numFmtId="0" fontId="6" fillId="2" borderId="1" xfId="0" applyFont="1" applyFill="1" applyBorder="1" applyAlignment="1">
      <alignment wrapText="1"/>
    </xf>
    <xf numFmtId="0" fontId="8" fillId="2" borderId="1" xfId="1" applyFont="1" applyFill="1" applyBorder="1" applyAlignment="1" applyProtection="1">
      <alignment wrapText="1"/>
    </xf>
    <xf numFmtId="0" fontId="3" fillId="2" borderId="1" xfId="0" applyFont="1" applyFill="1" applyBorder="1" applyAlignment="1">
      <alignment wrapText="1"/>
    </xf>
    <xf numFmtId="0" fontId="9" fillId="2" borderId="1" xfId="0" applyFont="1" applyFill="1" applyBorder="1" applyAlignment="1">
      <alignment wrapText="1"/>
    </xf>
    <xf numFmtId="0" fontId="9" fillId="2" borderId="4" xfId="0" applyFont="1" applyFill="1" applyBorder="1" applyAlignment="1">
      <alignment wrapText="1"/>
    </xf>
    <xf numFmtId="0" fontId="9" fillId="2" borderId="5" xfId="0" applyFont="1" applyFill="1" applyBorder="1" applyAlignment="1">
      <alignment wrapText="1"/>
    </xf>
    <xf numFmtId="0" fontId="0" fillId="3" borderId="1" xfId="0" applyFill="1" applyBorder="1" applyAlignment="1">
      <alignment vertical="center"/>
    </xf>
    <xf numFmtId="0" fontId="0" fillId="4" borderId="1" xfId="0" applyFill="1" applyBorder="1" applyAlignment="1">
      <alignment vertical="center"/>
    </xf>
    <xf numFmtId="0" fontId="3" fillId="4" borderId="4" xfId="0" applyFont="1" applyFill="1" applyBorder="1" applyAlignment="1">
      <alignment wrapText="1"/>
    </xf>
    <xf numFmtId="0" fontId="3" fillId="4" borderId="5" xfId="0" applyFont="1" applyFill="1" applyBorder="1" applyAlignment="1">
      <alignment wrapText="1"/>
    </xf>
    <xf numFmtId="0" fontId="9" fillId="4" borderId="5" xfId="0" applyFont="1" applyFill="1" applyBorder="1" applyAlignment="1">
      <alignment wrapText="1"/>
    </xf>
    <xf numFmtId="0" fontId="9" fillId="4" borderId="7" xfId="0" applyFont="1" applyFill="1" applyBorder="1" applyAlignment="1">
      <alignment wrapText="1"/>
    </xf>
    <xf numFmtId="0" fontId="3" fillId="4" borderId="7" xfId="0" applyFont="1" applyFill="1" applyBorder="1" applyAlignment="1">
      <alignment wrapText="1"/>
    </xf>
    <xf numFmtId="0" fontId="0" fillId="5" borderId="1" xfId="0" applyFill="1" applyBorder="1" applyAlignment="1">
      <alignment vertical="center"/>
    </xf>
    <xf numFmtId="0" fontId="3" fillId="5" borderId="4" xfId="0" applyFont="1" applyFill="1" applyBorder="1" applyAlignment="1">
      <alignment wrapText="1"/>
    </xf>
    <xf numFmtId="0" fontId="3" fillId="5" borderId="7" xfId="0" applyFont="1" applyFill="1" applyBorder="1" applyAlignment="1">
      <alignment wrapText="1"/>
    </xf>
    <xf numFmtId="0" fontId="3" fillId="5" borderId="1" xfId="0" applyFont="1" applyFill="1" applyBorder="1" applyAlignment="1">
      <alignment wrapText="1"/>
    </xf>
    <xf numFmtId="0" fontId="11" fillId="5" borderId="1" xfId="0" applyFont="1" applyFill="1" applyBorder="1" applyAlignment="1">
      <alignment wrapText="1"/>
    </xf>
    <xf numFmtId="0" fontId="3" fillId="5" borderId="5" xfId="0" applyFont="1" applyFill="1" applyBorder="1" applyAlignment="1">
      <alignment wrapText="1"/>
    </xf>
    <xf numFmtId="0" fontId="6" fillId="5" borderId="1" xfId="0" applyFont="1" applyFill="1" applyBorder="1" applyAlignment="1">
      <alignment wrapText="1"/>
    </xf>
    <xf numFmtId="0" fontId="0" fillId="0" borderId="1" xfId="0" applyBorder="1"/>
    <xf numFmtId="0" fontId="3" fillId="6" borderId="5" xfId="0" applyFont="1" applyFill="1" applyBorder="1" applyAlignment="1">
      <alignment wrapText="1"/>
    </xf>
    <xf numFmtId="0" fontId="0" fillId="6" borderId="1" xfId="0" applyFill="1" applyBorder="1" applyAlignment="1">
      <alignment vertical="center"/>
    </xf>
    <xf numFmtId="0" fontId="3" fillId="6" borderId="1" xfId="0" applyFont="1" applyFill="1" applyBorder="1" applyAlignment="1">
      <alignment wrapText="1"/>
    </xf>
    <xf numFmtId="0" fontId="6" fillId="6" borderId="1" xfId="0" applyFont="1" applyFill="1" applyBorder="1" applyAlignment="1">
      <alignment wrapText="1"/>
    </xf>
    <xf numFmtId="0" fontId="6" fillId="6" borderId="0" xfId="0" applyFont="1" applyFill="1" applyAlignment="1">
      <alignment wrapText="1"/>
    </xf>
    <xf numFmtId="0" fontId="0" fillId="7" borderId="1" xfId="0" applyFill="1" applyBorder="1" applyAlignment="1">
      <alignment vertical="center"/>
    </xf>
    <xf numFmtId="0" fontId="3" fillId="7" borderId="6" xfId="0" applyFont="1" applyFill="1" applyBorder="1" applyAlignment="1">
      <alignment wrapText="1"/>
    </xf>
    <xf numFmtId="0" fontId="3" fillId="7" borderId="7" xfId="0" applyFont="1" applyFill="1" applyBorder="1" applyAlignment="1">
      <alignment wrapText="1"/>
    </xf>
    <xf numFmtId="0" fontId="3" fillId="7" borderId="1" xfId="0" applyFont="1" applyFill="1" applyBorder="1" applyAlignment="1">
      <alignment wrapText="1"/>
    </xf>
    <xf numFmtId="0" fontId="6" fillId="7" borderId="1" xfId="0" applyFont="1" applyFill="1" applyBorder="1" applyAlignment="1">
      <alignment wrapText="1"/>
    </xf>
    <xf numFmtId="0" fontId="3" fillId="7" borderId="5" xfId="0" applyFont="1" applyFill="1" applyBorder="1" applyAlignment="1">
      <alignment wrapText="1"/>
    </xf>
    <xf numFmtId="0" fontId="0" fillId="8" borderId="1" xfId="0" applyFill="1" applyBorder="1" applyAlignment="1">
      <alignment vertical="center"/>
    </xf>
    <xf numFmtId="0" fontId="3" fillId="8" borderId="1" xfId="0" applyFont="1" applyFill="1" applyBorder="1" applyAlignment="1">
      <alignment wrapText="1"/>
    </xf>
    <xf numFmtId="0" fontId="3" fillId="8" borderId="4" xfId="0" applyFont="1" applyFill="1" applyBorder="1" applyAlignment="1">
      <alignment wrapText="1"/>
    </xf>
    <xf numFmtId="0" fontId="0" fillId="9" borderId="1" xfId="0" applyFill="1" applyBorder="1" applyAlignment="1">
      <alignment vertical="center"/>
    </xf>
    <xf numFmtId="0" fontId="0" fillId="10" borderId="1" xfId="0" applyFill="1" applyBorder="1" applyAlignment="1">
      <alignment vertical="center"/>
    </xf>
    <xf numFmtId="0" fontId="0" fillId="0" borderId="0" xfId="0" applyAlignment="1">
      <alignment horizontal="left"/>
    </xf>
    <xf numFmtId="0" fontId="0" fillId="0" borderId="0" xfId="0" applyAlignment="1">
      <alignment vertical="center"/>
    </xf>
    <xf numFmtId="2" fontId="0" fillId="0" borderId="0" xfId="0" applyNumberFormat="1"/>
    <xf numFmtId="0" fontId="0" fillId="0" borderId="0" xfId="0" applyAlignment="1">
      <alignment horizontal="right"/>
    </xf>
    <xf numFmtId="164" fontId="0" fillId="0" borderId="0" xfId="0" applyNumberFormat="1"/>
    <xf numFmtId="0" fontId="1" fillId="0" borderId="1" xfId="0" applyFont="1" applyBorder="1"/>
    <xf numFmtId="0" fontId="0" fillId="0" borderId="1" xfId="0" applyBorder="1" applyAlignment="1">
      <alignment horizontal="right"/>
    </xf>
    <xf numFmtId="0" fontId="3" fillId="6" borderId="10" xfId="0" applyFont="1" applyFill="1" applyBorder="1" applyAlignment="1">
      <alignment wrapText="1"/>
    </xf>
    <xf numFmtId="165" fontId="0" fillId="0" borderId="0" xfId="0" applyNumberFormat="1"/>
    <xf numFmtId="0" fontId="6" fillId="3" borderId="1" xfId="0" applyFont="1" applyFill="1" applyBorder="1" applyAlignment="1">
      <alignment wrapText="1"/>
    </xf>
    <xf numFmtId="0" fontId="0" fillId="0" borderId="0" xfId="0" applyAlignment="1">
      <alignment horizontal="left" vertical="top"/>
    </xf>
    <xf numFmtId="0" fontId="0" fillId="0" borderId="0" xfId="0" applyAlignment="1">
      <alignment horizontal="left" vertical="top" wrapText="1"/>
    </xf>
    <xf numFmtId="0" fontId="0" fillId="0" borderId="0" xfId="0" applyAlignment="1">
      <alignment vertical="top"/>
    </xf>
    <xf numFmtId="0" fontId="0" fillId="0" borderId="0" xfId="0" pivotButton="1"/>
    <xf numFmtId="0" fontId="0" fillId="12" borderId="1" xfId="0" applyFill="1" applyBorder="1" applyAlignment="1">
      <alignment vertical="center"/>
    </xf>
    <xf numFmtId="0" fontId="0" fillId="0" borderId="1" xfId="0" applyBorder="1" applyAlignment="1">
      <alignment horizontal="left"/>
    </xf>
    <xf numFmtId="0" fontId="0" fillId="13" borderId="0" xfId="0" applyFill="1"/>
    <xf numFmtId="0" fontId="0" fillId="13" borderId="1" xfId="0" applyFill="1" applyBorder="1"/>
    <xf numFmtId="0" fontId="1" fillId="13" borderId="0" xfId="0" applyFont="1" applyFill="1"/>
    <xf numFmtId="0" fontId="1" fillId="0" borderId="0" xfId="0" applyFont="1"/>
    <xf numFmtId="0" fontId="1" fillId="0" borderId="9" xfId="0" applyFont="1" applyBorder="1"/>
    <xf numFmtId="0" fontId="1" fillId="0" borderId="8" xfId="0" applyFont="1" applyBorder="1"/>
    <xf numFmtId="0" fontId="1" fillId="0" borderId="8" xfId="0" applyFont="1" applyBorder="1" applyAlignment="1">
      <alignment horizontal="center"/>
    </xf>
    <xf numFmtId="0" fontId="1" fillId="0" borderId="8" xfId="0" applyFont="1" applyBorder="1" applyAlignment="1">
      <alignment horizontal="center" wrapText="1"/>
    </xf>
    <xf numFmtId="0" fontId="1" fillId="0" borderId="12" xfId="0" applyFont="1" applyBorder="1"/>
    <xf numFmtId="0" fontId="1" fillId="0" borderId="10" xfId="0" applyFont="1" applyBorder="1"/>
    <xf numFmtId="0" fontId="0" fillId="0" borderId="1" xfId="0" applyBorder="1" applyAlignment="1">
      <alignment horizontal="center"/>
    </xf>
    <xf numFmtId="17" fontId="0" fillId="0" borderId="1" xfId="0" applyNumberFormat="1" applyBorder="1" applyAlignment="1">
      <alignment horizontal="center"/>
    </xf>
    <xf numFmtId="14" fontId="0" fillId="0" borderId="1" xfId="0" applyNumberFormat="1" applyBorder="1" applyAlignment="1">
      <alignment horizontal="center"/>
    </xf>
    <xf numFmtId="0" fontId="0" fillId="0" borderId="1" xfId="0" applyBorder="1" applyAlignment="1">
      <alignment wrapText="1"/>
    </xf>
    <xf numFmtId="0" fontId="3" fillId="14" borderId="4" xfId="0" applyFont="1" applyFill="1" applyBorder="1" applyAlignment="1">
      <alignment wrapText="1"/>
    </xf>
    <xf numFmtId="0" fontId="9" fillId="14" borderId="5" xfId="0" applyFont="1" applyFill="1" applyBorder="1" applyAlignment="1">
      <alignment wrapText="1"/>
    </xf>
    <xf numFmtId="0" fontId="3" fillId="14" borderId="2" xfId="0" applyFont="1" applyFill="1" applyBorder="1" applyAlignment="1">
      <alignment wrapText="1"/>
    </xf>
    <xf numFmtId="0" fontId="3" fillId="14" borderId="6" xfId="0" applyFont="1" applyFill="1" applyBorder="1" applyAlignment="1">
      <alignment wrapText="1"/>
    </xf>
    <xf numFmtId="0" fontId="0" fillId="2" borderId="1" xfId="0" applyFill="1" applyBorder="1"/>
    <xf numFmtId="0" fontId="13" fillId="2" borderId="1" xfId="0" applyFont="1" applyFill="1" applyBorder="1"/>
    <xf numFmtId="164" fontId="0" fillId="2" borderId="1" xfId="0" applyNumberFormat="1" applyFill="1" applyBorder="1"/>
    <xf numFmtId="166" fontId="0" fillId="2" borderId="1" xfId="0" applyNumberFormat="1" applyFill="1" applyBorder="1"/>
    <xf numFmtId="166" fontId="0" fillId="2" borderId="1" xfId="0" applyNumberFormat="1" applyFill="1" applyBorder="1" applyAlignment="1">
      <alignment wrapText="1"/>
    </xf>
    <xf numFmtId="164" fontId="0" fillId="2" borderId="3" xfId="0" applyNumberFormat="1" applyFill="1" applyBorder="1"/>
    <xf numFmtId="165" fontId="0" fillId="2" borderId="1" xfId="0" applyNumberFormat="1" applyFill="1" applyBorder="1"/>
    <xf numFmtId="0" fontId="0" fillId="2" borderId="1" xfId="0" applyFill="1" applyBorder="1" applyAlignment="1">
      <alignment wrapText="1"/>
    </xf>
    <xf numFmtId="0" fontId="10" fillId="2" borderId="1" xfId="0" applyFont="1" applyFill="1" applyBorder="1" applyAlignment="1">
      <alignment wrapText="1"/>
    </xf>
    <xf numFmtId="0" fontId="3" fillId="2" borderId="4" xfId="0" applyFont="1" applyFill="1" applyBorder="1"/>
    <xf numFmtId="0" fontId="0" fillId="14" borderId="1" xfId="0" applyFill="1" applyBorder="1"/>
    <xf numFmtId="164" fontId="0" fillId="14" borderId="1" xfId="0" applyNumberFormat="1" applyFill="1" applyBorder="1"/>
    <xf numFmtId="166" fontId="0" fillId="14" borderId="1" xfId="0" applyNumberFormat="1" applyFill="1" applyBorder="1"/>
    <xf numFmtId="166" fontId="0" fillId="14" borderId="1" xfId="0" applyNumberFormat="1" applyFill="1" applyBorder="1" applyAlignment="1">
      <alignment wrapText="1"/>
    </xf>
    <xf numFmtId="164" fontId="0" fillId="14" borderId="3" xfId="0" applyNumberFormat="1" applyFill="1" applyBorder="1"/>
    <xf numFmtId="165" fontId="0" fillId="14" borderId="1" xfId="0" applyNumberFormat="1" applyFill="1" applyBorder="1"/>
    <xf numFmtId="0" fontId="0" fillId="3" borderId="1" xfId="0" applyFill="1" applyBorder="1"/>
    <xf numFmtId="164" fontId="0" fillId="3" borderId="1" xfId="0" applyNumberFormat="1" applyFill="1" applyBorder="1"/>
    <xf numFmtId="166" fontId="0" fillId="3" borderId="1" xfId="0" applyNumberFormat="1" applyFill="1" applyBorder="1"/>
    <xf numFmtId="166" fontId="0" fillId="3" borderId="1" xfId="0" applyNumberFormat="1" applyFill="1" applyBorder="1" applyAlignment="1">
      <alignment wrapText="1"/>
    </xf>
    <xf numFmtId="165" fontId="0" fillId="3" borderId="1" xfId="0" applyNumberFormat="1" applyFill="1" applyBorder="1"/>
    <xf numFmtId="0" fontId="0" fillId="4" borderId="1" xfId="0" applyFill="1" applyBorder="1"/>
    <xf numFmtId="164" fontId="0" fillId="4" borderId="1" xfId="0" applyNumberFormat="1" applyFill="1" applyBorder="1"/>
    <xf numFmtId="14" fontId="0" fillId="4" borderId="1" xfId="0" applyNumberFormat="1" applyFill="1" applyBorder="1"/>
    <xf numFmtId="166" fontId="0" fillId="4" borderId="1" xfId="0" applyNumberFormat="1" applyFill="1" applyBorder="1"/>
    <xf numFmtId="166" fontId="0" fillId="4" borderId="1" xfId="0" applyNumberFormat="1" applyFill="1" applyBorder="1" applyAlignment="1">
      <alignment wrapText="1"/>
    </xf>
    <xf numFmtId="164" fontId="0" fillId="4" borderId="3" xfId="0" applyNumberFormat="1" applyFill="1" applyBorder="1"/>
    <xf numFmtId="0" fontId="0" fillId="4" borderId="2" xfId="0" applyFill="1" applyBorder="1"/>
    <xf numFmtId="165" fontId="0" fillId="4" borderId="1" xfId="0" applyNumberFormat="1" applyFill="1" applyBorder="1"/>
    <xf numFmtId="164" fontId="0" fillId="4" borderId="1" xfId="0" applyNumberFormat="1" applyFill="1" applyBorder="1" applyAlignment="1">
      <alignment wrapText="1"/>
    </xf>
    <xf numFmtId="0" fontId="0" fillId="4" borderId="1" xfId="0" applyFill="1" applyBorder="1" applyAlignment="1">
      <alignment wrapText="1"/>
    </xf>
    <xf numFmtId="0" fontId="0" fillId="4" borderId="13" xfId="0" applyFill="1" applyBorder="1"/>
    <xf numFmtId="0" fontId="10" fillId="4" borderId="1" xfId="0" applyFont="1" applyFill="1" applyBorder="1" applyAlignment="1">
      <alignment wrapText="1"/>
    </xf>
    <xf numFmtId="0" fontId="0" fillId="3" borderId="4" xfId="0" applyFill="1" applyBorder="1"/>
    <xf numFmtId="164" fontId="0" fillId="3" borderId="3" xfId="0" applyNumberFormat="1" applyFill="1" applyBorder="1"/>
    <xf numFmtId="164" fontId="0" fillId="3" borderId="4" xfId="0" applyNumberFormat="1" applyFill="1" applyBorder="1"/>
    <xf numFmtId="166" fontId="0" fillId="3" borderId="4" xfId="0" applyNumberFormat="1" applyFill="1" applyBorder="1"/>
    <xf numFmtId="166" fontId="0" fillId="3" borderId="3" xfId="0" applyNumberFormat="1" applyFill="1" applyBorder="1" applyAlignment="1">
      <alignment wrapText="1"/>
    </xf>
    <xf numFmtId="0" fontId="0" fillId="3" borderId="3" xfId="0" applyFill="1" applyBorder="1"/>
    <xf numFmtId="0" fontId="0" fillId="3" borderId="0" xfId="0" applyFill="1"/>
    <xf numFmtId="0" fontId="0" fillId="3" borderId="2" xfId="0" applyFill="1" applyBorder="1"/>
    <xf numFmtId="0" fontId="0" fillId="5" borderId="1" xfId="0" applyFill="1" applyBorder="1"/>
    <xf numFmtId="164" fontId="0" fillId="5" borderId="1" xfId="0" applyNumberFormat="1" applyFill="1" applyBorder="1"/>
    <xf numFmtId="166" fontId="0" fillId="5" borderId="1" xfId="0" applyNumberFormat="1" applyFill="1" applyBorder="1"/>
    <xf numFmtId="166" fontId="0" fillId="5" borderId="1" xfId="0" applyNumberFormat="1" applyFill="1" applyBorder="1" applyAlignment="1">
      <alignment wrapText="1"/>
    </xf>
    <xf numFmtId="164" fontId="0" fillId="5" borderId="3" xfId="0" applyNumberFormat="1" applyFill="1" applyBorder="1"/>
    <xf numFmtId="0" fontId="0" fillId="5" borderId="1" xfId="0" applyFill="1" applyBorder="1" applyAlignment="1">
      <alignment wrapText="1"/>
    </xf>
    <xf numFmtId="165" fontId="0" fillId="5" borderId="1" xfId="0" applyNumberFormat="1" applyFill="1" applyBorder="1"/>
    <xf numFmtId="0" fontId="6" fillId="5" borderId="1" xfId="0" applyFont="1" applyFill="1" applyBorder="1"/>
    <xf numFmtId="15" fontId="0" fillId="5" borderId="1" xfId="0" applyNumberFormat="1" applyFill="1" applyBorder="1"/>
    <xf numFmtId="0" fontId="0" fillId="5" borderId="13" xfId="0" applyFill="1" applyBorder="1"/>
    <xf numFmtId="0" fontId="7" fillId="5" borderId="1" xfId="1" applyFill="1" applyBorder="1" applyAlignment="1"/>
    <xf numFmtId="14" fontId="12" fillId="5" borderId="1" xfId="0" applyNumberFormat="1" applyFont="1" applyFill="1" applyBorder="1"/>
    <xf numFmtId="15" fontId="0" fillId="5" borderId="1" xfId="0" applyNumberFormat="1" applyFill="1" applyBorder="1" applyAlignment="1">
      <alignment wrapText="1"/>
    </xf>
    <xf numFmtId="0" fontId="0" fillId="6" borderId="8" xfId="0" applyFill="1" applyBorder="1"/>
    <xf numFmtId="0" fontId="7" fillId="6" borderId="8" xfId="1" applyFill="1" applyBorder="1" applyAlignment="1"/>
    <xf numFmtId="164" fontId="0" fillId="6" borderId="8" xfId="0" applyNumberFormat="1" applyFill="1" applyBorder="1"/>
    <xf numFmtId="15" fontId="0" fillId="6" borderId="8" xfId="0" applyNumberFormat="1" applyFill="1" applyBorder="1"/>
    <xf numFmtId="166" fontId="0" fillId="6" borderId="8" xfId="0" applyNumberFormat="1" applyFill="1" applyBorder="1"/>
    <xf numFmtId="166" fontId="0" fillId="6" borderId="8" xfId="0" applyNumberFormat="1" applyFill="1" applyBorder="1" applyAlignment="1">
      <alignment wrapText="1"/>
    </xf>
    <xf numFmtId="164" fontId="0" fillId="6" borderId="12" xfId="0" applyNumberFormat="1" applyFill="1" applyBorder="1"/>
    <xf numFmtId="0" fontId="0" fillId="6" borderId="1" xfId="0" applyFill="1" applyBorder="1"/>
    <xf numFmtId="165" fontId="0" fillId="6" borderId="8" xfId="0" applyNumberFormat="1" applyFill="1" applyBorder="1"/>
    <xf numFmtId="0" fontId="0" fillId="6" borderId="1" xfId="0" quotePrefix="1" applyFill="1" applyBorder="1"/>
    <xf numFmtId="164" fontId="0" fillId="6" borderId="1" xfId="0" applyNumberFormat="1" applyFill="1" applyBorder="1"/>
    <xf numFmtId="14" fontId="0" fillId="6" borderId="1" xfId="0" applyNumberFormat="1" applyFill="1" applyBorder="1"/>
    <xf numFmtId="166" fontId="0" fillId="6" borderId="1" xfId="0" applyNumberFormat="1" applyFill="1" applyBorder="1"/>
    <xf numFmtId="166" fontId="0" fillId="6" borderId="1" xfId="0" applyNumberFormat="1" applyFill="1" applyBorder="1" applyAlignment="1">
      <alignment wrapText="1"/>
    </xf>
    <xf numFmtId="164" fontId="0" fillId="6" borderId="3" xfId="0" applyNumberFormat="1" applyFill="1" applyBorder="1"/>
    <xf numFmtId="165" fontId="0" fillId="6" borderId="1" xfId="0" applyNumberFormat="1" applyFill="1" applyBorder="1"/>
    <xf numFmtId="0" fontId="7" fillId="6" borderId="1" xfId="1" applyFill="1" applyBorder="1" applyAlignment="1"/>
    <xf numFmtId="15" fontId="0" fillId="6" borderId="1" xfId="0" applyNumberFormat="1" applyFill="1" applyBorder="1"/>
    <xf numFmtId="0" fontId="0" fillId="6" borderId="1" xfId="0" applyFill="1" applyBorder="1" applyAlignment="1">
      <alignment wrapText="1"/>
    </xf>
    <xf numFmtId="0" fontId="0" fillId="6" borderId="2" xfId="0" applyFill="1" applyBorder="1"/>
    <xf numFmtId="0" fontId="7" fillId="6" borderId="0" xfId="1" applyFill="1" applyAlignment="1"/>
    <xf numFmtId="0" fontId="0" fillId="6" borderId="13" xfId="0" applyFill="1" applyBorder="1"/>
    <xf numFmtId="0" fontId="0" fillId="3" borderId="13" xfId="0" applyFill="1" applyBorder="1"/>
    <xf numFmtId="0" fontId="0" fillId="7" borderId="1" xfId="0" applyFill="1" applyBorder="1"/>
    <xf numFmtId="0" fontId="0" fillId="7" borderId="1" xfId="0" quotePrefix="1" applyFill="1" applyBorder="1"/>
    <xf numFmtId="164" fontId="0" fillId="7" borderId="1" xfId="0" applyNumberFormat="1" applyFill="1" applyBorder="1"/>
    <xf numFmtId="166" fontId="0" fillId="7" borderId="1" xfId="0" applyNumberFormat="1" applyFill="1" applyBorder="1"/>
    <xf numFmtId="166" fontId="0" fillId="7" borderId="1" xfId="0" applyNumberFormat="1" applyFill="1" applyBorder="1" applyAlignment="1">
      <alignment wrapText="1"/>
    </xf>
    <xf numFmtId="164" fontId="0" fillId="7" borderId="3" xfId="0" applyNumberFormat="1" applyFill="1" applyBorder="1"/>
    <xf numFmtId="165" fontId="0" fillId="7" borderId="1" xfId="0" applyNumberFormat="1" applyFill="1" applyBorder="1"/>
    <xf numFmtId="14" fontId="12" fillId="7" borderId="1" xfId="0" applyNumberFormat="1" applyFont="1" applyFill="1" applyBorder="1"/>
    <xf numFmtId="0" fontId="7" fillId="7" borderId="1" xfId="1" applyFill="1" applyBorder="1" applyAlignment="1"/>
    <xf numFmtId="0" fontId="0" fillId="7" borderId="1" xfId="0" applyFill="1" applyBorder="1" applyAlignment="1">
      <alignment wrapText="1"/>
    </xf>
    <xf numFmtId="0" fontId="0" fillId="7" borderId="13" xfId="0" applyFill="1" applyBorder="1"/>
    <xf numFmtId="15" fontId="0" fillId="7" borderId="1" xfId="0" applyNumberFormat="1" applyFill="1" applyBorder="1"/>
    <xf numFmtId="0" fontId="0" fillId="3" borderId="1" xfId="0" applyFill="1" applyBorder="1" applyAlignment="1">
      <alignment wrapText="1"/>
    </xf>
    <xf numFmtId="0" fontId="0" fillId="8" borderId="1" xfId="0" applyFill="1" applyBorder="1"/>
    <xf numFmtId="164" fontId="0" fillId="8" borderId="1" xfId="0" applyNumberFormat="1" applyFill="1" applyBorder="1"/>
    <xf numFmtId="166" fontId="0" fillId="8" borderId="1" xfId="0" applyNumberFormat="1" applyFill="1" applyBorder="1"/>
    <xf numFmtId="166" fontId="0" fillId="8" borderId="1" xfId="0" applyNumberFormat="1" applyFill="1" applyBorder="1" applyAlignment="1">
      <alignment wrapText="1"/>
    </xf>
    <xf numFmtId="164" fontId="0" fillId="8" borderId="3" xfId="0" applyNumberFormat="1" applyFill="1" applyBorder="1"/>
    <xf numFmtId="165" fontId="0" fillId="8" borderId="1" xfId="0" applyNumberFormat="1" applyFill="1" applyBorder="1"/>
    <xf numFmtId="0" fontId="0" fillId="8" borderId="4" xfId="0" applyFill="1" applyBorder="1"/>
    <xf numFmtId="0" fontId="0" fillId="8" borderId="1" xfId="0" applyFill="1" applyBorder="1" applyAlignment="1">
      <alignment wrapText="1"/>
    </xf>
    <xf numFmtId="0" fontId="0" fillId="8" borderId="1" xfId="0" quotePrefix="1" applyFill="1" applyBorder="1"/>
    <xf numFmtId="0" fontId="0" fillId="8" borderId="13" xfId="0" applyFill="1" applyBorder="1"/>
    <xf numFmtId="0" fontId="7" fillId="8" borderId="1" xfId="1" applyFill="1" applyBorder="1" applyAlignment="1"/>
    <xf numFmtId="164" fontId="0" fillId="8" borderId="0" xfId="0" applyNumberFormat="1" applyFill="1"/>
    <xf numFmtId="0" fontId="0" fillId="8" borderId="8" xfId="0" applyFill="1" applyBorder="1"/>
    <xf numFmtId="0" fontId="0" fillId="9" borderId="1" xfId="0" applyFill="1" applyBorder="1"/>
    <xf numFmtId="164" fontId="0" fillId="9" borderId="1" xfId="0" applyNumberFormat="1" applyFill="1" applyBorder="1"/>
    <xf numFmtId="166" fontId="0" fillId="9" borderId="1" xfId="0" applyNumberFormat="1" applyFill="1" applyBorder="1"/>
    <xf numFmtId="166" fontId="0" fillId="9" borderId="1" xfId="0" applyNumberFormat="1" applyFill="1" applyBorder="1" applyAlignment="1">
      <alignment wrapText="1"/>
    </xf>
    <xf numFmtId="165" fontId="0" fillId="9" borderId="3" xfId="0" applyNumberFormat="1" applyFill="1" applyBorder="1"/>
    <xf numFmtId="0" fontId="0" fillId="9" borderId="2" xfId="0" applyFill="1" applyBorder="1"/>
    <xf numFmtId="165" fontId="0" fillId="9" borderId="1" xfId="0" applyNumberFormat="1" applyFill="1" applyBorder="1"/>
    <xf numFmtId="0" fontId="7" fillId="9" borderId="1" xfId="1" applyFill="1" applyBorder="1" applyAlignment="1"/>
    <xf numFmtId="0" fontId="0" fillId="9" borderId="1" xfId="0" quotePrefix="1" applyFill="1" applyBorder="1"/>
    <xf numFmtId="0" fontId="0" fillId="9" borderId="1" xfId="0" applyFill="1" applyBorder="1" applyAlignment="1">
      <alignment wrapText="1"/>
    </xf>
    <xf numFmtId="165" fontId="0" fillId="9" borderId="0" xfId="0" applyNumberFormat="1" applyFill="1"/>
    <xf numFmtId="0" fontId="0" fillId="9" borderId="0" xfId="0" applyFill="1"/>
    <xf numFmtId="0" fontId="0" fillId="9" borderId="13" xfId="0" applyFill="1" applyBorder="1"/>
    <xf numFmtId="164" fontId="0" fillId="9" borderId="1" xfId="0" applyNumberFormat="1" applyFill="1" applyBorder="1" applyAlignment="1">
      <alignment wrapText="1"/>
    </xf>
    <xf numFmtId="165" fontId="0" fillId="3" borderId="3" xfId="0" applyNumberFormat="1" applyFill="1" applyBorder="1"/>
    <xf numFmtId="0" fontId="0" fillId="3" borderId="8" xfId="0" applyFill="1" applyBorder="1"/>
    <xf numFmtId="0" fontId="7" fillId="3" borderId="1" xfId="1" applyFill="1" applyBorder="1" applyAlignment="1"/>
    <xf numFmtId="0" fontId="0" fillId="6" borderId="4" xfId="0" applyFill="1" applyBorder="1"/>
    <xf numFmtId="2" fontId="0" fillId="4" borderId="1" xfId="0" quotePrefix="1" applyNumberFormat="1" applyFill="1" applyBorder="1"/>
    <xf numFmtId="0" fontId="0" fillId="4" borderId="0" xfId="0" applyFill="1"/>
    <xf numFmtId="2" fontId="0" fillId="4" borderId="1" xfId="0" quotePrefix="1" applyNumberFormat="1" applyFill="1" applyBorder="1" applyAlignment="1">
      <alignment wrapText="1"/>
    </xf>
    <xf numFmtId="2" fontId="0" fillId="4" borderId="1" xfId="0" applyNumberFormat="1" applyFill="1" applyBorder="1"/>
    <xf numFmtId="2" fontId="0" fillId="3" borderId="1" xfId="0" applyNumberFormat="1" applyFill="1" applyBorder="1"/>
    <xf numFmtId="0" fontId="6" fillId="4" borderId="0" xfId="0" applyFont="1" applyFill="1" applyAlignment="1">
      <alignment wrapText="1"/>
    </xf>
    <xf numFmtId="0" fontId="0" fillId="10" borderId="1" xfId="0" applyFill="1" applyBorder="1"/>
    <xf numFmtId="164" fontId="0" fillId="10" borderId="1" xfId="0" applyNumberFormat="1" applyFill="1" applyBorder="1"/>
    <xf numFmtId="166" fontId="0" fillId="10" borderId="1" xfId="0" applyNumberFormat="1" applyFill="1" applyBorder="1"/>
    <xf numFmtId="166" fontId="0" fillId="10" borderId="1" xfId="0" applyNumberFormat="1" applyFill="1" applyBorder="1" applyAlignment="1">
      <alignment wrapText="1"/>
    </xf>
    <xf numFmtId="164" fontId="0" fillId="10" borderId="3" xfId="0" applyNumberFormat="1" applyFill="1" applyBorder="1"/>
    <xf numFmtId="165" fontId="0" fillId="10" borderId="1" xfId="0" applyNumberFormat="1" applyFill="1" applyBorder="1"/>
    <xf numFmtId="0" fontId="0" fillId="10" borderId="2" xfId="0" applyFill="1" applyBorder="1"/>
    <xf numFmtId="0" fontId="7" fillId="10" borderId="1" xfId="1" applyFill="1" applyBorder="1" applyAlignment="1"/>
    <xf numFmtId="0" fontId="0" fillId="2" borderId="4" xfId="0" applyFill="1" applyBorder="1"/>
    <xf numFmtId="164" fontId="4" fillId="2" borderId="1" xfId="0" applyNumberFormat="1" applyFont="1" applyFill="1" applyBorder="1"/>
    <xf numFmtId="1" fontId="0" fillId="2" borderId="4" xfId="0" applyNumberFormat="1" applyFill="1" applyBorder="1"/>
    <xf numFmtId="0" fontId="0" fillId="14" borderId="4" xfId="0" applyFill="1" applyBorder="1"/>
    <xf numFmtId="164" fontId="4" fillId="14" borderId="1" xfId="0" applyNumberFormat="1" applyFont="1" applyFill="1" applyBorder="1"/>
    <xf numFmtId="0" fontId="0" fillId="14" borderId="1" xfId="0" applyFill="1" applyBorder="1" applyAlignment="1">
      <alignment wrapText="1"/>
    </xf>
    <xf numFmtId="1" fontId="0" fillId="14" borderId="4" xfId="0" applyNumberFormat="1" applyFill="1" applyBorder="1"/>
    <xf numFmtId="164" fontId="4" fillId="3" borderId="1" xfId="0" applyNumberFormat="1" applyFont="1" applyFill="1" applyBorder="1"/>
    <xf numFmtId="1" fontId="0" fillId="3" borderId="1" xfId="0" applyNumberFormat="1" applyFill="1" applyBorder="1"/>
    <xf numFmtId="164" fontId="0" fillId="4" borderId="3" xfId="0" applyNumberFormat="1" applyFill="1" applyBorder="1" applyAlignment="1">
      <alignment wrapText="1"/>
    </xf>
    <xf numFmtId="1" fontId="0" fillId="4" borderId="4" xfId="0" applyNumberFormat="1" applyFill="1" applyBorder="1"/>
    <xf numFmtId="0" fontId="0" fillId="4" borderId="4" xfId="0" applyFill="1" applyBorder="1"/>
    <xf numFmtId="164" fontId="4" fillId="4" borderId="1" xfId="0" applyNumberFormat="1" applyFont="1" applyFill="1" applyBorder="1"/>
    <xf numFmtId="0" fontId="0" fillId="5" borderId="4" xfId="0" applyFill="1" applyBorder="1"/>
    <xf numFmtId="1" fontId="0" fillId="5" borderId="4" xfId="0" applyNumberFormat="1" applyFill="1" applyBorder="1"/>
    <xf numFmtId="164" fontId="0" fillId="5" borderId="1" xfId="0" applyNumberFormat="1" applyFill="1" applyBorder="1" applyAlignment="1">
      <alignment wrapText="1"/>
    </xf>
    <xf numFmtId="164" fontId="0" fillId="5" borderId="3" xfId="0" applyNumberFormat="1" applyFill="1" applyBorder="1" applyAlignment="1">
      <alignment wrapText="1"/>
    </xf>
    <xf numFmtId="15" fontId="0" fillId="5" borderId="4" xfId="0" applyNumberFormat="1" applyFill="1" applyBorder="1"/>
    <xf numFmtId="14" fontId="12" fillId="5" borderId="4" xfId="0" applyNumberFormat="1" applyFont="1" applyFill="1" applyBorder="1"/>
    <xf numFmtId="164" fontId="0" fillId="5" borderId="1" xfId="0" quotePrefix="1" applyNumberFormat="1" applyFill="1" applyBorder="1"/>
    <xf numFmtId="14" fontId="12" fillId="5" borderId="1" xfId="0" applyNumberFormat="1" applyFont="1" applyFill="1" applyBorder="1" applyAlignment="1">
      <alignment wrapText="1"/>
    </xf>
    <xf numFmtId="0" fontId="0" fillId="5" borderId="4" xfId="0" quotePrefix="1" applyFill="1" applyBorder="1"/>
    <xf numFmtId="0" fontId="0" fillId="6" borderId="10" xfId="0" applyFill="1" applyBorder="1"/>
    <xf numFmtId="0" fontId="0" fillId="6" borderId="8" xfId="0" applyFill="1" applyBorder="1" applyAlignment="1">
      <alignment wrapText="1"/>
    </xf>
    <xf numFmtId="15" fontId="0" fillId="6" borderId="8" xfId="0" applyNumberFormat="1" applyFill="1" applyBorder="1" applyAlignment="1">
      <alignment wrapText="1"/>
    </xf>
    <xf numFmtId="1" fontId="0" fillId="6" borderId="9" xfId="0" applyNumberFormat="1" applyFill="1" applyBorder="1"/>
    <xf numFmtId="164" fontId="0" fillId="6" borderId="1" xfId="0" applyNumberFormat="1" applyFill="1" applyBorder="1" applyAlignment="1">
      <alignment wrapText="1"/>
    </xf>
    <xf numFmtId="164" fontId="0" fillId="6" borderId="3" xfId="0" applyNumberFormat="1" applyFill="1" applyBorder="1" applyAlignment="1">
      <alignment wrapText="1"/>
    </xf>
    <xf numFmtId="1" fontId="0" fillId="6" borderId="4" xfId="0" applyNumberFormat="1" applyFill="1" applyBorder="1"/>
    <xf numFmtId="14" fontId="12" fillId="6" borderId="4" xfId="0" applyNumberFormat="1" applyFont="1" applyFill="1" applyBorder="1"/>
    <xf numFmtId="0" fontId="0" fillId="7" borderId="6" xfId="0" applyFill="1" applyBorder="1"/>
    <xf numFmtId="1" fontId="0" fillId="7" borderId="4" xfId="0" applyNumberFormat="1" applyFill="1" applyBorder="1"/>
    <xf numFmtId="164" fontId="0" fillId="7" borderId="1" xfId="0" applyNumberFormat="1" applyFill="1" applyBorder="1" applyAlignment="1">
      <alignment wrapText="1"/>
    </xf>
    <xf numFmtId="164" fontId="0" fillId="7" borderId="3" xfId="0" applyNumberFormat="1" applyFill="1" applyBorder="1" applyAlignment="1">
      <alignment wrapText="1"/>
    </xf>
    <xf numFmtId="0" fontId="0" fillId="7" borderId="4" xfId="0" applyFill="1" applyBorder="1"/>
    <xf numFmtId="14" fontId="12" fillId="7" borderId="4" xfId="0" applyNumberFormat="1" applyFont="1" applyFill="1" applyBorder="1"/>
    <xf numFmtId="14" fontId="12" fillId="7" borderId="5" xfId="0" applyNumberFormat="1" applyFont="1" applyFill="1" applyBorder="1"/>
    <xf numFmtId="0" fontId="0" fillId="7" borderId="4" xfId="0" quotePrefix="1" applyFill="1" applyBorder="1"/>
    <xf numFmtId="15" fontId="0" fillId="7" borderId="5" xfId="0" applyNumberFormat="1" applyFill="1" applyBorder="1"/>
    <xf numFmtId="164" fontId="0" fillId="3" borderId="1" xfId="0" applyNumberFormat="1" applyFill="1" applyBorder="1" applyAlignment="1">
      <alignment wrapText="1"/>
    </xf>
    <xf numFmtId="164" fontId="0" fillId="3" borderId="3" xfId="0" applyNumberFormat="1" applyFill="1" applyBorder="1" applyAlignment="1">
      <alignment wrapText="1"/>
    </xf>
    <xf numFmtId="164" fontId="0" fillId="8" borderId="1" xfId="0" applyNumberFormat="1" applyFill="1" applyBorder="1" applyAlignment="1">
      <alignment wrapText="1"/>
    </xf>
    <xf numFmtId="164" fontId="0" fillId="8" borderId="3" xfId="0" applyNumberFormat="1" applyFill="1" applyBorder="1" applyAlignment="1">
      <alignment wrapText="1"/>
    </xf>
    <xf numFmtId="0" fontId="6" fillId="8" borderId="1" xfId="0" applyFont="1" applyFill="1" applyBorder="1"/>
    <xf numFmtId="0" fontId="0" fillId="8" borderId="9" xfId="0" applyFill="1" applyBorder="1"/>
    <xf numFmtId="15" fontId="0" fillId="8" borderId="9" xfId="0" applyNumberFormat="1" applyFill="1" applyBorder="1"/>
    <xf numFmtId="15" fontId="0" fillId="8" borderId="10" xfId="0" applyNumberFormat="1" applyFill="1" applyBorder="1"/>
    <xf numFmtId="15" fontId="0" fillId="8" borderId="1" xfId="0" applyNumberFormat="1" applyFill="1" applyBorder="1"/>
    <xf numFmtId="15" fontId="0" fillId="8" borderId="9" xfId="0" applyNumberFormat="1" applyFill="1" applyBorder="1" applyAlignment="1">
      <alignment wrapText="1"/>
    </xf>
    <xf numFmtId="14" fontId="12" fillId="8" borderId="4" xfId="0" applyNumberFormat="1" applyFont="1" applyFill="1" applyBorder="1"/>
    <xf numFmtId="15" fontId="0" fillId="8" borderId="5" xfId="0" applyNumberFormat="1" applyFill="1" applyBorder="1"/>
    <xf numFmtId="15" fontId="0" fillId="8" borderId="4" xfId="0" applyNumberFormat="1" applyFill="1" applyBorder="1"/>
    <xf numFmtId="0" fontId="0" fillId="8" borderId="4" xfId="0" applyFill="1" applyBorder="1" applyAlignment="1">
      <alignment wrapText="1"/>
    </xf>
    <xf numFmtId="1" fontId="0" fillId="9" borderId="4" xfId="0" applyNumberFormat="1" applyFill="1" applyBorder="1"/>
    <xf numFmtId="1" fontId="0" fillId="6" borderId="4" xfId="0" applyNumberFormat="1" applyFill="1" applyBorder="1" applyAlignment="1">
      <alignment wrapText="1"/>
    </xf>
    <xf numFmtId="1" fontId="0" fillId="3" borderId="4" xfId="0" applyNumberFormat="1" applyFill="1" applyBorder="1"/>
    <xf numFmtId="1" fontId="0" fillId="4" borderId="4" xfId="0" applyNumberFormat="1" applyFill="1" applyBorder="1" applyAlignment="1">
      <alignment wrapText="1"/>
    </xf>
    <xf numFmtId="14" fontId="6" fillId="4" borderId="0" xfId="0" applyNumberFormat="1" applyFont="1" applyFill="1"/>
    <xf numFmtId="164" fontId="0" fillId="4" borderId="0" xfId="0" applyNumberFormat="1" applyFill="1"/>
    <xf numFmtId="0" fontId="0" fillId="10" borderId="1" xfId="0" applyFill="1" applyBorder="1" applyAlignment="1">
      <alignment wrapText="1"/>
    </xf>
    <xf numFmtId="1" fontId="0" fillId="10" borderId="4" xfId="0" applyNumberFormat="1" applyFill="1" applyBorder="1"/>
    <xf numFmtId="0" fontId="2" fillId="11" borderId="1" xfId="0" applyFont="1" applyFill="1" applyBorder="1" applyAlignment="1">
      <alignment vertical="top" wrapText="1"/>
    </xf>
    <xf numFmtId="164" fontId="1" fillId="11" borderId="2" xfId="0" applyNumberFormat="1" applyFont="1" applyFill="1" applyBorder="1" applyAlignment="1">
      <alignment vertical="top" wrapText="1"/>
    </xf>
    <xf numFmtId="0" fontId="1" fillId="11" borderId="1" xfId="0" applyFont="1" applyFill="1" applyBorder="1" applyAlignment="1">
      <alignment vertical="top" wrapText="1"/>
    </xf>
    <xf numFmtId="164" fontId="1" fillId="11" borderId="3" xfId="0" applyNumberFormat="1" applyFont="1" applyFill="1" applyBorder="1" applyAlignment="1">
      <alignment vertical="top" wrapText="1"/>
    </xf>
    <xf numFmtId="0" fontId="1" fillId="11" borderId="4" xfId="0" applyFont="1" applyFill="1" applyBorder="1" applyAlignment="1">
      <alignment vertical="top" wrapText="1"/>
    </xf>
    <xf numFmtId="165" fontId="1" fillId="11" borderId="1" xfId="0" applyNumberFormat="1" applyFont="1" applyFill="1" applyBorder="1" applyAlignment="1">
      <alignment vertical="top" wrapText="1"/>
    </xf>
    <xf numFmtId="0" fontId="0" fillId="0" borderId="0" xfId="0" applyAlignment="1">
      <alignment vertical="top" wrapText="1"/>
    </xf>
    <xf numFmtId="14" fontId="1" fillId="11" borderId="1" xfId="0" applyNumberFormat="1" applyFont="1" applyFill="1" applyBorder="1" applyAlignment="1">
      <alignment vertical="top" wrapText="1"/>
    </xf>
    <xf numFmtId="14" fontId="0" fillId="0" borderId="0" xfId="0" applyNumberFormat="1"/>
    <xf numFmtId="167" fontId="0" fillId="14" borderId="1" xfId="0" applyNumberFormat="1" applyFill="1" applyBorder="1"/>
    <xf numFmtId="167" fontId="0" fillId="3" borderId="1" xfId="0" applyNumberFormat="1" applyFill="1" applyBorder="1"/>
    <xf numFmtId="167" fontId="0" fillId="4" borderId="1" xfId="0" applyNumberFormat="1" applyFill="1" applyBorder="1"/>
    <xf numFmtId="167" fontId="0" fillId="5" borderId="1" xfId="0" applyNumberFormat="1" applyFill="1" applyBorder="1"/>
    <xf numFmtId="167" fontId="0" fillId="6" borderId="8" xfId="0" applyNumberFormat="1" applyFill="1" applyBorder="1"/>
    <xf numFmtId="167" fontId="0" fillId="6" borderId="1" xfId="0" applyNumberFormat="1" applyFill="1" applyBorder="1"/>
    <xf numFmtId="167" fontId="0" fillId="7" borderId="1" xfId="0" applyNumberFormat="1" applyFill="1" applyBorder="1"/>
    <xf numFmtId="167" fontId="0" fillId="8" borderId="1" xfId="0" applyNumberFormat="1" applyFill="1" applyBorder="1"/>
    <xf numFmtId="167" fontId="0" fillId="9" borderId="1" xfId="0" applyNumberFormat="1" applyFill="1" applyBorder="1"/>
    <xf numFmtId="167" fontId="0" fillId="10" borderId="1" xfId="0" applyNumberFormat="1" applyFill="1" applyBorder="1"/>
    <xf numFmtId="164" fontId="0" fillId="14" borderId="1" xfId="0" applyNumberFormat="1" applyFill="1" applyBorder="1" applyAlignment="1">
      <alignment wrapText="1"/>
    </xf>
    <xf numFmtId="0" fontId="7" fillId="14" borderId="1" xfId="1" applyFill="1" applyBorder="1" applyAlignment="1"/>
    <xf numFmtId="0" fontId="0" fillId="14" borderId="0" xfId="0" applyFill="1"/>
    <xf numFmtId="15" fontId="0" fillId="6" borderId="1" xfId="0" applyNumberFormat="1" applyFill="1" applyBorder="1" applyAlignment="1">
      <alignment wrapText="1"/>
    </xf>
    <xf numFmtId="0" fontId="0" fillId="7" borderId="1" xfId="0" applyFill="1" applyBorder="1" applyAlignment="1">
      <alignment vertical="top" wrapText="1"/>
    </xf>
    <xf numFmtId="164" fontId="0" fillId="4" borderId="1" xfId="0" applyNumberFormat="1" applyFill="1" applyBorder="1" applyAlignment="1">
      <alignment vertical="top" wrapText="1"/>
    </xf>
    <xf numFmtId="0" fontId="15" fillId="11" borderId="1" xfId="0" applyFont="1" applyFill="1" applyBorder="1" applyAlignment="1">
      <alignment vertical="top" wrapText="1"/>
    </xf>
    <xf numFmtId="0" fontId="16" fillId="11" borderId="1" xfId="0" applyFont="1" applyFill="1" applyBorder="1" applyAlignment="1">
      <alignment vertical="top" wrapText="1"/>
    </xf>
    <xf numFmtId="2" fontId="16" fillId="11" borderId="1" xfId="0" applyNumberFormat="1" applyFont="1" applyFill="1" applyBorder="1" applyAlignment="1">
      <alignment vertical="top" wrapText="1"/>
    </xf>
    <xf numFmtId="0" fontId="0" fillId="15" borderId="0" xfId="0" applyFill="1"/>
    <xf numFmtId="0" fontId="17" fillId="15" borderId="1" xfId="0" applyFont="1" applyFill="1" applyBorder="1"/>
    <xf numFmtId="10" fontId="17" fillId="15" borderId="1" xfId="0" applyNumberFormat="1" applyFont="1" applyFill="1" applyBorder="1"/>
    <xf numFmtId="168" fontId="17" fillId="15" borderId="1" xfId="0" applyNumberFormat="1" applyFont="1" applyFill="1" applyBorder="1"/>
    <xf numFmtId="1" fontId="0" fillId="4" borderId="4" xfId="0" applyNumberFormat="1" applyFill="1" applyBorder="1" applyAlignment="1">
      <alignment vertical="top" wrapText="1"/>
    </xf>
    <xf numFmtId="0" fontId="0" fillId="10" borderId="0" xfId="0" applyFill="1"/>
    <xf numFmtId="0" fontId="0" fillId="10" borderId="0" xfId="0" applyFill="1" applyAlignment="1">
      <alignment wrapText="1"/>
    </xf>
    <xf numFmtId="0" fontId="7" fillId="6" borderId="1" xfId="1" applyFill="1" applyBorder="1" applyAlignment="1">
      <alignment wrapText="1"/>
    </xf>
    <xf numFmtId="0" fontId="1" fillId="16" borderId="0" xfId="0" applyFont="1" applyFill="1"/>
    <xf numFmtId="9" fontId="0" fillId="0" borderId="1" xfId="3" applyFont="1" applyBorder="1"/>
    <xf numFmtId="1" fontId="0" fillId="10" borderId="4" xfId="0" applyNumberFormat="1" applyFill="1" applyBorder="1" applyAlignment="1">
      <alignment wrapText="1"/>
    </xf>
    <xf numFmtId="0" fontId="18" fillId="8" borderId="1" xfId="0" applyFont="1" applyFill="1" applyBorder="1"/>
    <xf numFmtId="164" fontId="18" fillId="9" borderId="1" xfId="0" applyNumberFormat="1" applyFont="1" applyFill="1" applyBorder="1"/>
    <xf numFmtId="0" fontId="3" fillId="17" borderId="1" xfId="0" applyFont="1" applyFill="1" applyBorder="1" applyAlignment="1">
      <alignment wrapText="1"/>
    </xf>
    <xf numFmtId="164" fontId="0" fillId="17" borderId="1" xfId="0" applyNumberFormat="1" applyFill="1" applyBorder="1"/>
    <xf numFmtId="0" fontId="6" fillId="17" borderId="1" xfId="0" applyFont="1" applyFill="1" applyBorder="1" applyAlignment="1">
      <alignment wrapText="1"/>
    </xf>
    <xf numFmtId="166" fontId="0" fillId="17" borderId="1" xfId="0" applyNumberFormat="1" applyFill="1" applyBorder="1"/>
    <xf numFmtId="166" fontId="0" fillId="10" borderId="1" xfId="0" applyNumberFormat="1" applyFill="1" applyBorder="1" applyAlignment="1">
      <alignment horizontal="right" wrapText="1"/>
    </xf>
    <xf numFmtId="166" fontId="0" fillId="10" borderId="1" xfId="0" applyNumberFormat="1" applyFill="1" applyBorder="1" applyAlignment="1">
      <alignment horizontal="right"/>
    </xf>
    <xf numFmtId="0" fontId="7" fillId="4" borderId="1" xfId="1" applyFill="1" applyBorder="1"/>
    <xf numFmtId="0" fontId="7" fillId="7" borderId="1" xfId="1" applyFill="1" applyBorder="1"/>
    <xf numFmtId="164" fontId="0" fillId="10" borderId="2" xfId="0" applyNumberFormat="1" applyFill="1" applyBorder="1"/>
    <xf numFmtId="0" fontId="0" fillId="10" borderId="2" xfId="0" applyFill="1" applyBorder="1" applyAlignment="1">
      <alignment wrapText="1"/>
    </xf>
    <xf numFmtId="167" fontId="0" fillId="10" borderId="2" xfId="0" applyNumberFormat="1" applyFill="1" applyBorder="1"/>
    <xf numFmtId="166" fontId="0" fillId="10" borderId="2" xfId="0" applyNumberFormat="1" applyFill="1" applyBorder="1"/>
    <xf numFmtId="166" fontId="0" fillId="10" borderId="2" xfId="0" applyNumberFormat="1" applyFill="1" applyBorder="1" applyAlignment="1">
      <alignment horizontal="right" wrapText="1"/>
    </xf>
    <xf numFmtId="166" fontId="0" fillId="10" borderId="2" xfId="0" applyNumberFormat="1" applyFill="1" applyBorder="1" applyAlignment="1">
      <alignment wrapText="1"/>
    </xf>
    <xf numFmtId="164" fontId="0" fillId="10" borderId="11" xfId="0" applyNumberFormat="1" applyFill="1" applyBorder="1"/>
    <xf numFmtId="1" fontId="0" fillId="10" borderId="6" xfId="0" applyNumberFormat="1" applyFill="1" applyBorder="1"/>
    <xf numFmtId="165" fontId="0" fillId="10" borderId="2" xfId="0" applyNumberFormat="1" applyFill="1" applyBorder="1"/>
    <xf numFmtId="0" fontId="0" fillId="18" borderId="14" xfId="0" applyFill="1" applyBorder="1"/>
    <xf numFmtId="0" fontId="3" fillId="18" borderId="14" xfId="0" applyFont="1" applyFill="1" applyBorder="1"/>
    <xf numFmtId="0" fontId="0" fillId="18" borderId="14" xfId="0" applyFill="1" applyBorder="1" applyAlignment="1">
      <alignment horizontal="left"/>
    </xf>
    <xf numFmtId="164" fontId="0" fillId="18" borderId="14" xfId="0" applyNumberFormat="1" applyFill="1" applyBorder="1"/>
    <xf numFmtId="0" fontId="0" fillId="18" borderId="14" xfId="0" applyFill="1" applyBorder="1" applyAlignment="1">
      <alignment horizontal="left" wrapText="1"/>
    </xf>
    <xf numFmtId="0" fontId="0" fillId="18" borderId="14" xfId="0" applyFill="1" applyBorder="1" applyAlignment="1">
      <alignment horizontal="right"/>
    </xf>
    <xf numFmtId="0" fontId="0" fillId="18" borderId="14" xfId="0" applyFill="1" applyBorder="1" applyAlignment="1">
      <alignment horizontal="left" vertical="top"/>
    </xf>
    <xf numFmtId="1" fontId="0" fillId="18" borderId="14" xfId="0" applyNumberFormat="1" applyFill="1" applyBorder="1" applyAlignment="1">
      <alignment horizontal="right"/>
    </xf>
    <xf numFmtId="0" fontId="0" fillId="3" borderId="14" xfId="0" applyFill="1" applyBorder="1"/>
    <xf numFmtId="2" fontId="0" fillId="2" borderId="1" xfId="0" applyNumberFormat="1" applyFill="1" applyBorder="1"/>
    <xf numFmtId="2" fontId="0" fillId="2" borderId="1" xfId="0" quotePrefix="1" applyNumberFormat="1" applyFill="1" applyBorder="1"/>
    <xf numFmtId="2" fontId="0" fillId="14" borderId="1" xfId="0" quotePrefix="1" applyNumberFormat="1" applyFill="1" applyBorder="1"/>
    <xf numFmtId="2" fontId="0" fillId="3" borderId="1" xfId="0" quotePrefix="1" applyNumberFormat="1" applyFill="1" applyBorder="1"/>
    <xf numFmtId="2" fontId="0" fillId="5" borderId="1" xfId="0" quotePrefix="1" applyNumberFormat="1" applyFill="1" applyBorder="1"/>
    <xf numFmtId="2" fontId="0" fillId="5" borderId="1" xfId="0" applyNumberFormat="1" applyFill="1" applyBorder="1"/>
    <xf numFmtId="2" fontId="0" fillId="6" borderId="8" xfId="0" quotePrefix="1" applyNumberFormat="1" applyFill="1" applyBorder="1"/>
    <xf numFmtId="2" fontId="0" fillId="6" borderId="1" xfId="0" quotePrefix="1" applyNumberFormat="1" applyFill="1" applyBorder="1"/>
    <xf numFmtId="2" fontId="0" fillId="6" borderId="1" xfId="0" applyNumberFormat="1" applyFill="1" applyBorder="1"/>
    <xf numFmtId="2" fontId="0" fillId="7" borderId="1" xfId="0" quotePrefix="1" applyNumberFormat="1" applyFill="1" applyBorder="1"/>
    <xf numFmtId="2" fontId="0" fillId="7" borderId="1" xfId="0" applyNumberFormat="1" applyFill="1" applyBorder="1"/>
    <xf numFmtId="2" fontId="0" fillId="8" borderId="1" xfId="0" applyNumberFormat="1" applyFill="1" applyBorder="1"/>
    <xf numFmtId="2" fontId="0" fillId="8" borderId="1" xfId="0" quotePrefix="1" applyNumberFormat="1" applyFill="1" applyBorder="1"/>
    <xf numFmtId="2" fontId="0" fillId="9" borderId="1" xfId="0" applyNumberFormat="1" applyFill="1" applyBorder="1"/>
    <xf numFmtId="2" fontId="0" fillId="9" borderId="1" xfId="0" quotePrefix="1" applyNumberFormat="1" applyFill="1" applyBorder="1"/>
    <xf numFmtId="2" fontId="0" fillId="3" borderId="1" xfId="0" applyNumberFormat="1" applyFill="1" applyBorder="1" applyAlignment="1">
      <alignment wrapText="1"/>
    </xf>
    <xf numFmtId="2" fontId="0" fillId="10" borderId="1" xfId="0" quotePrefix="1" applyNumberFormat="1" applyFill="1" applyBorder="1"/>
    <xf numFmtId="2" fontId="0" fillId="10" borderId="2" xfId="0" quotePrefix="1" applyNumberFormat="1" applyFill="1" applyBorder="1"/>
    <xf numFmtId="0" fontId="0" fillId="18" borderId="14" xfId="0" quotePrefix="1" applyFill="1" applyBorder="1" applyAlignment="1">
      <alignment horizontal="left" wrapText="1"/>
    </xf>
    <xf numFmtId="0" fontId="3" fillId="3" borderId="14" xfId="0" applyFont="1" applyFill="1" applyBorder="1"/>
    <xf numFmtId="0" fontId="0" fillId="3" borderId="14" xfId="0" quotePrefix="1" applyFill="1" applyBorder="1" applyAlignment="1">
      <alignment horizontal="left" wrapText="1"/>
    </xf>
    <xf numFmtId="0" fontId="7" fillId="18" borderId="14" xfId="1" applyFill="1" applyBorder="1" applyAlignment="1"/>
    <xf numFmtId="2" fontId="0" fillId="19" borderId="2" xfId="0" quotePrefix="1" applyNumberFormat="1" applyFill="1" applyBorder="1"/>
    <xf numFmtId="164" fontId="0" fillId="19" borderId="2" xfId="0" applyNumberFormat="1" applyFill="1" applyBorder="1"/>
    <xf numFmtId="166" fontId="0" fillId="19" borderId="2" xfId="0" applyNumberFormat="1" applyFill="1" applyBorder="1"/>
    <xf numFmtId="0" fontId="0" fillId="19" borderId="2" xfId="0" applyFill="1" applyBorder="1"/>
    <xf numFmtId="165" fontId="0" fillId="3" borderId="0" xfId="0" applyNumberFormat="1" applyFill="1"/>
    <xf numFmtId="0" fontId="10" fillId="3" borderId="1" xfId="0" applyFont="1" applyFill="1" applyBorder="1" applyAlignment="1">
      <alignment wrapText="1"/>
    </xf>
    <xf numFmtId="0" fontId="3" fillId="3" borderId="1" xfId="0" applyFont="1" applyFill="1" applyBorder="1" applyAlignment="1">
      <alignment wrapText="1"/>
    </xf>
    <xf numFmtId="0" fontId="0" fillId="0" borderId="15" xfId="0" applyBorder="1"/>
    <xf numFmtId="0" fontId="1" fillId="11" borderId="3" xfId="0" applyFont="1" applyFill="1" applyBorder="1" applyAlignment="1">
      <alignment vertical="top" wrapText="1"/>
    </xf>
    <xf numFmtId="0" fontId="0" fillId="2" borderId="3" xfId="0" applyFill="1" applyBorder="1"/>
    <xf numFmtId="0" fontId="0" fillId="14" borderId="3" xfId="0" applyFill="1" applyBorder="1"/>
    <xf numFmtId="0" fontId="0" fillId="4" borderId="3" xfId="0" applyFill="1" applyBorder="1"/>
    <xf numFmtId="0" fontId="0" fillId="5" borderId="3" xfId="0" applyFill="1" applyBorder="1"/>
    <xf numFmtId="0" fontId="0" fillId="6" borderId="12" xfId="0" applyFill="1" applyBorder="1"/>
    <xf numFmtId="0" fontId="0" fillId="6" borderId="3" xfId="0" applyFill="1" applyBorder="1"/>
    <xf numFmtId="0" fontId="0" fillId="7" borderId="3" xfId="0" applyFill="1" applyBorder="1"/>
    <xf numFmtId="0" fontId="0" fillId="8" borderId="3" xfId="0" applyFill="1" applyBorder="1"/>
    <xf numFmtId="0" fontId="0" fillId="9" borderId="3" xfId="0" applyFill="1" applyBorder="1"/>
    <xf numFmtId="0" fontId="0" fillId="10" borderId="3" xfId="0" applyFill="1" applyBorder="1"/>
    <xf numFmtId="0" fontId="0" fillId="10" borderId="11" xfId="0" applyFill="1" applyBorder="1"/>
    <xf numFmtId="0" fontId="0" fillId="18" borderId="16" xfId="0" applyFill="1" applyBorder="1"/>
    <xf numFmtId="0" fontId="0" fillId="14" borderId="15" xfId="0" applyFill="1" applyBorder="1"/>
    <xf numFmtId="0" fontId="0" fillId="18" borderId="1" xfId="0" applyFill="1" applyBorder="1"/>
    <xf numFmtId="164" fontId="0" fillId="10" borderId="1" xfId="0" applyNumberFormat="1" applyFill="1" applyBorder="1" applyAlignment="1">
      <alignment wrapText="1"/>
    </xf>
    <xf numFmtId="0" fontId="7" fillId="9" borderId="1" xfId="1" applyFill="1" applyBorder="1"/>
    <xf numFmtId="0" fontId="7" fillId="2" borderId="1" xfId="1" applyFill="1" applyBorder="1"/>
    <xf numFmtId="0" fontId="7" fillId="8" borderId="1" xfId="1" applyFill="1" applyBorder="1"/>
    <xf numFmtId="0" fontId="7" fillId="6" borderId="1" xfId="1" applyFill="1" applyBorder="1"/>
    <xf numFmtId="0" fontId="7" fillId="5" borderId="1" xfId="1" applyFill="1" applyBorder="1"/>
    <xf numFmtId="0" fontId="7" fillId="3" borderId="1" xfId="1" applyFill="1" applyBorder="1"/>
    <xf numFmtId="9" fontId="0" fillId="0" borderId="0" xfId="3" applyFont="1"/>
    <xf numFmtId="0" fontId="0" fillId="18" borderId="14" xfId="0" applyFill="1" applyBorder="1" applyAlignment="1">
      <alignment horizontal="left" vertical="top" wrapText="1"/>
    </xf>
    <xf numFmtId="0" fontId="7" fillId="10" borderId="1" xfId="1" applyFill="1" applyBorder="1"/>
    <xf numFmtId="0" fontId="0" fillId="0" borderId="13" xfId="0" applyBorder="1" applyAlignment="1">
      <alignment horizontal="right"/>
    </xf>
    <xf numFmtId="164" fontId="1" fillId="11" borderId="2" xfId="0" applyNumberFormat="1" applyFont="1" applyFill="1" applyBorder="1" applyAlignment="1">
      <alignment vertical="center"/>
    </xf>
    <xf numFmtId="0" fontId="9" fillId="2" borderId="4" xfId="0" applyFont="1" applyFill="1" applyBorder="1" applyAlignment="1">
      <alignment vertical="center" wrapText="1"/>
    </xf>
    <xf numFmtId="0" fontId="3" fillId="2" borderId="4" xfId="0" applyFont="1" applyFill="1" applyBorder="1" applyAlignment="1">
      <alignment vertical="center" wrapText="1"/>
    </xf>
    <xf numFmtId="0" fontId="3" fillId="2" borderId="1" xfId="0" applyFont="1" applyFill="1" applyBorder="1" applyAlignment="1">
      <alignment vertical="center" wrapText="1"/>
    </xf>
    <xf numFmtId="0" fontId="3" fillId="2" borderId="4" xfId="0" applyFont="1" applyFill="1" applyBorder="1" applyAlignment="1">
      <alignment vertical="center"/>
    </xf>
    <xf numFmtId="0" fontId="3" fillId="14" borderId="6" xfId="0" applyFont="1" applyFill="1" applyBorder="1" applyAlignment="1">
      <alignment vertical="center"/>
    </xf>
    <xf numFmtId="164" fontId="0" fillId="3" borderId="1" xfId="0" applyNumberFormat="1" applyFill="1" applyBorder="1" applyAlignment="1">
      <alignment vertical="center"/>
    </xf>
    <xf numFmtId="164" fontId="0" fillId="4" borderId="1" xfId="0" applyNumberFormat="1" applyFill="1" applyBorder="1" applyAlignment="1">
      <alignment vertical="center"/>
    </xf>
    <xf numFmtId="164" fontId="0" fillId="4" borderId="1" xfId="0" applyNumberFormat="1" applyFill="1" applyBorder="1" applyAlignment="1">
      <alignment vertical="center" wrapText="1"/>
    </xf>
    <xf numFmtId="164" fontId="0" fillId="14" borderId="1" xfId="0" applyNumberFormat="1" applyFill="1" applyBorder="1" applyAlignment="1">
      <alignment vertical="center"/>
    </xf>
    <xf numFmtId="0" fontId="0" fillId="3" borderId="0" xfId="0" applyFill="1" applyAlignment="1">
      <alignment vertical="center"/>
    </xf>
    <xf numFmtId="0" fontId="3" fillId="5" borderId="1" xfId="0" applyFont="1" applyFill="1" applyBorder="1" applyAlignment="1">
      <alignment vertical="center" wrapText="1"/>
    </xf>
    <xf numFmtId="0" fontId="3" fillId="5" borderId="4" xfId="0" applyFont="1" applyFill="1" applyBorder="1" applyAlignment="1">
      <alignment vertical="center" wrapText="1"/>
    </xf>
    <xf numFmtId="15" fontId="0" fillId="5" borderId="1" xfId="0" applyNumberFormat="1" applyFill="1" applyBorder="1" applyAlignment="1">
      <alignment vertical="center"/>
    </xf>
    <xf numFmtId="14" fontId="12" fillId="5" borderId="1" xfId="0" applyNumberFormat="1" applyFont="1" applyFill="1" applyBorder="1" applyAlignment="1">
      <alignment vertical="center"/>
    </xf>
    <xf numFmtId="15" fontId="0" fillId="5" borderId="1" xfId="0" applyNumberFormat="1" applyFill="1" applyBorder="1" applyAlignment="1">
      <alignment vertical="center" wrapText="1"/>
    </xf>
    <xf numFmtId="15" fontId="0" fillId="6" borderId="8" xfId="0" applyNumberFormat="1" applyFill="1" applyBorder="1" applyAlignment="1">
      <alignment vertical="center"/>
    </xf>
    <xf numFmtId="15" fontId="0" fillId="6" borderId="1" xfId="0" applyNumberFormat="1" applyFill="1" applyBorder="1" applyAlignment="1">
      <alignment vertical="center"/>
    </xf>
    <xf numFmtId="14" fontId="0" fillId="6" borderId="1" xfId="0" applyNumberFormat="1" applyFill="1" applyBorder="1" applyAlignment="1">
      <alignment vertical="center"/>
    </xf>
    <xf numFmtId="0" fontId="3" fillId="7" borderId="1" xfId="0" applyFont="1" applyFill="1" applyBorder="1" applyAlignment="1">
      <alignment vertical="center" wrapText="1"/>
    </xf>
    <xf numFmtId="14" fontId="12" fillId="7" borderId="1" xfId="0" applyNumberFormat="1" applyFont="1" applyFill="1" applyBorder="1" applyAlignment="1">
      <alignment vertical="center"/>
    </xf>
    <xf numFmtId="0" fontId="3" fillId="7" borderId="1" xfId="0" applyFont="1" applyFill="1" applyBorder="1" applyAlignment="1">
      <alignment vertical="center"/>
    </xf>
    <xf numFmtId="15" fontId="0" fillId="7" borderId="1" xfId="0" applyNumberFormat="1" applyFill="1" applyBorder="1" applyAlignment="1">
      <alignment vertical="center"/>
    </xf>
    <xf numFmtId="0" fontId="0" fillId="3" borderId="1" xfId="0" applyFill="1" applyBorder="1" applyAlignment="1">
      <alignment vertical="center" wrapText="1"/>
    </xf>
    <xf numFmtId="0" fontId="3" fillId="8" borderId="4" xfId="0" applyFont="1" applyFill="1" applyBorder="1" applyAlignment="1">
      <alignment vertical="center"/>
    </xf>
    <xf numFmtId="0" fontId="3" fillId="8" borderId="4" xfId="0" applyFont="1" applyFill="1" applyBorder="1" applyAlignment="1">
      <alignment vertical="center" wrapText="1"/>
    </xf>
    <xf numFmtId="164" fontId="0" fillId="9" borderId="1" xfId="0" applyNumberFormat="1" applyFill="1" applyBorder="1" applyAlignment="1">
      <alignment vertical="center"/>
    </xf>
    <xf numFmtId="164" fontId="0" fillId="6" borderId="1" xfId="0" applyNumberFormat="1" applyFill="1" applyBorder="1" applyAlignment="1">
      <alignment vertical="center"/>
    </xf>
    <xf numFmtId="164" fontId="0" fillId="10" borderId="1" xfId="0" applyNumberFormat="1" applyFill="1" applyBorder="1" applyAlignment="1">
      <alignment vertical="center"/>
    </xf>
    <xf numFmtId="164" fontId="0" fillId="10" borderId="2" xfId="0" applyNumberFormat="1" applyFill="1" applyBorder="1" applyAlignment="1">
      <alignment vertical="center"/>
    </xf>
    <xf numFmtId="0" fontId="0" fillId="18" borderId="14" xfId="0" applyFill="1" applyBorder="1" applyAlignment="1">
      <alignment vertical="center"/>
    </xf>
    <xf numFmtId="0" fontId="19" fillId="0" borderId="0" xfId="0" applyFont="1"/>
    <xf numFmtId="9" fontId="17" fillId="15" borderId="1" xfId="0" applyNumberFormat="1" applyFont="1" applyFill="1" applyBorder="1" applyAlignment="1">
      <alignment horizontal="right"/>
    </xf>
    <xf numFmtId="0" fontId="7" fillId="0" borderId="0" xfId="1"/>
    <xf numFmtId="0" fontId="0" fillId="3" borderId="14" xfId="0" applyFill="1" applyBorder="1" applyAlignment="1">
      <alignment horizontal="left"/>
    </xf>
    <xf numFmtId="164" fontId="0" fillId="3" borderId="14" xfId="0" applyNumberFormat="1" applyFill="1" applyBorder="1"/>
    <xf numFmtId="0" fontId="0" fillId="3" borderId="14" xfId="0" applyFill="1" applyBorder="1" applyAlignment="1">
      <alignment horizontal="left" vertical="top" wrapText="1"/>
    </xf>
    <xf numFmtId="0" fontId="0" fillId="3" borderId="14" xfId="0" applyFill="1" applyBorder="1" applyAlignment="1">
      <alignment horizontal="left" wrapText="1"/>
    </xf>
    <xf numFmtId="164" fontId="0" fillId="3" borderId="2" xfId="0" applyNumberFormat="1" applyFill="1" applyBorder="1"/>
    <xf numFmtId="0" fontId="0" fillId="3" borderId="14" xfId="0" applyFill="1" applyBorder="1" applyAlignment="1">
      <alignment horizontal="right"/>
    </xf>
    <xf numFmtId="0" fontId="0" fillId="3" borderId="14" xfId="0" applyFill="1" applyBorder="1" applyAlignment="1">
      <alignment horizontal="left" vertical="top"/>
    </xf>
    <xf numFmtId="0" fontId="0" fillId="3" borderId="14" xfId="0" applyFill="1" applyBorder="1" applyAlignment="1">
      <alignment vertical="center"/>
    </xf>
    <xf numFmtId="166" fontId="0" fillId="3" borderId="2" xfId="0" applyNumberFormat="1" applyFill="1" applyBorder="1"/>
    <xf numFmtId="0" fontId="0" fillId="3" borderId="16" xfId="0" applyFill="1" applyBorder="1"/>
    <xf numFmtId="166" fontId="0" fillId="3" borderId="3" xfId="0" applyNumberFormat="1" applyFill="1" applyBorder="1"/>
    <xf numFmtId="0" fontId="0" fillId="18" borderId="0" xfId="0" applyFill="1"/>
    <xf numFmtId="166" fontId="0" fillId="19" borderId="2" xfId="0" applyNumberFormat="1" applyFill="1" applyBorder="1" applyAlignment="1">
      <alignment vertical="top" wrapText="1"/>
    </xf>
    <xf numFmtId="0" fontId="0" fillId="18" borderId="14" xfId="0" applyFill="1" applyBorder="1" applyAlignment="1">
      <alignment vertical="top"/>
    </xf>
    <xf numFmtId="0" fontId="0" fillId="3" borderId="14" xfId="0" applyFill="1" applyBorder="1" applyAlignment="1">
      <alignment vertical="top"/>
    </xf>
    <xf numFmtId="0" fontId="3" fillId="18" borderId="17" xfId="0" applyFont="1" applyFill="1" applyBorder="1"/>
    <xf numFmtId="0" fontId="0" fillId="18" borderId="17" xfId="0" applyFill="1" applyBorder="1"/>
    <xf numFmtId="0" fontId="0" fillId="3" borderId="17" xfId="0" applyFill="1" applyBorder="1"/>
    <xf numFmtId="0" fontId="0" fillId="18" borderId="17" xfId="0" applyFill="1" applyBorder="1" applyAlignment="1">
      <alignment horizontal="left"/>
    </xf>
    <xf numFmtId="0" fontId="0" fillId="18" borderId="17" xfId="0" quotePrefix="1" applyFill="1" applyBorder="1" applyAlignment="1">
      <alignment horizontal="left" wrapText="1"/>
    </xf>
    <xf numFmtId="164" fontId="0" fillId="18" borderId="17" xfId="0" applyNumberFormat="1" applyFill="1" applyBorder="1"/>
    <xf numFmtId="0" fontId="0" fillId="18" borderId="17" xfId="0" applyFill="1" applyBorder="1" applyAlignment="1">
      <alignment horizontal="left" vertical="top" wrapText="1"/>
    </xf>
    <xf numFmtId="0" fontId="0" fillId="18" borderId="17" xfId="0" applyFill="1" applyBorder="1" applyAlignment="1">
      <alignment horizontal="left" wrapText="1"/>
    </xf>
    <xf numFmtId="164" fontId="0" fillId="19" borderId="17" xfId="0" applyNumberFormat="1" applyFill="1" applyBorder="1"/>
    <xf numFmtId="0" fontId="0" fillId="18" borderId="17" xfId="0" applyFill="1" applyBorder="1" applyAlignment="1">
      <alignment horizontal="right"/>
    </xf>
    <xf numFmtId="0" fontId="0" fillId="18" borderId="17" xfId="0" applyFill="1" applyBorder="1" applyAlignment="1">
      <alignment horizontal="left" vertical="top"/>
    </xf>
    <xf numFmtId="0" fontId="0" fillId="18" borderId="17" xfId="0" applyFill="1" applyBorder="1" applyAlignment="1">
      <alignment vertical="center"/>
    </xf>
    <xf numFmtId="166" fontId="0" fillId="19" borderId="17" xfId="0" applyNumberFormat="1" applyFill="1" applyBorder="1"/>
    <xf numFmtId="0" fontId="0" fillId="19" borderId="17" xfId="0" applyFill="1" applyBorder="1"/>
    <xf numFmtId="0" fontId="0" fillId="18" borderId="18" xfId="0" applyFill="1" applyBorder="1"/>
    <xf numFmtId="0" fontId="0" fillId="18" borderId="2" xfId="0" applyFill="1" applyBorder="1"/>
    <xf numFmtId="0" fontId="0" fillId="20" borderId="14" xfId="0" applyFill="1" applyBorder="1"/>
    <xf numFmtId="0" fontId="20" fillId="20" borderId="14" xfId="0" applyFont="1" applyFill="1" applyBorder="1"/>
    <xf numFmtId="164" fontId="0" fillId="20" borderId="17" xfId="0" applyNumberFormat="1" applyFill="1" applyBorder="1"/>
    <xf numFmtId="0" fontId="0" fillId="20" borderId="16" xfId="0" applyFill="1" applyBorder="1" applyAlignment="1">
      <alignment horizontal="left" vertical="top" wrapText="1"/>
    </xf>
    <xf numFmtId="0" fontId="0" fillId="20" borderId="14" xfId="0" applyFill="1" applyBorder="1" applyAlignment="1">
      <alignment horizontal="left"/>
    </xf>
    <xf numFmtId="0" fontId="0" fillId="20" borderId="16" xfId="0" applyFill="1" applyBorder="1"/>
    <xf numFmtId="0" fontId="0" fillId="20" borderId="14" xfId="0" applyFill="1" applyBorder="1" applyAlignment="1">
      <alignment horizontal="right"/>
    </xf>
    <xf numFmtId="0" fontId="0" fillId="20" borderId="14" xfId="0" applyFill="1" applyBorder="1" applyAlignment="1">
      <alignment horizontal="left" vertical="top"/>
    </xf>
    <xf numFmtId="164" fontId="0" fillId="20" borderId="3" xfId="0" applyNumberFormat="1" applyFill="1" applyBorder="1"/>
    <xf numFmtId="0" fontId="0" fillId="20" borderId="16" xfId="0" applyFill="1" applyBorder="1" applyAlignment="1">
      <alignment vertical="center"/>
    </xf>
    <xf numFmtId="164" fontId="0" fillId="20" borderId="14" xfId="0" applyNumberFormat="1" applyFill="1" applyBorder="1"/>
    <xf numFmtId="0" fontId="0" fillId="20" borderId="16" xfId="0" applyFill="1" applyBorder="1" applyAlignment="1">
      <alignment horizontal="right"/>
    </xf>
    <xf numFmtId="0" fontId="0" fillId="20" borderId="14" xfId="0" applyFill="1" applyBorder="1" applyAlignment="1">
      <alignment horizontal="left" wrapText="1"/>
    </xf>
    <xf numFmtId="0" fontId="0" fillId="18" borderId="19" xfId="0" applyFill="1" applyBorder="1"/>
    <xf numFmtId="0" fontId="0" fillId="20" borderId="20" xfId="0" applyFill="1" applyBorder="1"/>
    <xf numFmtId="0" fontId="3" fillId="20" borderId="14" xfId="0" applyFont="1" applyFill="1" applyBorder="1"/>
    <xf numFmtId="0" fontId="20" fillId="20" borderId="16" xfId="0" applyFont="1" applyFill="1" applyBorder="1"/>
    <xf numFmtId="0" fontId="22" fillId="20" borderId="14" xfId="0" applyFont="1" applyFill="1" applyBorder="1"/>
    <xf numFmtId="0" fontId="22" fillId="20" borderId="16" xfId="0" applyFont="1" applyFill="1" applyBorder="1"/>
    <xf numFmtId="2" fontId="0" fillId="20" borderId="14" xfId="0" applyNumberFormat="1" applyFill="1" applyBorder="1"/>
    <xf numFmtId="0" fontId="0" fillId="20" borderId="17" xfId="0" applyFill="1" applyBorder="1"/>
    <xf numFmtId="166" fontId="0" fillId="20" borderId="17" xfId="0" applyNumberFormat="1" applyFill="1" applyBorder="1"/>
    <xf numFmtId="0" fontId="3" fillId="20" borderId="17" xfId="0" applyFont="1" applyFill="1" applyBorder="1"/>
    <xf numFmtId="0" fontId="21" fillId="20" borderId="14" xfId="0" applyFont="1" applyFill="1" applyBorder="1"/>
    <xf numFmtId="0" fontId="7" fillId="20" borderId="17" xfId="1" applyFill="1" applyBorder="1"/>
    <xf numFmtId="0" fontId="0" fillId="21" borderId="14" xfId="0" applyFill="1" applyBorder="1"/>
    <xf numFmtId="164" fontId="0" fillId="21" borderId="2" xfId="0" applyNumberFormat="1" applyFill="1" applyBorder="1"/>
    <xf numFmtId="0" fontId="7" fillId="10" borderId="2" xfId="1" applyFill="1" applyBorder="1"/>
    <xf numFmtId="0" fontId="0" fillId="0" borderId="0" xfId="0" applyNumberFormat="1"/>
  </cellXfs>
  <cellStyles count="4">
    <cellStyle name="Hyperlink" xfId="1" builtinId="8"/>
    <cellStyle name="Normal" xfId="0" builtinId="0"/>
    <cellStyle name="Normal 2" xfId="2" xr:uid="{00000000-0005-0000-0000-000002000000}"/>
    <cellStyle name="Per cent" xfId="3" builtinId="5"/>
  </cellStyles>
  <dxfs count="14">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numFmt numFmtId="169" formatCode="dd/mm/yyyy"/>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vertical="bottom" textRotation="0" wrapText="0" indent="0" justifyLastLine="0" shrinkToFit="0" readingOrder="0"/>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dxf>
    <dxf>
      <border outline="0">
        <bottom style="thin">
          <color indexed="64"/>
        </bottom>
      </border>
    </dxf>
    <dxf>
      <border outline="0">
        <left style="thin">
          <color indexed="64"/>
        </left>
        <right style="thin">
          <color indexed="64"/>
        </right>
        <top style="thin">
          <color indexed="64"/>
        </top>
      </border>
    </dxf>
    <dxf>
      <numFmt numFmtId="168" formatCode="0.0%"/>
    </dxf>
    <dxf>
      <numFmt numFmtId="0" formatCode="General"/>
    </dxf>
  </dxfs>
  <tableStyles count="0" defaultTableStyle="TableStyleMedium2" defaultPivotStyle="PivotStyleLight16"/>
  <colors>
    <mruColors>
      <color rgb="FFFFF2CC"/>
      <color rgb="FFEDEDED"/>
      <color rgb="FFFF00FF"/>
      <color rgb="FF3ED24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4.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pivotCacheDefinition" Target="pivotCache/pivotCacheDefinition3.xml"/><Relationship Id="rId4" Type="http://schemas.openxmlformats.org/officeDocument/2006/relationships/worksheet" Target="worksheets/sheet4.xml"/><Relationship Id="rId9" Type="http://schemas.openxmlformats.org/officeDocument/2006/relationships/pivotCacheDefinition" Target="pivotCache/pivotCacheDefinition2.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Analysis!PivotTable4</c:name>
    <c:fmtId val="1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status</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pivotFmt>
      <c:pivotFmt>
        <c:idx val="11"/>
      </c:pivotFmt>
      <c:pivotFmt>
        <c:idx val="12"/>
      </c:pivotFmt>
      <c:pivotFmt>
        <c:idx val="13"/>
      </c:pivotFmt>
      <c:pivotFmt>
        <c:idx val="14"/>
      </c:pivotFmt>
      <c:pivotFmt>
        <c:idx val="15"/>
      </c:pivotFmt>
      <c:pivotFmt>
        <c:idx val="16"/>
      </c:pivotFmt>
      <c:pivotFmt>
        <c:idx val="17"/>
      </c:pivotFmt>
      <c:pivotFmt>
        <c:idx val="18"/>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0"/>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0157606703656424"/>
          <c:y val="8.7962962962962965E-2"/>
          <c:w val="0.88573345466648135"/>
          <c:h val="0.69873432487605724"/>
        </c:manualLayout>
      </c:layout>
      <c:barChart>
        <c:barDir val="col"/>
        <c:grouping val="stacked"/>
        <c:varyColors val="0"/>
        <c:ser>
          <c:idx val="0"/>
          <c:order val="0"/>
          <c:tx>
            <c:strRef>
              <c:f>'Pivot Analysis'!$B$28:$B$29</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Analysis'!$B$30:$B$42</c:f>
              <c:numCache>
                <c:formatCode>General</c:formatCode>
                <c:ptCount val="12"/>
                <c:pt idx="0">
                  <c:v>20</c:v>
                </c:pt>
                <c:pt idx="1">
                  <c:v>15</c:v>
                </c:pt>
                <c:pt idx="2">
                  <c:v>18</c:v>
                </c:pt>
                <c:pt idx="3">
                  <c:v>25</c:v>
                </c:pt>
                <c:pt idx="4">
                  <c:v>18</c:v>
                </c:pt>
                <c:pt idx="5">
                  <c:v>24</c:v>
                </c:pt>
                <c:pt idx="6">
                  <c:v>24</c:v>
                </c:pt>
                <c:pt idx="7">
                  <c:v>17</c:v>
                </c:pt>
                <c:pt idx="8">
                  <c:v>16</c:v>
                </c:pt>
                <c:pt idx="9">
                  <c:v>19</c:v>
                </c:pt>
              </c:numCache>
            </c:numRef>
          </c:val>
          <c:extLst>
            <c:ext xmlns:c16="http://schemas.microsoft.com/office/drawing/2014/chart" uri="{C3380CC4-5D6E-409C-BE32-E72D297353CC}">
              <c16:uniqueId val="{00000000-7DFD-4843-8442-CF05B95528F6}"/>
            </c:ext>
          </c:extLst>
        </c:ser>
        <c:ser>
          <c:idx val="1"/>
          <c:order val="1"/>
          <c:tx>
            <c:strRef>
              <c:f>'Pivot Analysis'!$C$28:$C$29</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Analysis'!$C$30:$C$42</c:f>
              <c:numCache>
                <c:formatCode>General</c:formatCode>
                <c:ptCount val="12"/>
                <c:pt idx="1">
                  <c:v>1</c:v>
                </c:pt>
                <c:pt idx="2">
                  <c:v>3</c:v>
                </c:pt>
                <c:pt idx="3">
                  <c:v>1</c:v>
                </c:pt>
                <c:pt idx="4">
                  <c:v>2</c:v>
                </c:pt>
                <c:pt idx="7">
                  <c:v>6</c:v>
                </c:pt>
                <c:pt idx="8">
                  <c:v>6</c:v>
                </c:pt>
                <c:pt idx="9">
                  <c:v>5</c:v>
                </c:pt>
                <c:pt idx="10">
                  <c:v>19</c:v>
                </c:pt>
                <c:pt idx="11">
                  <c:v>22</c:v>
                </c:pt>
              </c:numCache>
            </c:numRef>
          </c:val>
          <c:extLst>
            <c:ext xmlns:c16="http://schemas.microsoft.com/office/drawing/2014/chart" uri="{C3380CC4-5D6E-409C-BE32-E72D297353CC}">
              <c16:uniqueId val="{00000001-7DFD-4843-8442-CF05B95528F6}"/>
            </c:ext>
          </c:extLst>
        </c:ser>
        <c:ser>
          <c:idx val="2"/>
          <c:order val="2"/>
          <c:tx>
            <c:strRef>
              <c:f>'Pivot Analysis'!$D$28:$D$29</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Analysis'!$A$30:$A$42</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Analysis'!$D$30:$D$42</c:f>
              <c:numCache>
                <c:formatCode>General</c:formatCode>
                <c:ptCount val="12"/>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7DFD-4843-8442-CF05B95528F6}"/>
            </c:ext>
          </c:extLst>
        </c:ser>
        <c:dLbls>
          <c:dLblPos val="ctr"/>
          <c:showLegendKey val="0"/>
          <c:showVal val="1"/>
          <c:showCatName val="0"/>
          <c:showSerName val="0"/>
          <c:showPercent val="0"/>
          <c:showBubbleSize val="0"/>
        </c:dLbls>
        <c:gapWidth val="80"/>
        <c:overlap val="100"/>
        <c:axId val="1651402544"/>
        <c:axId val="1651410448"/>
      </c:barChart>
      <c:catAx>
        <c:axId val="1651402544"/>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layout>
            <c:manualLayout>
              <c:xMode val="edge"/>
              <c:yMode val="edge"/>
              <c:x val="0.45102353122814665"/>
              <c:y val="0.8616892680081657"/>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10448"/>
        <c:crosses val="autoZero"/>
        <c:auto val="1"/>
        <c:lblAlgn val="ctr"/>
        <c:lblOffset val="100"/>
        <c:noMultiLvlLbl val="0"/>
      </c:catAx>
      <c:valAx>
        <c:axId val="1651410448"/>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a:t>
                </a:r>
              </a:p>
            </c:rich>
          </c:tx>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651402544"/>
        <c:crosses val="autoZero"/>
        <c:crossBetween val="between"/>
      </c:valAx>
      <c:spPr>
        <a:noFill/>
        <a:ln>
          <a:noFill/>
        </a:ln>
        <a:effectLst/>
      </c:spPr>
    </c:plotArea>
    <c:legend>
      <c:legendPos val="b"/>
      <c:layout>
        <c:manualLayout>
          <c:xMode val="edge"/>
          <c:yMode val="edge"/>
          <c:x val="0.23535473939459989"/>
          <c:y val="0.91724482356372106"/>
          <c:w val="0.52929052121080022"/>
          <c:h val="5.497739865850100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Analysis!PivotTable2</c:name>
    <c:fmtId val="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baseline="0"/>
              <a:t>No. of fellows by institution of registration</a:t>
            </a:r>
            <a:endParaRPr lang="en-US"/>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pivotFmt>
      <c:pivotFmt>
        <c:idx val="1"/>
      </c:pivotFmt>
      <c:pivotFmt>
        <c:idx val="2"/>
      </c:pivotFmt>
      <c:pivotFmt>
        <c:idx val="3"/>
      </c:pivotFmt>
      <c:pivotFmt>
        <c:idx val="4"/>
      </c:pivotFmt>
      <c:pivotFmt>
        <c:idx val="5"/>
      </c:pivotFmt>
      <c:pivotFmt>
        <c:idx val="6"/>
      </c:pivotFmt>
      <c:pivotFmt>
        <c:idx val="7"/>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8417951020409543"/>
          <c:y val="0.14489916480236423"/>
          <c:w val="0.68244685495391899"/>
          <c:h val="0.67807269373076162"/>
        </c:manualLayout>
      </c:layout>
      <c:barChart>
        <c:barDir val="bar"/>
        <c:grouping val="stacked"/>
        <c:varyColors val="0"/>
        <c:ser>
          <c:idx val="0"/>
          <c:order val="0"/>
          <c:tx>
            <c:strRef>
              <c:f>'Pivot Analysis'!$B$4:$B$5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Analysis'!$B$6:$B$16</c:f>
              <c:numCache>
                <c:formatCode>General</c:formatCode>
                <c:ptCount val="10"/>
                <c:pt idx="0">
                  <c:v>17</c:v>
                </c:pt>
                <c:pt idx="1">
                  <c:v>7</c:v>
                </c:pt>
                <c:pt idx="2">
                  <c:v>19</c:v>
                </c:pt>
                <c:pt idx="3">
                  <c:v>6</c:v>
                </c:pt>
                <c:pt idx="4">
                  <c:v>28</c:v>
                </c:pt>
                <c:pt idx="5">
                  <c:v>22</c:v>
                </c:pt>
                <c:pt idx="6">
                  <c:v>6</c:v>
                </c:pt>
                <c:pt idx="7">
                  <c:v>16</c:v>
                </c:pt>
                <c:pt idx="8">
                  <c:v>74</c:v>
                </c:pt>
              </c:numCache>
            </c:numRef>
          </c:val>
          <c:extLst>
            <c:ext xmlns:c16="http://schemas.microsoft.com/office/drawing/2014/chart" uri="{C3380CC4-5D6E-409C-BE32-E72D297353CC}">
              <c16:uniqueId val="{00000000-50FB-404A-8FD1-17DDC4779808}"/>
            </c:ext>
          </c:extLst>
        </c:ser>
        <c:ser>
          <c:idx val="1"/>
          <c:order val="1"/>
          <c:tx>
            <c:strRef>
              <c:f>'Pivot Analysis'!$C$4:$C$5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Analysis'!$C$6:$C$16</c:f>
              <c:numCache>
                <c:formatCode>General</c:formatCode>
                <c:ptCount val="10"/>
                <c:pt idx="0">
                  <c:v>3</c:v>
                </c:pt>
                <c:pt idx="1">
                  <c:v>5</c:v>
                </c:pt>
                <c:pt idx="2">
                  <c:v>1</c:v>
                </c:pt>
                <c:pt idx="4">
                  <c:v>7</c:v>
                </c:pt>
                <c:pt idx="5">
                  <c:v>8</c:v>
                </c:pt>
                <c:pt idx="6">
                  <c:v>2</c:v>
                </c:pt>
                <c:pt idx="7">
                  <c:v>2</c:v>
                </c:pt>
                <c:pt idx="8">
                  <c:v>8</c:v>
                </c:pt>
                <c:pt idx="9">
                  <c:v>30</c:v>
                </c:pt>
              </c:numCache>
            </c:numRef>
          </c:val>
          <c:extLst>
            <c:ext xmlns:c16="http://schemas.microsoft.com/office/drawing/2014/chart" uri="{C3380CC4-5D6E-409C-BE32-E72D297353CC}">
              <c16:uniqueId val="{00000001-1DAB-4D2D-92C2-4292881340C8}"/>
            </c:ext>
          </c:extLst>
        </c:ser>
        <c:ser>
          <c:idx val="2"/>
          <c:order val="2"/>
          <c:tx>
            <c:strRef>
              <c:f>'Pivot Analysis'!$D$4:$D$5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Analysis'!$D$6:$D$16</c:f>
              <c:numCache>
                <c:formatCode>General</c:formatCode>
                <c:ptCount val="10"/>
                <c:pt idx="0">
                  <c:v>3</c:v>
                </c:pt>
                <c:pt idx="3">
                  <c:v>2</c:v>
                </c:pt>
                <c:pt idx="5">
                  <c:v>5</c:v>
                </c:pt>
                <c:pt idx="7">
                  <c:v>3</c:v>
                </c:pt>
                <c:pt idx="8">
                  <c:v>8</c:v>
                </c:pt>
                <c:pt idx="9">
                  <c:v>5</c:v>
                </c:pt>
              </c:numCache>
            </c:numRef>
          </c:val>
          <c:extLst>
            <c:ext xmlns:c16="http://schemas.microsoft.com/office/drawing/2014/chart" uri="{C3380CC4-5D6E-409C-BE32-E72D297353CC}">
              <c16:uniqueId val="{00000002-1DAB-4D2D-92C2-4292881340C8}"/>
            </c:ext>
          </c:extLst>
        </c:ser>
        <c:ser>
          <c:idx val="3"/>
          <c:order val="3"/>
          <c:tx>
            <c:strRef>
              <c:f>'Pivot Analysis'!$E$4:$E$5</c:f>
              <c:strCache>
                <c:ptCount val="1"/>
                <c:pt idx="0">
                  <c:v>(blank)</c:v>
                </c:pt>
              </c:strCache>
            </c:strRef>
          </c:tx>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Analysis'!$A$6:$A$16</c:f>
              <c:strCache>
                <c:ptCount val="10"/>
                <c:pt idx="0">
                  <c:v>Makerere University</c:v>
                </c:pt>
                <c:pt idx="1">
                  <c:v>Moi University</c:v>
                </c:pt>
                <c:pt idx="2">
                  <c:v>Obafemi Awolowo University</c:v>
                </c:pt>
                <c:pt idx="3">
                  <c:v>University of Dar es Salaam</c:v>
                </c:pt>
                <c:pt idx="4">
                  <c:v>University of Ibadan</c:v>
                </c:pt>
                <c:pt idx="5">
                  <c:v>University of Nairobi</c:v>
                </c:pt>
                <c:pt idx="6">
                  <c:v>University of Rwanda</c:v>
                </c:pt>
                <c:pt idx="7">
                  <c:v>University of the Malawi</c:v>
                </c:pt>
                <c:pt idx="8">
                  <c:v>University of the Witwatersrand</c:v>
                </c:pt>
                <c:pt idx="9">
                  <c:v>(blank)</c:v>
                </c:pt>
              </c:strCache>
            </c:strRef>
          </c:cat>
          <c:val>
            <c:numRef>
              <c:f>'Pivot Analysis'!$E$6:$E$16</c:f>
              <c:numCache>
                <c:formatCode>General</c:formatCode>
                <c:ptCount val="10"/>
              </c:numCache>
            </c:numRef>
          </c:val>
          <c:extLst>
            <c:ext xmlns:c16="http://schemas.microsoft.com/office/drawing/2014/chart" uri="{C3380CC4-5D6E-409C-BE32-E72D297353CC}">
              <c16:uniqueId val="{00000000-2150-4F48-B6B8-350B521CF146}"/>
            </c:ext>
          </c:extLst>
        </c:ser>
        <c:dLbls>
          <c:dLblPos val="ctr"/>
          <c:showLegendKey val="0"/>
          <c:showVal val="1"/>
          <c:showCatName val="0"/>
          <c:showSerName val="0"/>
          <c:showPercent val="0"/>
          <c:showBubbleSize val="0"/>
        </c:dLbls>
        <c:gapWidth val="30"/>
        <c:overlap val="100"/>
        <c:axId val="788217359"/>
        <c:axId val="788216527"/>
      </c:barChart>
      <c:catAx>
        <c:axId val="788217359"/>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6527"/>
        <c:crosses val="autoZero"/>
        <c:auto val="1"/>
        <c:lblAlgn val="ctr"/>
        <c:lblOffset val="100"/>
        <c:noMultiLvlLbl val="0"/>
      </c:catAx>
      <c:valAx>
        <c:axId val="788216527"/>
        <c:scaling>
          <c:orientation val="minMax"/>
          <c:max val="85"/>
          <c:min val="0"/>
        </c:scaling>
        <c:delete val="0"/>
        <c:axPos val="b"/>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788217359"/>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Analysis!PivotTable1</c:name>
    <c:fmtId val="3"/>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No. of fellows by institution of employment at registration</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6995681163326468"/>
          <c:y val="0.15188370188370187"/>
          <c:w val="0.69833984688344275"/>
          <c:h val="0.69436436815690927"/>
        </c:manualLayout>
      </c:layout>
      <c:barChart>
        <c:barDir val="bar"/>
        <c:grouping val="stacked"/>
        <c:varyColors val="0"/>
        <c:ser>
          <c:idx val="0"/>
          <c:order val="0"/>
          <c:tx>
            <c:strRef>
              <c:f>'Pivot Analysis'!$I$4:$I$5</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Analysis'!$I$6:$I$20</c:f>
              <c:numCache>
                <c:formatCode>General</c:formatCode>
                <c:ptCount val="14"/>
                <c:pt idx="0">
                  <c:v>1</c:v>
                </c:pt>
                <c:pt idx="1">
                  <c:v>4</c:v>
                </c:pt>
                <c:pt idx="2">
                  <c:v>7</c:v>
                </c:pt>
                <c:pt idx="3">
                  <c:v>19</c:v>
                </c:pt>
                <c:pt idx="4">
                  <c:v>13</c:v>
                </c:pt>
                <c:pt idx="5">
                  <c:v>30</c:v>
                </c:pt>
                <c:pt idx="6">
                  <c:v>4</c:v>
                </c:pt>
                <c:pt idx="7">
                  <c:v>32</c:v>
                </c:pt>
                <c:pt idx="8">
                  <c:v>24</c:v>
                </c:pt>
                <c:pt idx="9">
                  <c:v>17</c:v>
                </c:pt>
                <c:pt idx="10">
                  <c:v>20</c:v>
                </c:pt>
                <c:pt idx="11">
                  <c:v>25</c:v>
                </c:pt>
              </c:numCache>
            </c:numRef>
          </c:val>
          <c:extLst>
            <c:ext xmlns:c16="http://schemas.microsoft.com/office/drawing/2014/chart" uri="{C3380CC4-5D6E-409C-BE32-E72D297353CC}">
              <c16:uniqueId val="{00000000-D3F3-4D17-8831-265827A182CF}"/>
            </c:ext>
          </c:extLst>
        </c:ser>
        <c:ser>
          <c:idx val="1"/>
          <c:order val="1"/>
          <c:tx>
            <c:strRef>
              <c:f>'Pivot Analysis'!$J$4:$J$5</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Analysis'!$J$6:$J$20</c:f>
              <c:numCache>
                <c:formatCode>General</c:formatCode>
                <c:ptCount val="14"/>
                <c:pt idx="0">
                  <c:v>2</c:v>
                </c:pt>
                <c:pt idx="1">
                  <c:v>1</c:v>
                </c:pt>
                <c:pt idx="2">
                  <c:v>2</c:v>
                </c:pt>
                <c:pt idx="3">
                  <c:v>8</c:v>
                </c:pt>
                <c:pt idx="4">
                  <c:v>8</c:v>
                </c:pt>
                <c:pt idx="5">
                  <c:v>3</c:v>
                </c:pt>
                <c:pt idx="7">
                  <c:v>11</c:v>
                </c:pt>
                <c:pt idx="8">
                  <c:v>6</c:v>
                </c:pt>
                <c:pt idx="9">
                  <c:v>7</c:v>
                </c:pt>
                <c:pt idx="10">
                  <c:v>9</c:v>
                </c:pt>
                <c:pt idx="11">
                  <c:v>2</c:v>
                </c:pt>
                <c:pt idx="12">
                  <c:v>2</c:v>
                </c:pt>
                <c:pt idx="13">
                  <c:v>4</c:v>
                </c:pt>
              </c:numCache>
            </c:numRef>
          </c:val>
          <c:extLst>
            <c:ext xmlns:c16="http://schemas.microsoft.com/office/drawing/2014/chart" uri="{C3380CC4-5D6E-409C-BE32-E72D297353CC}">
              <c16:uniqueId val="{00000001-D3F3-4D17-8831-265827A182CF}"/>
            </c:ext>
          </c:extLst>
        </c:ser>
        <c:ser>
          <c:idx val="2"/>
          <c:order val="2"/>
          <c:tx>
            <c:strRef>
              <c:f>'Pivot Analysis'!$K$4:$K$5</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Analysis'!$H$6:$H$20</c:f>
              <c:strCache>
                <c:ptCount val="14"/>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pt idx="13">
                  <c:v>Kamuzu University of Health Sciences (formerly University of Malawi)</c:v>
                </c:pt>
              </c:strCache>
            </c:strRef>
          </c:cat>
          <c:val>
            <c:numRef>
              <c:f>'Pivot Analysis'!$K$6:$K$20</c:f>
              <c:numCache>
                <c:formatCode>General</c:formatCode>
                <c:ptCount val="14"/>
                <c:pt idx="1">
                  <c:v>1</c:v>
                </c:pt>
                <c:pt idx="2">
                  <c:v>1</c:v>
                </c:pt>
                <c:pt idx="3">
                  <c:v>4</c:v>
                </c:pt>
                <c:pt idx="4">
                  <c:v>1</c:v>
                </c:pt>
                <c:pt idx="6">
                  <c:v>2</c:v>
                </c:pt>
                <c:pt idx="8">
                  <c:v>3</c:v>
                </c:pt>
                <c:pt idx="9">
                  <c:v>7</c:v>
                </c:pt>
                <c:pt idx="10">
                  <c:v>2</c:v>
                </c:pt>
                <c:pt idx="11">
                  <c:v>5</c:v>
                </c:pt>
              </c:numCache>
            </c:numRef>
          </c:val>
          <c:extLst>
            <c:ext xmlns:c16="http://schemas.microsoft.com/office/drawing/2014/chart" uri="{C3380CC4-5D6E-409C-BE32-E72D297353CC}">
              <c16:uniqueId val="{00000000-E186-424F-B1B5-EAD2EE81FED9}"/>
            </c:ext>
          </c:extLst>
        </c:ser>
        <c:dLbls>
          <c:dLblPos val="ctr"/>
          <c:showLegendKey val="0"/>
          <c:showVal val="1"/>
          <c:showCatName val="0"/>
          <c:showSerName val="0"/>
          <c:showPercent val="0"/>
          <c:showBubbleSize val="0"/>
        </c:dLbls>
        <c:gapWidth val="40"/>
        <c:overlap val="100"/>
        <c:axId val="1772498847"/>
        <c:axId val="1772515487"/>
      </c:barChart>
      <c:catAx>
        <c:axId val="1772498847"/>
        <c:scaling>
          <c:orientation val="minMax"/>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515487"/>
        <c:crosses val="autoZero"/>
        <c:auto val="1"/>
        <c:lblAlgn val="ctr"/>
        <c:lblOffset val="100"/>
        <c:noMultiLvlLbl val="0"/>
      </c:catAx>
      <c:valAx>
        <c:axId val="1772515487"/>
        <c:scaling>
          <c:orientation val="minMax"/>
          <c:max val="35"/>
        </c:scaling>
        <c:delete val="0"/>
        <c:axPos val="b"/>
        <c:majorGridlines>
          <c:spPr>
            <a:ln w="9525" cap="flat" cmpd="sng" algn="ctr">
              <a:solidFill>
                <a:schemeClr val="lt1">
                  <a:lumMod val="95000"/>
                  <a:alpha val="10000"/>
                </a:schemeClr>
              </a:solidFill>
              <a:round/>
            </a:ln>
            <a:effectLst/>
          </c:spPr>
        </c:majorGridlines>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of fellows</a:t>
                </a:r>
              </a:p>
            </c:rich>
          </c:tx>
          <c:layout>
            <c:manualLayout>
              <c:xMode val="edge"/>
              <c:yMode val="edge"/>
              <c:x val="0.49478883904793075"/>
              <c:y val="0.89157579151978383"/>
            </c:manualLayout>
          </c:layout>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772498847"/>
        <c:crosses val="autoZero"/>
        <c:crossBetween val="between"/>
      </c:valAx>
      <c:spPr>
        <a:noFill/>
        <a:ln>
          <a:noFill/>
        </a:ln>
        <a:effectLst/>
      </c:spPr>
    </c:plotArea>
    <c:legend>
      <c:legendPos val="b"/>
      <c:layout>
        <c:manualLayout>
          <c:xMode val="edge"/>
          <c:yMode val="edge"/>
          <c:x val="0.37004585154239583"/>
          <c:y val="0.93008022271274682"/>
          <c:w val="0.41035114876832307"/>
          <c:h val="5.7894037330705451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Demographics.xlsx]Dashboard!PivotTable3</c:name>
    <c:fmtId val="20"/>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Status by Cohort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pivotFmt>
      <c:pivotFmt>
        <c:idx val="5"/>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9"/>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0"/>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1"/>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2"/>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3"/>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19"/>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percentStacked"/>
        <c:varyColors val="0"/>
        <c:ser>
          <c:idx val="0"/>
          <c:order val="0"/>
          <c:tx>
            <c:strRef>
              <c:f>Dashboard!$C$42:$C$43</c:f>
              <c:strCache>
                <c:ptCount val="1"/>
                <c:pt idx="0">
                  <c:v>Completed</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6887-4CC0-A3EA-4887FF65B906}"/>
              </c:ext>
            </c:extLst>
          </c:dPt>
          <c:dLbls>
            <c:dLbl>
              <c:idx val="8"/>
              <c:delete val="1"/>
              <c:extLst>
                <c:ext xmlns:c15="http://schemas.microsoft.com/office/drawing/2012/chart" uri="{CE6537A1-D6FC-4f65-9D91-7224C49458BB}"/>
                <c:ext xmlns:c16="http://schemas.microsoft.com/office/drawing/2014/chart" uri="{C3380CC4-5D6E-409C-BE32-E72D297353CC}">
                  <c16:uniqueId val="{00000003-6887-4CC0-A3EA-4887FF65B90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Dashboard!$C$44:$C$55</c:f>
              <c:numCache>
                <c:formatCode>General</c:formatCode>
                <c:ptCount val="11"/>
                <c:pt idx="0">
                  <c:v>20</c:v>
                </c:pt>
                <c:pt idx="1">
                  <c:v>15</c:v>
                </c:pt>
                <c:pt idx="2">
                  <c:v>18</c:v>
                </c:pt>
                <c:pt idx="3">
                  <c:v>25</c:v>
                </c:pt>
                <c:pt idx="4">
                  <c:v>18</c:v>
                </c:pt>
                <c:pt idx="5">
                  <c:v>24</c:v>
                </c:pt>
                <c:pt idx="6">
                  <c:v>24</c:v>
                </c:pt>
                <c:pt idx="7">
                  <c:v>17</c:v>
                </c:pt>
                <c:pt idx="8">
                  <c:v>16</c:v>
                </c:pt>
                <c:pt idx="9">
                  <c:v>18</c:v>
                </c:pt>
              </c:numCache>
            </c:numRef>
          </c:val>
          <c:extLst>
            <c:ext xmlns:c16="http://schemas.microsoft.com/office/drawing/2014/chart" uri="{C3380CC4-5D6E-409C-BE32-E72D297353CC}">
              <c16:uniqueId val="{00000000-22EE-489C-932D-53C651FD8410}"/>
            </c:ext>
          </c:extLst>
        </c:ser>
        <c:ser>
          <c:idx val="1"/>
          <c:order val="1"/>
          <c:tx>
            <c:strRef>
              <c:f>Dashboard!$D$42:$D$43</c:f>
              <c:strCache>
                <c:ptCount val="1"/>
                <c:pt idx="0">
                  <c:v>In progress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0"/>
            <c:invertIfNegative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7-22EE-489C-932D-53C651FD8410}"/>
              </c:ext>
            </c:extLst>
          </c:dPt>
          <c:dLbls>
            <c:dLbl>
              <c:idx val="0"/>
              <c:delete val="1"/>
              <c:extLst>
                <c:ext xmlns:c15="http://schemas.microsoft.com/office/drawing/2012/chart" uri="{CE6537A1-D6FC-4f65-9D91-7224C49458BB}"/>
                <c:ext xmlns:c16="http://schemas.microsoft.com/office/drawing/2014/chart" uri="{C3380CC4-5D6E-409C-BE32-E72D297353CC}">
                  <c16:uniqueId val="{00000007-22EE-489C-932D-53C651FD8410}"/>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Dashboard!$D$44:$D$55</c:f>
              <c:numCache>
                <c:formatCode>General</c:formatCode>
                <c:ptCount val="11"/>
                <c:pt idx="1">
                  <c:v>1</c:v>
                </c:pt>
                <c:pt idx="2">
                  <c:v>3</c:v>
                </c:pt>
                <c:pt idx="3">
                  <c:v>1</c:v>
                </c:pt>
                <c:pt idx="4">
                  <c:v>2</c:v>
                </c:pt>
                <c:pt idx="7">
                  <c:v>6</c:v>
                </c:pt>
                <c:pt idx="8">
                  <c:v>6</c:v>
                </c:pt>
                <c:pt idx="9">
                  <c:v>6</c:v>
                </c:pt>
                <c:pt idx="10">
                  <c:v>19</c:v>
                </c:pt>
              </c:numCache>
            </c:numRef>
          </c:val>
          <c:extLst>
            <c:ext xmlns:c16="http://schemas.microsoft.com/office/drawing/2014/chart" uri="{C3380CC4-5D6E-409C-BE32-E72D297353CC}">
              <c16:uniqueId val="{00000001-22EE-489C-932D-53C651FD8410}"/>
            </c:ext>
          </c:extLst>
        </c:ser>
        <c:ser>
          <c:idx val="2"/>
          <c:order val="2"/>
          <c:tx>
            <c:strRef>
              <c:f>Dashboard!$E$42:$E$43</c:f>
              <c:strCache>
                <c:ptCount val="1"/>
                <c:pt idx="0">
                  <c:v>Terminated</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dPt>
            <c:idx val="8"/>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22EE-489C-932D-53C651FD8410}"/>
              </c:ext>
            </c:extLst>
          </c:dPt>
          <c:dPt>
            <c:idx val="9"/>
            <c:invertIfNegative val="0"/>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6-22EE-489C-932D-53C651FD841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Dashboard!$B$44:$B$55</c:f>
              <c:strCache>
                <c:ptCount val="11"/>
                <c:pt idx="0">
                  <c:v>1</c:v>
                </c:pt>
                <c:pt idx="1">
                  <c:v>2</c:v>
                </c:pt>
                <c:pt idx="2">
                  <c:v>3</c:v>
                </c:pt>
                <c:pt idx="3">
                  <c:v>4</c:v>
                </c:pt>
                <c:pt idx="4">
                  <c:v>5</c:v>
                </c:pt>
                <c:pt idx="5">
                  <c:v>6</c:v>
                </c:pt>
                <c:pt idx="6">
                  <c:v>7</c:v>
                </c:pt>
                <c:pt idx="7">
                  <c:v>8</c:v>
                </c:pt>
                <c:pt idx="8">
                  <c:v>9</c:v>
                </c:pt>
                <c:pt idx="9">
                  <c:v>10</c:v>
                </c:pt>
                <c:pt idx="10">
                  <c:v>11</c:v>
                </c:pt>
              </c:strCache>
            </c:strRef>
          </c:cat>
          <c:val>
            <c:numRef>
              <c:f>Dashboard!$E$44:$E$55</c:f>
              <c:numCache>
                <c:formatCode>General</c:formatCode>
                <c:ptCount val="11"/>
                <c:pt idx="0">
                  <c:v>3</c:v>
                </c:pt>
                <c:pt idx="1">
                  <c:v>4</c:v>
                </c:pt>
                <c:pt idx="2">
                  <c:v>2</c:v>
                </c:pt>
                <c:pt idx="3">
                  <c:v>1</c:v>
                </c:pt>
                <c:pt idx="4">
                  <c:v>5</c:v>
                </c:pt>
                <c:pt idx="5">
                  <c:v>1</c:v>
                </c:pt>
                <c:pt idx="6">
                  <c:v>3</c:v>
                </c:pt>
                <c:pt idx="7">
                  <c:v>3</c:v>
                </c:pt>
                <c:pt idx="8">
                  <c:v>2</c:v>
                </c:pt>
                <c:pt idx="9">
                  <c:v>1</c:v>
                </c:pt>
                <c:pt idx="10">
                  <c:v>1</c:v>
                </c:pt>
              </c:numCache>
            </c:numRef>
          </c:val>
          <c:extLst>
            <c:ext xmlns:c16="http://schemas.microsoft.com/office/drawing/2014/chart" uri="{C3380CC4-5D6E-409C-BE32-E72D297353CC}">
              <c16:uniqueId val="{00000002-22EE-489C-932D-53C651FD8410}"/>
            </c:ext>
          </c:extLst>
        </c:ser>
        <c:dLbls>
          <c:dLblPos val="ctr"/>
          <c:showLegendKey val="0"/>
          <c:showVal val="1"/>
          <c:showCatName val="0"/>
          <c:showSerName val="0"/>
          <c:showPercent val="0"/>
          <c:showBubbleSize val="0"/>
        </c:dLbls>
        <c:gapWidth val="70"/>
        <c:overlap val="100"/>
        <c:axId val="544520816"/>
        <c:axId val="544526640"/>
      </c:barChart>
      <c:catAx>
        <c:axId val="544520816"/>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544526640"/>
        <c:crosses val="autoZero"/>
        <c:auto val="1"/>
        <c:lblAlgn val="ctr"/>
        <c:lblOffset val="100"/>
        <c:noMultiLvlLbl val="0"/>
      </c:catAx>
      <c:valAx>
        <c:axId val="544526640"/>
        <c:scaling>
          <c:orientation val="minMax"/>
        </c:scaling>
        <c:delete val="1"/>
        <c:axPos val="l"/>
        <c:majorGridlines>
          <c:spPr>
            <a:ln w="9525" cap="flat" cmpd="sng" algn="ctr">
              <a:solidFill>
                <a:schemeClr val="lt1">
                  <a:lumMod val="95000"/>
                  <a:alpha val="10000"/>
                </a:schemeClr>
              </a:solidFill>
              <a:round/>
            </a:ln>
            <a:effectLst/>
          </c:spPr>
        </c:majorGridlines>
        <c:numFmt formatCode="0%" sourceLinked="1"/>
        <c:majorTickMark val="none"/>
        <c:minorTickMark val="none"/>
        <c:tickLblPos val="nextTo"/>
        <c:crossAx val="544520816"/>
        <c:crosses val="autoZero"/>
        <c:crossBetween val="between"/>
        <c:majorUnit val="0.2"/>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Analysis!PivotTable6</c:name>
    <c:fmtId val="21"/>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Graduates by gender</a:t>
            </a:r>
          </a:p>
        </c:rich>
      </c:tx>
      <c:layout>
        <c:manualLayout>
          <c:xMode val="edge"/>
          <c:yMode val="edge"/>
          <c:x val="0.30117245835823453"/>
          <c:y val="0.87025471347181704"/>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5"/>
      </c:pivotFmt>
      <c:pivotFmt>
        <c:idx val="6"/>
      </c:pivotFmt>
      <c:pivotFmt>
        <c:idx val="7"/>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8"/>
      </c:pivotFmt>
      <c:pivotFmt>
        <c:idx val="9"/>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1"/>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manualLayout>
          <c:layoutTarget val="inner"/>
          <c:xMode val="edge"/>
          <c:yMode val="edge"/>
          <c:x val="0.29774877318096971"/>
          <c:y val="0.16088325033551834"/>
          <c:w val="0.37857815167162101"/>
          <c:h val="0.83911674966448169"/>
        </c:manualLayout>
      </c:layout>
      <c:pieChart>
        <c:varyColors val="1"/>
        <c:ser>
          <c:idx val="0"/>
          <c:order val="0"/>
          <c:tx>
            <c:strRef>
              <c:f>'Pivot Analysis'!$Q$4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8DBB-4A51-9A34-6AE5BB1A69FC}"/>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8DBB-4A51-9A34-6AE5BB1A69F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Analysis'!$P$5:$P$7</c:f>
              <c:strCache>
                <c:ptCount val="2"/>
                <c:pt idx="0">
                  <c:v>Female</c:v>
                </c:pt>
                <c:pt idx="1">
                  <c:v>Male</c:v>
                </c:pt>
              </c:strCache>
            </c:strRef>
          </c:cat>
          <c:val>
            <c:numRef>
              <c:f>'Pivot Analysis'!$Q$5:$Q$7</c:f>
              <c:numCache>
                <c:formatCode>General</c:formatCode>
                <c:ptCount val="2"/>
                <c:pt idx="0">
                  <c:v>110</c:v>
                </c:pt>
                <c:pt idx="1">
                  <c:v>86</c:v>
                </c:pt>
              </c:numCache>
            </c:numRef>
          </c:val>
          <c:extLst>
            <c:ext xmlns:c16="http://schemas.microsoft.com/office/drawing/2014/chart" uri="{C3380CC4-5D6E-409C-BE32-E72D297353CC}">
              <c16:uniqueId val="{00000004-8DBB-4A51-9A34-6AE5BB1A69FC}"/>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Analysis!PivotTable5</c:name>
    <c:fmtId val="26"/>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enrolled by gender</a:t>
            </a:r>
          </a:p>
        </c:rich>
      </c:tx>
      <c:layout>
        <c:manualLayout>
          <c:xMode val="edge"/>
          <c:yMode val="edge"/>
          <c:x val="0.12452641027377742"/>
          <c:y val="5.4662553185994715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
      </c:pivotFmt>
      <c:pivotFmt>
        <c:idx val="2"/>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3"/>
      </c:pivotFmt>
      <c:pivotFmt>
        <c:idx val="4"/>
      </c:pivotFmt>
      <c:pivotFmt>
        <c:idx val="5"/>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6"/>
      </c:pivotFmt>
      <c:pivotFmt>
        <c:idx val="7"/>
      </c:pivotFmt>
      <c:pivotFmt>
        <c:idx val="8"/>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9"/>
      </c:pivotFmt>
      <c:pivotFmt>
        <c:idx val="10"/>
      </c:pivotFmt>
      <c:pivotFmt>
        <c:idx val="11"/>
        <c:dLbl>
          <c:idx val="0"/>
          <c:dLblPos val="bestFit"/>
          <c:showLegendKey val="0"/>
          <c:showVal val="1"/>
          <c:showCatName val="1"/>
          <c:showSerName val="0"/>
          <c:showPercent val="1"/>
          <c:showBubbleSize val="0"/>
          <c:extLst>
            <c:ext xmlns:c15="http://schemas.microsoft.com/office/drawing/2012/chart" uri="{CE6537A1-D6FC-4f65-9D91-7224C49458BB}"/>
          </c:extLst>
        </c:dLbl>
      </c:pivotFmt>
      <c:pivotFmt>
        <c:idx val="12"/>
      </c:pivotFmt>
      <c:pivotFmt>
        <c:idx val="13"/>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extLst>
            <c:ext xmlns:c15="http://schemas.microsoft.com/office/drawing/2012/chart" uri="{CE6537A1-D6FC-4f65-9D91-7224C49458BB}"/>
          </c:extLst>
        </c:dLbl>
      </c:pivotFmt>
      <c:pivotFmt>
        <c:idx val="15"/>
        <c:spPr>
          <a:solidFill>
            <a:schemeClr val="accent2">
              <a:lumMod val="40000"/>
              <a:lumOff val="60000"/>
            </a:schemeClr>
          </a:solidFill>
          <a:ln>
            <a:noFill/>
          </a:ln>
          <a:effectLst>
            <a:outerShdw blurRad="57150" dist="19050" dir="5400000" algn="ctr" rotWithShape="0">
              <a:srgbClr val="000000">
                <a:alpha val="63000"/>
              </a:srgbClr>
            </a:outerShdw>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Analysis'!$O$4</c:f>
              <c:strCache>
                <c:ptCount val="1"/>
                <c:pt idx="0">
                  <c:v>Total</c:v>
                </c:pt>
              </c:strCache>
            </c:strRef>
          </c:tx>
          <c:dPt>
            <c:idx val="0"/>
            <c:bubble3D val="0"/>
            <c:spPr>
              <a:solidFill>
                <a:schemeClr val="accent2">
                  <a:lumMod val="40000"/>
                  <a:lumOff val="60000"/>
                </a:schemeClr>
              </a:soli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3791-4FD5-BC6B-6D1371F6752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3791-4FD5-BC6B-6D1371F6752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KE"/>
              </a:p>
            </c:txPr>
            <c:dLblPos val="bestFit"/>
            <c:showLegendKey val="0"/>
            <c:showVal val="1"/>
            <c:showCatName val="1"/>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Analysis'!$N$5:$N$7</c:f>
              <c:strCache>
                <c:ptCount val="2"/>
                <c:pt idx="0">
                  <c:v>Female</c:v>
                </c:pt>
                <c:pt idx="1">
                  <c:v>Male</c:v>
                </c:pt>
              </c:strCache>
            </c:strRef>
          </c:cat>
          <c:val>
            <c:numRef>
              <c:f>'Pivot Analysis'!$O$5:$O$7</c:f>
              <c:numCache>
                <c:formatCode>General</c:formatCode>
                <c:ptCount val="2"/>
                <c:pt idx="0">
                  <c:v>147</c:v>
                </c:pt>
                <c:pt idx="1">
                  <c:v>118</c:v>
                </c:pt>
              </c:numCache>
            </c:numRef>
          </c:val>
          <c:extLst>
            <c:ext xmlns:c16="http://schemas.microsoft.com/office/drawing/2014/chart" uri="{C3380CC4-5D6E-409C-BE32-E72D297353CC}">
              <c16:uniqueId val="{00000004-3791-4FD5-BC6B-6D1371F67527}"/>
            </c:ext>
          </c:extLst>
        </c:ser>
        <c:dLbls>
          <c:dLblPos val="bestFit"/>
          <c:showLegendKey val="0"/>
          <c:showVal val="1"/>
          <c:showCatName val="0"/>
          <c:showSerName val="0"/>
          <c:showPercent val="0"/>
          <c:showBubbleSize val="0"/>
          <c:showLeaderLines val="1"/>
        </c:dLbls>
        <c:firstSliceAng val="0"/>
      </c:pieChart>
      <c:spPr>
        <a:noFill/>
        <a:ln>
          <a:noFill/>
        </a:ln>
        <a:effectLst/>
      </c:spPr>
    </c:plotArea>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Demographics.xlsx]Pivot Analysis!PivotTable7</c:name>
    <c:fmtId val="19"/>
  </c:pivotSource>
  <c:chart>
    <c:title>
      <c:tx>
        <c:rich>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a:t>Fellows Enrolment  </a:t>
            </a:r>
          </a:p>
        </c:rich>
      </c:tx>
      <c:layout>
        <c:manualLayout>
          <c:xMode val="edge"/>
          <c:yMode val="edge"/>
          <c:x val="0.24437966220457502"/>
          <c:y val="3.2108112481207061E-2"/>
        </c:manualLayout>
      </c:layout>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KE"/>
        </a:p>
      </c:txPr>
    </c:title>
    <c:autoTitleDeleted val="0"/>
    <c:pivotFmts>
      <c:pivotFmt>
        <c:idx val="0"/>
      </c:pivotFmt>
      <c:pivotFmt>
        <c:idx val="1"/>
      </c:pivotFmt>
      <c:pivotFmt>
        <c:idx val="2"/>
      </c:pivotFmt>
      <c:pivotFmt>
        <c:idx val="3"/>
      </c:pivotFmt>
      <c:pivotFmt>
        <c:idx val="4"/>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595302395515526"/>
          <c:y val="0.25054988302871356"/>
          <c:w val="0.82584470753105699"/>
          <c:h val="0.57205321687892297"/>
        </c:manualLayout>
      </c:layout>
      <c:lineChart>
        <c:grouping val="standard"/>
        <c:varyColors val="0"/>
        <c:ser>
          <c:idx val="0"/>
          <c:order val="0"/>
          <c:tx>
            <c:strRef>
              <c:f>'Pivot Analysis'!$B$64:$B$65</c:f>
              <c:strCache>
                <c:ptCount val="1"/>
                <c:pt idx="0">
                  <c:v>Female</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Analysis'!$B$66:$B$78</c:f>
              <c:numCache>
                <c:formatCode>General</c:formatCode>
                <c:ptCount val="12"/>
                <c:pt idx="0">
                  <c:v>9</c:v>
                </c:pt>
                <c:pt idx="1">
                  <c:v>9</c:v>
                </c:pt>
                <c:pt idx="2">
                  <c:v>13</c:v>
                </c:pt>
                <c:pt idx="3">
                  <c:v>12</c:v>
                </c:pt>
                <c:pt idx="4">
                  <c:v>13</c:v>
                </c:pt>
                <c:pt idx="5">
                  <c:v>15</c:v>
                </c:pt>
                <c:pt idx="6">
                  <c:v>19</c:v>
                </c:pt>
                <c:pt idx="7">
                  <c:v>16</c:v>
                </c:pt>
                <c:pt idx="8">
                  <c:v>15</c:v>
                </c:pt>
                <c:pt idx="9">
                  <c:v>15</c:v>
                </c:pt>
                <c:pt idx="10">
                  <c:v>11</c:v>
                </c:pt>
                <c:pt idx="11">
                  <c:v>10</c:v>
                </c:pt>
              </c:numCache>
            </c:numRef>
          </c:val>
          <c:smooth val="0"/>
          <c:extLst>
            <c:ext xmlns:c16="http://schemas.microsoft.com/office/drawing/2014/chart" uri="{C3380CC4-5D6E-409C-BE32-E72D297353CC}">
              <c16:uniqueId val="{00000000-B270-49DF-B79D-D9F7BEFAA13B}"/>
            </c:ext>
          </c:extLst>
        </c:ser>
        <c:ser>
          <c:idx val="1"/>
          <c:order val="1"/>
          <c:tx>
            <c:strRef>
              <c:f>'Pivot Analysis'!$C$64:$C$65</c:f>
              <c:strCache>
                <c:ptCount val="1"/>
                <c:pt idx="0">
                  <c:v>Male</c:v>
                </c:pt>
              </c:strCache>
            </c:strRef>
          </c:tx>
          <c:spPr>
            <a:ln w="34925" cap="rnd">
              <a:solidFill>
                <a:schemeClr val="accent2"/>
              </a:solidFill>
              <a:round/>
            </a:ln>
            <a:effectLst>
              <a:outerShdw blurRad="57150" dist="19050" dir="5400000" algn="ctr" rotWithShape="0">
                <a:srgbClr val="000000">
                  <a:alpha val="63000"/>
                </a:srgbClr>
              </a:outerShdw>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c:spPr>
          </c:marker>
          <c:cat>
            <c:strRef>
              <c:f>'Pivot Analysis'!$A$66:$A$78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'Pivot Analysis'!$C$66:$C$78</c:f>
              <c:numCache>
                <c:formatCode>General</c:formatCode>
                <c:ptCount val="12"/>
                <c:pt idx="0">
                  <c:v>14</c:v>
                </c:pt>
                <c:pt idx="1">
                  <c:v>11</c:v>
                </c:pt>
                <c:pt idx="2">
                  <c:v>10</c:v>
                </c:pt>
                <c:pt idx="3">
                  <c:v>15</c:v>
                </c:pt>
                <c:pt idx="4">
                  <c:v>12</c:v>
                </c:pt>
                <c:pt idx="5">
                  <c:v>10</c:v>
                </c:pt>
                <c:pt idx="6">
                  <c:v>8</c:v>
                </c:pt>
                <c:pt idx="7">
                  <c:v>10</c:v>
                </c:pt>
                <c:pt idx="8">
                  <c:v>9</c:v>
                </c:pt>
                <c:pt idx="9">
                  <c:v>10</c:v>
                </c:pt>
                <c:pt idx="10">
                  <c:v>9</c:v>
                </c:pt>
                <c:pt idx="11">
                  <c:v>12</c:v>
                </c:pt>
              </c:numCache>
            </c:numRef>
          </c:val>
          <c:smooth val="0"/>
          <c:extLst>
            <c:ext xmlns:c16="http://schemas.microsoft.com/office/drawing/2014/chart" uri="{C3380CC4-5D6E-409C-BE32-E72D297353CC}">
              <c16:uniqueId val="{00000001-B270-49DF-B79D-D9F7BEFAA13B}"/>
            </c:ext>
          </c:extLst>
        </c:ser>
        <c:dLbls>
          <c:showLegendKey val="0"/>
          <c:showVal val="0"/>
          <c:showCatName val="0"/>
          <c:showSerName val="0"/>
          <c:showPercent val="0"/>
          <c:showBubbleSize val="0"/>
        </c:dLbls>
        <c:marker val="1"/>
        <c:smooth val="0"/>
        <c:axId val="149490128"/>
        <c:axId val="146343936"/>
      </c:lineChart>
      <c:catAx>
        <c:axId val="149490128"/>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Cohort</a:t>
                </a:r>
              </a:p>
            </c:rich>
          </c:tx>
          <c:overlay val="0"/>
          <c:spPr>
            <a:noFill/>
            <a:ln>
              <a:no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6343936"/>
        <c:crosses val="autoZero"/>
        <c:auto val="1"/>
        <c:lblAlgn val="ctr"/>
        <c:lblOffset val="100"/>
        <c:noMultiLvlLbl val="0"/>
      </c:catAx>
      <c:valAx>
        <c:axId val="146343936"/>
        <c:scaling>
          <c:orientation val="minMax"/>
        </c:scaling>
        <c:delete val="0"/>
        <c:axPos val="l"/>
        <c:majorGridlines>
          <c:spPr>
            <a:ln w="9525" cap="flat" cmpd="sng" algn="ctr">
              <a:solidFill>
                <a:schemeClr val="lt1">
                  <a:lumMod val="95000"/>
                  <a:alpha val="10000"/>
                </a:schemeClr>
              </a:solidFill>
              <a:round/>
            </a:ln>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No. </a:t>
                </a:r>
              </a:p>
            </c:rich>
          </c:tx>
          <c:layout>
            <c:manualLayout>
              <c:xMode val="edge"/>
              <c:yMode val="edge"/>
              <c:x val="0"/>
              <c:y val="0.48411996804357937"/>
            </c:manualLayout>
          </c:layout>
          <c:overlay val="0"/>
          <c:spPr>
            <a:noFill/>
            <a:ln>
              <a:no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crossAx val="149490128"/>
        <c:crosses val="autoZero"/>
        <c:crossBetween val="between"/>
      </c:valAx>
      <c:spPr>
        <a:noFill/>
        <a:ln>
          <a:noFill/>
        </a:ln>
        <a:effectLst/>
      </c:spPr>
    </c:plotArea>
    <c:legend>
      <c:legendPos val="t"/>
      <c:layout>
        <c:manualLayout>
          <c:xMode val="edge"/>
          <c:yMode val="edge"/>
          <c:x val="0.29634147409602501"/>
          <c:y val="0.15802542692834076"/>
          <c:w val="0.41473278542545583"/>
          <c:h val="9.030469840285317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[CARTA Fellows Demographics.xlsx]Promotions!PivotTable9</c:name>
    <c:fmtId val="9"/>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Unique Fellows Promoted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2A11-4AA1-8B0D-5DB17651B21D}"/>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2A11-4AA1-8B0D-5DB17651B21D}"/>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Home</a:t>
                </a:r>
                <a:r>
                  <a:rPr lang="en-US" baseline="0"/>
                  <a:t> Institution</a:t>
                </a:r>
                <a:endParaRPr lang="en-US"/>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Demographics.xlsx]Sheet2!PivotTable3</c:name>
    <c:fmtId val="9"/>
  </c:pivotSource>
  <c:chart>
    <c:autoTitleDeleted val="0"/>
    <c:pivotFmts>
      <c:pivotFmt>
        <c:idx val="0"/>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92D05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222222222222222"/>
          <c:y val="0.17534776902887139"/>
          <c:w val="0.8"/>
          <c:h val="0.72188247302420527"/>
        </c:manualLayout>
      </c:layout>
      <c:barChart>
        <c:barDir val="bar"/>
        <c:grouping val="clustered"/>
        <c:varyColors val="0"/>
        <c:ser>
          <c:idx val="0"/>
          <c:order val="0"/>
          <c:tx>
            <c:strRef>
              <c:f>Sheet2!$B$20:$B$21</c:f>
              <c:strCache>
                <c:ptCount val="1"/>
                <c:pt idx="0">
                  <c:v>Completed</c:v>
                </c:pt>
              </c:strCache>
            </c:strRef>
          </c:tx>
          <c:spPr>
            <a:solidFill>
              <a:srgbClr val="92D05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Sheet2!$B$22:$B$24</c:f>
              <c:numCache>
                <c:formatCode>General</c:formatCode>
                <c:ptCount val="2"/>
                <c:pt idx="0">
                  <c:v>110</c:v>
                </c:pt>
                <c:pt idx="1">
                  <c:v>86</c:v>
                </c:pt>
              </c:numCache>
            </c:numRef>
          </c:val>
          <c:extLst>
            <c:ext xmlns:c16="http://schemas.microsoft.com/office/drawing/2014/chart" uri="{C3380CC4-5D6E-409C-BE32-E72D297353CC}">
              <c16:uniqueId val="{00000000-DD7D-41C9-A465-5FE693718AFC}"/>
            </c:ext>
          </c:extLst>
        </c:ser>
        <c:ser>
          <c:idx val="1"/>
          <c:order val="1"/>
          <c:tx>
            <c:strRef>
              <c:f>Sheet2!$C$20:$C$21</c:f>
              <c:strCache>
                <c:ptCount val="1"/>
                <c:pt idx="0">
                  <c:v>In progress</c:v>
                </c:pt>
              </c:strCache>
            </c:strRef>
          </c:tx>
          <c:spPr>
            <a:solidFill>
              <a:srgbClr val="FFC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Sheet2!$C$22:$C$24</c:f>
              <c:numCache>
                <c:formatCode>General</c:formatCode>
                <c:ptCount val="2"/>
                <c:pt idx="0">
                  <c:v>14</c:v>
                </c:pt>
                <c:pt idx="1">
                  <c:v>10</c:v>
                </c:pt>
              </c:numCache>
            </c:numRef>
          </c:val>
          <c:extLst>
            <c:ext xmlns:c16="http://schemas.microsoft.com/office/drawing/2014/chart" uri="{C3380CC4-5D6E-409C-BE32-E72D297353CC}">
              <c16:uniqueId val="{00000001-DD7D-41C9-A465-5FE693718AFC}"/>
            </c:ext>
          </c:extLst>
        </c:ser>
        <c:ser>
          <c:idx val="2"/>
          <c:order val="2"/>
          <c:tx>
            <c:strRef>
              <c:f>Sheet2!$D$20:$D$21</c:f>
              <c:strCache>
                <c:ptCount val="1"/>
                <c:pt idx="0">
                  <c:v>Terminated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Sheet2!$A$22:$A$24</c:f>
              <c:strCache>
                <c:ptCount val="2"/>
                <c:pt idx="0">
                  <c:v>Female</c:v>
                </c:pt>
                <c:pt idx="1">
                  <c:v>Male</c:v>
                </c:pt>
              </c:strCache>
            </c:strRef>
          </c:cat>
          <c:val>
            <c:numRef>
              <c:f>Sheet2!$D$22:$D$24</c:f>
              <c:numCache>
                <c:formatCode>General</c:formatCode>
                <c:ptCount val="2"/>
                <c:pt idx="0">
                  <c:v>12</c:v>
                </c:pt>
                <c:pt idx="1">
                  <c:v>13</c:v>
                </c:pt>
              </c:numCache>
            </c:numRef>
          </c:val>
          <c:extLst>
            <c:ext xmlns:c16="http://schemas.microsoft.com/office/drawing/2014/chart" uri="{C3380CC4-5D6E-409C-BE32-E72D297353CC}">
              <c16:uniqueId val="{00000002-DD7D-41C9-A465-5FE693718AFC}"/>
            </c:ext>
          </c:extLst>
        </c:ser>
        <c:dLbls>
          <c:dLblPos val="outEnd"/>
          <c:showLegendKey val="0"/>
          <c:showVal val="1"/>
          <c:showCatName val="0"/>
          <c:showSerName val="0"/>
          <c:showPercent val="0"/>
          <c:showBubbleSize val="0"/>
        </c:dLbls>
        <c:gapWidth val="150"/>
        <c:axId val="2104577744"/>
        <c:axId val="2111360128"/>
      </c:barChart>
      <c:catAx>
        <c:axId val="210457774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KE"/>
          </a:p>
        </c:txPr>
        <c:crossAx val="2111360128"/>
        <c:crosses val="autoZero"/>
        <c:auto val="1"/>
        <c:lblAlgn val="ctr"/>
        <c:lblOffset val="100"/>
        <c:noMultiLvlLbl val="0"/>
      </c:catAx>
      <c:valAx>
        <c:axId val="2111360128"/>
        <c:scaling>
          <c:orientation val="minMax"/>
        </c:scaling>
        <c:delete val="1"/>
        <c:axPos val="b"/>
        <c:numFmt formatCode="General" sourceLinked="1"/>
        <c:majorTickMark val="none"/>
        <c:minorTickMark val="none"/>
        <c:tickLblPos val="nextTo"/>
        <c:crossAx val="2104577744"/>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Promotions!$F$4:$F$6</c:f>
              <c:strCache>
                <c:ptCount val="1"/>
                <c:pt idx="0">
                  <c:v>Female - Completed</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Promotions!$E$7:$E$12</c:f>
              <c:strCache>
                <c:ptCount val="5"/>
                <c:pt idx="0">
                  <c:v>Moi University</c:v>
                </c:pt>
                <c:pt idx="1">
                  <c:v>Obafemi Awolowo University</c:v>
                </c:pt>
                <c:pt idx="2">
                  <c:v>University of Ibadan</c:v>
                </c:pt>
                <c:pt idx="3">
                  <c:v>University of Nairobi</c:v>
                </c:pt>
                <c:pt idx="4">
                  <c:v>University of the Witwatersrand</c:v>
                </c:pt>
              </c:strCache>
            </c:strRef>
          </c:cat>
          <c:val>
            <c:numRef>
              <c:f>Promotions!$F$7:$F$12</c:f>
              <c:numCache>
                <c:formatCode>General</c:formatCode>
                <c:ptCount val="5"/>
                <c:pt idx="0">
                  <c:v>1</c:v>
                </c:pt>
                <c:pt idx="1">
                  <c:v>1</c:v>
                </c:pt>
                <c:pt idx="2">
                  <c:v>1</c:v>
                </c:pt>
                <c:pt idx="3">
                  <c:v>1</c:v>
                </c:pt>
                <c:pt idx="4">
                  <c:v>2</c:v>
                </c:pt>
              </c:numCache>
            </c:numRef>
          </c:val>
          <c:extLst>
            <c:ext xmlns:c16="http://schemas.microsoft.com/office/drawing/2014/chart" uri="{C3380CC4-5D6E-409C-BE32-E72D297353CC}">
              <c16:uniqueId val="{00000000-F44D-4414-92D4-70B62CD6DB77}"/>
            </c:ext>
          </c:extLst>
        </c:ser>
        <c:dLbls>
          <c:dLblPos val="ctr"/>
          <c:showLegendKey val="0"/>
          <c:showVal val="1"/>
          <c:showCatName val="0"/>
          <c:showSerName val="0"/>
          <c:showPercent val="0"/>
          <c:showBubbleSize val="0"/>
        </c:dLbls>
        <c:gapWidth val="66"/>
        <c:overlap val="100"/>
        <c:axId val="966922432"/>
        <c:axId val="966922912"/>
      </c:barChart>
      <c:catAx>
        <c:axId val="96692243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912"/>
        <c:crosses val="autoZero"/>
        <c:auto val="1"/>
        <c:lblAlgn val="ctr"/>
        <c:lblOffset val="100"/>
        <c:noMultiLvlLbl val="0"/>
      </c:catAx>
      <c:valAx>
        <c:axId val="966922912"/>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966922432"/>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Demographics.xlsx]Promotions!PivotTable8</c:name>
    <c:fmtId val="14"/>
  </c:pivotSource>
  <c:chart>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Promotions!$F$26:$F$27</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Promotions!$F$28:$F$41</c:f>
              <c:numCache>
                <c:formatCode>General</c:formatCode>
                <c:ptCount val="13"/>
                <c:pt idx="1">
                  <c:v>1</c:v>
                </c:pt>
                <c:pt idx="2">
                  <c:v>6</c:v>
                </c:pt>
                <c:pt idx="3">
                  <c:v>11</c:v>
                </c:pt>
                <c:pt idx="4">
                  <c:v>16</c:v>
                </c:pt>
                <c:pt idx="5">
                  <c:v>18</c:v>
                </c:pt>
                <c:pt idx="6">
                  <c:v>3</c:v>
                </c:pt>
                <c:pt idx="7">
                  <c:v>23</c:v>
                </c:pt>
                <c:pt idx="8">
                  <c:v>12</c:v>
                </c:pt>
                <c:pt idx="9">
                  <c:v>23</c:v>
                </c:pt>
                <c:pt idx="10">
                  <c:v>11</c:v>
                </c:pt>
                <c:pt idx="11">
                  <c:v>22</c:v>
                </c:pt>
                <c:pt idx="12">
                  <c:v>1</c:v>
                </c:pt>
              </c:numCache>
            </c:numRef>
          </c:val>
          <c:extLst>
            <c:ext xmlns:c16="http://schemas.microsoft.com/office/drawing/2014/chart" uri="{C3380CC4-5D6E-409C-BE32-E72D297353CC}">
              <c16:uniqueId val="{00000000-0D58-423D-998B-49A6C260278D}"/>
            </c:ext>
          </c:extLst>
        </c:ser>
        <c:ser>
          <c:idx val="1"/>
          <c:order val="1"/>
          <c:tx>
            <c:strRef>
              <c:f>Promotions!$G$26:$G$27</c:f>
              <c:strCache>
                <c:ptCount val="1"/>
                <c:pt idx="0">
                  <c:v>Male</c:v>
                </c:pt>
              </c:strCache>
            </c:strRef>
          </c:tx>
          <c:spPr>
            <a:solidFill>
              <a:schemeClr val="accent4">
                <a:lumMod val="60000"/>
                <a:lumOff val="4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Promotions!$E$28:$E$41</c:f>
              <c:strCache>
                <c:ptCount val="13"/>
                <c:pt idx="0">
                  <c:v>AGINCOURT</c:v>
                </c:pt>
                <c:pt idx="1">
                  <c:v>APHRC</c:v>
                </c:pt>
                <c:pt idx="2">
                  <c:v>Ifakara Health Institute</c:v>
                </c:pt>
                <c:pt idx="3">
                  <c:v>Makerere University</c:v>
                </c:pt>
                <c:pt idx="4">
                  <c:v>Moi University</c:v>
                </c:pt>
                <c:pt idx="5">
                  <c:v>Obafemi Awolowo University</c:v>
                </c:pt>
                <c:pt idx="6">
                  <c:v>University of Dar es Salaam</c:v>
                </c:pt>
                <c:pt idx="7">
                  <c:v>University of Ibadan</c:v>
                </c:pt>
                <c:pt idx="8">
                  <c:v>University of Malawi</c:v>
                </c:pt>
                <c:pt idx="9">
                  <c:v>University of Nairobi</c:v>
                </c:pt>
                <c:pt idx="10">
                  <c:v>University of Rwanda</c:v>
                </c:pt>
                <c:pt idx="11">
                  <c:v>University of the Witwatersrand</c:v>
                </c:pt>
                <c:pt idx="12">
                  <c:v>Somali National University</c:v>
                </c:pt>
              </c:strCache>
            </c:strRef>
          </c:cat>
          <c:val>
            <c:numRef>
              <c:f>Promotions!$G$28:$G$41</c:f>
              <c:numCache>
                <c:formatCode>General</c:formatCode>
                <c:ptCount val="13"/>
                <c:pt idx="0">
                  <c:v>2</c:v>
                </c:pt>
                <c:pt idx="1">
                  <c:v>4</c:v>
                </c:pt>
                <c:pt idx="2">
                  <c:v>3</c:v>
                </c:pt>
                <c:pt idx="3">
                  <c:v>16</c:v>
                </c:pt>
                <c:pt idx="4">
                  <c:v>5</c:v>
                </c:pt>
                <c:pt idx="5">
                  <c:v>15</c:v>
                </c:pt>
                <c:pt idx="6">
                  <c:v>3</c:v>
                </c:pt>
                <c:pt idx="7">
                  <c:v>16</c:v>
                </c:pt>
                <c:pt idx="8">
                  <c:v>21</c:v>
                </c:pt>
                <c:pt idx="9">
                  <c:v>7</c:v>
                </c:pt>
                <c:pt idx="10">
                  <c:v>16</c:v>
                </c:pt>
                <c:pt idx="11">
                  <c:v>9</c:v>
                </c:pt>
                <c:pt idx="12">
                  <c:v>1</c:v>
                </c:pt>
              </c:numCache>
            </c:numRef>
          </c:val>
          <c:extLst>
            <c:ext xmlns:c16="http://schemas.microsoft.com/office/drawing/2014/chart" uri="{C3380CC4-5D6E-409C-BE32-E72D297353CC}">
              <c16:uniqueId val="{00000001-0D58-423D-998B-49A6C260278D}"/>
            </c:ext>
          </c:extLst>
        </c:ser>
        <c:dLbls>
          <c:dLblPos val="ctr"/>
          <c:showLegendKey val="0"/>
          <c:showVal val="1"/>
          <c:showCatName val="0"/>
          <c:showSerName val="0"/>
          <c:showPercent val="0"/>
          <c:showBubbleSize val="0"/>
        </c:dLbls>
        <c:gapWidth val="60"/>
        <c:overlap val="100"/>
        <c:axId val="312729664"/>
        <c:axId val="312731584"/>
      </c:barChart>
      <c:catAx>
        <c:axId val="3127296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31584"/>
        <c:crosses val="autoZero"/>
        <c:auto val="1"/>
        <c:lblAlgn val="ctr"/>
        <c:lblOffset val="100"/>
        <c:noMultiLvlLbl val="0"/>
      </c:catAx>
      <c:valAx>
        <c:axId val="312731584"/>
        <c:scaling>
          <c:orientation val="minMax"/>
          <c:max val="40"/>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312729664"/>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pivotSource>
    <c:name>[CARTA Fellows Demographics.xlsx]Promotions!PivotTable9</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Promotions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KE"/>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Promotions!$F$48:$F$49</c:f>
              <c:strCache>
                <c:ptCount val="1"/>
                <c:pt idx="0">
                  <c:v>Female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Promotions!$F$50:$F$63</c:f>
              <c:numCache>
                <c:formatCode>General</c:formatCode>
                <c:ptCount val="13"/>
                <c:pt idx="1">
                  <c:v>1</c:v>
                </c:pt>
                <c:pt idx="2">
                  <c:v>6</c:v>
                </c:pt>
                <c:pt idx="3">
                  <c:v>11</c:v>
                </c:pt>
                <c:pt idx="4">
                  <c:v>16</c:v>
                </c:pt>
                <c:pt idx="5">
                  <c:v>18</c:v>
                </c:pt>
                <c:pt idx="6">
                  <c:v>1</c:v>
                </c:pt>
                <c:pt idx="7">
                  <c:v>3</c:v>
                </c:pt>
                <c:pt idx="8">
                  <c:v>23</c:v>
                </c:pt>
                <c:pt idx="9">
                  <c:v>12</c:v>
                </c:pt>
                <c:pt idx="10">
                  <c:v>23</c:v>
                </c:pt>
                <c:pt idx="11">
                  <c:v>11</c:v>
                </c:pt>
                <c:pt idx="12">
                  <c:v>22</c:v>
                </c:pt>
              </c:numCache>
            </c:numRef>
          </c:val>
          <c:extLst>
            <c:ext xmlns:c16="http://schemas.microsoft.com/office/drawing/2014/chart" uri="{C3380CC4-5D6E-409C-BE32-E72D297353CC}">
              <c16:uniqueId val="{00000000-CEE2-405A-BD69-EB2C16DB3E90}"/>
            </c:ext>
          </c:extLst>
        </c:ser>
        <c:ser>
          <c:idx val="1"/>
          <c:order val="1"/>
          <c:tx>
            <c:strRef>
              <c:f>Promotions!$G$48:$G$49</c:f>
              <c:strCache>
                <c:ptCount val="1"/>
                <c:pt idx="0">
                  <c:v>Male</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KE"/>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Promotions!$E$50:$E$63</c:f>
              <c:strCache>
                <c:ptCount val="13"/>
                <c:pt idx="0">
                  <c:v>AGINCOURT</c:v>
                </c:pt>
                <c:pt idx="1">
                  <c:v>APHRC</c:v>
                </c:pt>
                <c:pt idx="2">
                  <c:v>Ifakara Health Institute</c:v>
                </c:pt>
                <c:pt idx="3">
                  <c:v>Makerere University</c:v>
                </c:pt>
                <c:pt idx="4">
                  <c:v>Moi University</c:v>
                </c:pt>
                <c:pt idx="5">
                  <c:v>Obafemi Awolowo University</c:v>
                </c:pt>
                <c:pt idx="6">
                  <c:v>Somali National University</c:v>
                </c:pt>
                <c:pt idx="7">
                  <c:v>University of Dar es Salaam</c:v>
                </c:pt>
                <c:pt idx="8">
                  <c:v>University of Ibadan</c:v>
                </c:pt>
                <c:pt idx="9">
                  <c:v>University of Malawi</c:v>
                </c:pt>
                <c:pt idx="10">
                  <c:v>University of Nairobi</c:v>
                </c:pt>
                <c:pt idx="11">
                  <c:v>University of Rwanda</c:v>
                </c:pt>
                <c:pt idx="12">
                  <c:v>University of the Witwatersrand</c:v>
                </c:pt>
              </c:strCache>
            </c:strRef>
          </c:cat>
          <c:val>
            <c:numRef>
              <c:f>Promotions!$G$50:$G$63</c:f>
              <c:numCache>
                <c:formatCode>General</c:formatCode>
                <c:ptCount val="13"/>
                <c:pt idx="0">
                  <c:v>2</c:v>
                </c:pt>
                <c:pt idx="1">
                  <c:v>4</c:v>
                </c:pt>
                <c:pt idx="2">
                  <c:v>3</c:v>
                </c:pt>
                <c:pt idx="3">
                  <c:v>16</c:v>
                </c:pt>
                <c:pt idx="4">
                  <c:v>5</c:v>
                </c:pt>
                <c:pt idx="5">
                  <c:v>15</c:v>
                </c:pt>
                <c:pt idx="6">
                  <c:v>1</c:v>
                </c:pt>
                <c:pt idx="7">
                  <c:v>3</c:v>
                </c:pt>
                <c:pt idx="8">
                  <c:v>16</c:v>
                </c:pt>
                <c:pt idx="9">
                  <c:v>21</c:v>
                </c:pt>
                <c:pt idx="10">
                  <c:v>7</c:v>
                </c:pt>
                <c:pt idx="11">
                  <c:v>16</c:v>
                </c:pt>
                <c:pt idx="12">
                  <c:v>9</c:v>
                </c:pt>
              </c:numCache>
            </c:numRef>
          </c:val>
          <c:extLst>
            <c:ext xmlns:c16="http://schemas.microsoft.com/office/drawing/2014/chart" uri="{C3380CC4-5D6E-409C-BE32-E72D297353CC}">
              <c16:uniqueId val="{00000001-CEE2-405A-BD69-EB2C16DB3E90}"/>
            </c:ext>
          </c:extLst>
        </c:ser>
        <c:dLbls>
          <c:dLblPos val="ctr"/>
          <c:showLegendKey val="0"/>
          <c:showVal val="1"/>
          <c:showCatName val="0"/>
          <c:showSerName val="0"/>
          <c:showPercent val="0"/>
          <c:showBubbleSize val="0"/>
        </c:dLbls>
        <c:gapWidth val="70"/>
        <c:overlap val="100"/>
        <c:axId val="1834412080"/>
        <c:axId val="1834413520"/>
      </c:barChart>
      <c:catAx>
        <c:axId val="1834412080"/>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3520"/>
        <c:crosses val="autoZero"/>
        <c:auto val="1"/>
        <c:lblAlgn val="ctr"/>
        <c:lblOffset val="100"/>
        <c:noMultiLvlLbl val="0"/>
      </c:catAx>
      <c:valAx>
        <c:axId val="1834413520"/>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Number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KE"/>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crossAx val="1834412080"/>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KE"/>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KE"/>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30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6.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2.xml"/><Relationship Id="rId2" Type="http://schemas.openxmlformats.org/officeDocument/2006/relationships/chart" Target="../charts/chart11.xml"/><Relationship Id="rId1"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7</xdr:col>
      <xdr:colOff>601980</xdr:colOff>
      <xdr:row>19</xdr:row>
      <xdr:rowOff>7620</xdr:rowOff>
    </xdr:to>
    <xdr:graphicFrame macro="">
      <xdr:nvGraphicFramePr>
        <xdr:cNvPr id="7" name="Chart 6">
          <a:extLst>
            <a:ext uri="{FF2B5EF4-FFF2-40B4-BE49-F238E27FC236}">
              <a16:creationId xmlns:a16="http://schemas.microsoft.com/office/drawing/2014/main" i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601980</xdr:colOff>
      <xdr:row>0</xdr:row>
      <xdr:rowOff>0</xdr:rowOff>
    </xdr:from>
    <xdr:to>
      <xdr:col>17</xdr:col>
      <xdr:colOff>461818</xdr:colOff>
      <xdr:row>19</xdr:row>
      <xdr:rowOff>0</xdr:rowOff>
    </xdr:to>
    <xdr:graphicFrame macro="">
      <xdr:nvGraphicFramePr>
        <xdr:cNvPr id="9" name="Chart 8">
          <a:extLst>
            <a:ext uri="{FF2B5EF4-FFF2-40B4-BE49-F238E27FC236}">
              <a16:creationId xmlns:a16="http://schemas.microsoft.com/office/drawing/2014/main" id="{00000000-0008-0000-0000-000009000000}"/>
            </a:ext>
            <a:ext uri="{147F2762-F138-4A5C-976F-8EAC2B608ADB}">
              <a16:predDERef xmlns:a16="http://schemas.microsoft.com/office/drawing/2014/main" pred="{00000000-0008-0000-0000-000007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60960</xdr:colOff>
      <xdr:row>19</xdr:row>
      <xdr:rowOff>0</xdr:rowOff>
    </xdr:from>
    <xdr:to>
      <xdr:col>10</xdr:col>
      <xdr:colOff>68580</xdr:colOff>
      <xdr:row>38</xdr:row>
      <xdr:rowOff>167640</xdr:rowOff>
    </xdr:to>
    <xdr:graphicFrame macro="">
      <xdr:nvGraphicFramePr>
        <xdr:cNvPr id="4" name="Chart 3">
          <a:extLst>
            <a:ext uri="{FF2B5EF4-FFF2-40B4-BE49-F238E27FC236}">
              <a16:creationId xmlns:a16="http://schemas.microsoft.com/office/drawing/2014/main" id="{00000000-0008-0000-0000-000004000000}"/>
            </a:ext>
            <a:ext uri="{147F2762-F138-4A5C-976F-8EAC2B608ADB}">
              <a16:predDERef xmlns:a16="http://schemas.microsoft.com/office/drawing/2014/main" pred="{00000000-0008-0000-0000-000009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60960</xdr:colOff>
      <xdr:row>19</xdr:row>
      <xdr:rowOff>0</xdr:rowOff>
    </xdr:from>
    <xdr:to>
      <xdr:col>17</xdr:col>
      <xdr:colOff>464820</xdr:colOff>
      <xdr:row>38</xdr:row>
      <xdr:rowOff>160020</xdr:rowOff>
    </xdr:to>
    <xdr:graphicFrame macro="">
      <xdr:nvGraphicFramePr>
        <xdr:cNvPr id="5" name="Chart 4">
          <a:extLst>
            <a:ext uri="{FF2B5EF4-FFF2-40B4-BE49-F238E27FC236}">
              <a16:creationId xmlns:a16="http://schemas.microsoft.com/office/drawing/2014/main" id="{00000000-0008-0000-0000-000005000000}"/>
            </a:ext>
            <a:ext uri="{147F2762-F138-4A5C-976F-8EAC2B608ADB}">
              <a16:predDERef xmlns:a16="http://schemas.microsoft.com/office/drawing/2014/main" pred="{00000000-0008-0000-00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20</xdr:col>
      <xdr:colOff>105157</xdr:colOff>
      <xdr:row>0</xdr:row>
      <xdr:rowOff>25465</xdr:rowOff>
    </xdr:from>
    <xdr:to>
      <xdr:col>25</xdr:col>
      <xdr:colOff>56508</xdr:colOff>
      <xdr:row>13</xdr:row>
      <xdr:rowOff>19050</xdr:rowOff>
    </xdr:to>
    <xdr:graphicFrame macro="">
      <xdr:nvGraphicFramePr>
        <xdr:cNvPr id="8" name="Chart 7">
          <a:extLst>
            <a:ext uri="{FF2B5EF4-FFF2-40B4-BE49-F238E27FC236}">
              <a16:creationId xmlns:a16="http://schemas.microsoft.com/office/drawing/2014/main" id="{00000000-0008-0000-0000-000008000000}"/>
            </a:ext>
            <a:ext uri="{147F2762-F138-4A5C-976F-8EAC2B608ADB}">
              <a16:predDERef xmlns:a16="http://schemas.microsoft.com/office/drawing/2014/main" pred="{00000000-0008-0000-0000-000005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17</xdr:col>
      <xdr:colOff>547543</xdr:colOff>
      <xdr:row>13</xdr:row>
      <xdr:rowOff>179019</xdr:rowOff>
    </xdr:from>
    <xdr:to>
      <xdr:col>21</xdr:col>
      <xdr:colOff>476987</xdr:colOff>
      <xdr:row>26</xdr:row>
      <xdr:rowOff>82806</xdr:rowOff>
    </xdr:to>
    <xdr:graphicFrame macro="">
      <xdr:nvGraphicFramePr>
        <xdr:cNvPr id="10" name="Chart 9">
          <a:extLst>
            <a:ext uri="{FF2B5EF4-FFF2-40B4-BE49-F238E27FC236}">
              <a16:creationId xmlns:a16="http://schemas.microsoft.com/office/drawing/2014/main" id="{00000000-0008-0000-0000-00000A000000}"/>
            </a:ext>
            <a:ext uri="{147F2762-F138-4A5C-976F-8EAC2B608ADB}">
              <a16:predDERef xmlns:a16="http://schemas.microsoft.com/office/drawing/2014/main" pred="{00000000-0008-0000-0000-000008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17</xdr:col>
      <xdr:colOff>436161</xdr:colOff>
      <xdr:row>26</xdr:row>
      <xdr:rowOff>25656</xdr:rowOff>
    </xdr:from>
    <xdr:to>
      <xdr:col>21</xdr:col>
      <xdr:colOff>359190</xdr:colOff>
      <xdr:row>38</xdr:row>
      <xdr:rowOff>166767</xdr:rowOff>
    </xdr:to>
    <xdr:graphicFrame macro="">
      <xdr:nvGraphicFramePr>
        <xdr:cNvPr id="11" name="Chart 10">
          <a:extLst>
            <a:ext uri="{FF2B5EF4-FFF2-40B4-BE49-F238E27FC236}">
              <a16:creationId xmlns:a16="http://schemas.microsoft.com/office/drawing/2014/main" id="{3ACD6707-0FAC-4919-8BEC-B06EB470B163}"/>
            </a:ext>
            <a:ext uri="{147F2762-F138-4A5C-976F-8EAC2B608ADB}">
              <a16:predDERef xmlns:a16="http://schemas.microsoft.com/office/drawing/2014/main" pred="{00000000-0008-0000-0000-00000A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418523</xdr:colOff>
      <xdr:row>40</xdr:row>
      <xdr:rowOff>43296</xdr:rowOff>
    </xdr:from>
    <xdr:to>
      <xdr:col>18</xdr:col>
      <xdr:colOff>7792</xdr:colOff>
      <xdr:row>59</xdr:row>
      <xdr:rowOff>21124</xdr:rowOff>
    </xdr:to>
    <xdr:graphicFrame macro="">
      <xdr:nvGraphicFramePr>
        <xdr:cNvPr id="3" name="Chart 2">
          <a:extLst>
            <a:ext uri="{FF2B5EF4-FFF2-40B4-BE49-F238E27FC236}">
              <a16:creationId xmlns:a16="http://schemas.microsoft.com/office/drawing/2014/main" id="{8AE78F0B-DDFB-4519-B9D7-CDD1AF5E3241}"/>
            </a:ext>
            <a:ext uri="{147F2762-F138-4A5C-976F-8EAC2B608ADB}">
              <a16:predDERef xmlns:a16="http://schemas.microsoft.com/office/drawing/2014/main" pred="{3ACD6707-0FAC-4919-8BEC-B06EB470B16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6</xdr:col>
      <xdr:colOff>330200</xdr:colOff>
      <xdr:row>13</xdr:row>
      <xdr:rowOff>171449</xdr:rowOff>
    </xdr:from>
    <xdr:to>
      <xdr:col>15</xdr:col>
      <xdr:colOff>19050</xdr:colOff>
      <xdr:row>32</xdr:row>
      <xdr:rowOff>36512</xdr:rowOff>
    </xdr:to>
    <xdr:graphicFrame macro="">
      <xdr:nvGraphicFramePr>
        <xdr:cNvPr id="3" name="Chart 2">
          <a:extLst>
            <a:ext uri="{FF2B5EF4-FFF2-40B4-BE49-F238E27FC236}">
              <a16:creationId xmlns:a16="http://schemas.microsoft.com/office/drawing/2014/main" id="{4E71B09D-8AC5-4C91-B9DF-E950829C5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11</xdr:col>
      <xdr:colOff>316442</xdr:colOff>
      <xdr:row>0</xdr:row>
      <xdr:rowOff>158750</xdr:rowOff>
    </xdr:from>
    <xdr:to>
      <xdr:col>21</xdr:col>
      <xdr:colOff>514350</xdr:colOff>
      <xdr:row>21</xdr:row>
      <xdr:rowOff>158750</xdr:rowOff>
    </xdr:to>
    <xdr:graphicFrame macro="">
      <xdr:nvGraphicFramePr>
        <xdr:cNvPr id="2" name="Chart 1">
          <a:extLst>
            <a:ext uri="{FF2B5EF4-FFF2-40B4-BE49-F238E27FC236}">
              <a16:creationId xmlns:a16="http://schemas.microsoft.com/office/drawing/2014/main" i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600074</xdr:colOff>
      <xdr:row>24</xdr:row>
      <xdr:rowOff>63499</xdr:rowOff>
    </xdr:from>
    <xdr:to>
      <xdr:col>21</xdr:col>
      <xdr:colOff>69850</xdr:colOff>
      <xdr:row>44</xdr:row>
      <xdr:rowOff>20955</xdr:rowOff>
    </xdr:to>
    <xdr:graphicFrame macro="">
      <xdr:nvGraphicFramePr>
        <xdr:cNvPr id="3" name="Chart 2">
          <a:extLst>
            <a:ext uri="{FF2B5EF4-FFF2-40B4-BE49-F238E27FC236}">
              <a16:creationId xmlns:a16="http://schemas.microsoft.com/office/drawing/2014/main" id="{4273273B-B48B-7032-80C7-5290BF788C36}"/>
            </a:ext>
            <a:ext uri="{147F2762-F138-4A5C-976F-8EAC2B608ADB}">
              <a16:predDERef xmlns:a16="http://schemas.microsoft.com/office/drawing/2014/main" pred="{40666530-186F-CABD-50B6-8E7B4D0D61C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508000</xdr:colOff>
      <xdr:row>45</xdr:row>
      <xdr:rowOff>57149</xdr:rowOff>
    </xdr:from>
    <xdr:to>
      <xdr:col>20</xdr:col>
      <xdr:colOff>273049</xdr:colOff>
      <xdr:row>64</xdr:row>
      <xdr:rowOff>100786</xdr:rowOff>
    </xdr:to>
    <xdr:graphicFrame macro="">
      <xdr:nvGraphicFramePr>
        <xdr:cNvPr id="4" name="Chart 3">
          <a:extLst>
            <a:ext uri="{FF2B5EF4-FFF2-40B4-BE49-F238E27FC236}">
              <a16:creationId xmlns:a16="http://schemas.microsoft.com/office/drawing/2014/main" id="{58C25B5D-2F3E-792C-6D9A-D9F06807B067}"/>
            </a:ext>
            <a:ext uri="{147F2762-F138-4A5C-976F-8EAC2B608ADB}">
              <a16:predDERef xmlns:a16="http://schemas.microsoft.com/office/drawing/2014/main" pred="{4273273B-B48B-7032-80C7-5290BF788C3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persons/person.xml><?xml version="1.0" encoding="utf-8"?>
<personList xmlns="http://schemas.microsoft.com/office/spreadsheetml/2018/threadedcomments" xmlns:x="http://schemas.openxmlformats.org/spreadsheetml/2006/main">
  <person displayName="Marta Vicente-Crespo" id="{4DDBA5CA-C0C1-4E96-8803-316BE7F9C0BB}" userId="S::mvicente-crespo@aphrc.org::506450c8-d43d-4ac4-b6de-39140efda5cc" providerId="AD"/>
</personList>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084143521" createdVersion="8" refreshedVersion="8" minRefreshableVersion="3" recordCount="265" xr:uid="{00C36F82-4E82-4E65-9023-0A185EDE28CD}">
  <cacheSource type="worksheet">
    <worksheetSource ref="A1:CK266" sheet="Fellows"/>
  </cacheSource>
  <cacheFields count="92">
    <cacheField name="S.No." numFmtId="0">
      <sharedItems containsSemiMixedTypes="0" containsString="0" containsNumber="1" containsInteger="1" minValue="1" maxValue="26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1" count="11">
        <n v="1"/>
        <n v="2"/>
        <n v="3"/>
        <n v="4"/>
        <n v="5"/>
        <n v="6"/>
        <n v="7"/>
        <n v="8"/>
        <n v="9"/>
        <n v="10"/>
        <n v="11"/>
      </sharedItems>
    </cacheField>
    <cacheField name="Nationality" numFmtId="0">
      <sharedItems containsBlank="1" count="11">
        <s v="Nigeria"/>
        <s v="Rwanda"/>
        <s v="Kenya"/>
        <s v="Malawi"/>
        <s v="Tanzania"/>
        <s v="South Africa"/>
        <s v="Uganda"/>
        <s v="Senegal"/>
        <s v="Zimbabwe"/>
        <s v="Somalia"/>
        <m u="1"/>
      </sharedItems>
    </cacheField>
    <cacheField name="Institution of employment at registration" numFmtId="0">
      <sharedItems containsBlank="1"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m u="1"/>
      </sharedItems>
    </cacheField>
    <cacheField name="Discipline" numFmtId="0">
      <sharedItems containsBlank="1"/>
    </cacheField>
    <cacheField name="Department" numFmtId="0">
      <sharedItems containsBlank="1"/>
    </cacheField>
    <cacheField name="Institution of registration" numFmtId="0">
      <sharedItems containsBlank="1" count="11">
        <s v="University of Ibadan"/>
        <s v="University of Dar es Salaam"/>
        <s v="Moi University"/>
        <s v="University of the Witwatersrand"/>
        <s v="University of the Malawi"/>
        <s v="University of Rwanda"/>
        <s v="University of Nairobi"/>
        <s v="Obafemi Awolowo University"/>
        <m/>
        <s v="Makerere University"/>
        <s v="University of Malawi" u="1"/>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5-03-04T00:00:00" count="11">
        <d v="2011-03-01T00:00:00"/>
        <d v="2012-03-01T00:00:00"/>
        <d v="2013-03-01T00:00:00"/>
        <d v="2014-03-01T00:00:00"/>
        <d v="2015-03-01T00:00:00"/>
        <d v="2016-03-01T00:00:00"/>
        <d v="2017-03-01T00:00:00"/>
        <d v="2018-03-01T00:00:00"/>
        <d v="2019-03-01T00:00:00"/>
        <d v="2020-03-01T00:00:00"/>
        <d v="2025-03-03T00:00:00"/>
      </sharedItems>
      <fieldGroup par="91"/>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ount="3">
        <s v="Yes"/>
        <m/>
        <s v="No"/>
      </sharedItems>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5-03-04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Blank="1" containsMixedTypes="1" minDate="2013-03-01T00:00:00" maxDate="2025-11-30T00:00:00" count="168">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3-11-24T00:00:00"/>
        <d v="2025-10-07T00:00:00"/>
        <d v="2023-10-16T00:00:00"/>
        <d v="2024-10-03T00:00:00"/>
        <d v="2024-10-25T00:00:00"/>
        <d v="2025-10-20T00:00:00"/>
        <d v="2024-12-22T00:00:00"/>
        <d v="2024-10-31T00:00:00"/>
        <d v="2025-08-20T00:00:00"/>
        <s v="29/11/2025" u="1"/>
        <s v="31/05/2024" u="1"/>
      </sharedItems>
    </cacheField>
    <cacheField name="Current PhD Status ( Completed/Defended/In Progress)" numFmtId="0">
      <sharedItems count="4">
        <s v="Completed"/>
        <s v="Terminated"/>
        <s v="In progress"/>
        <s v="Didn’t take up"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0"/>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 name="Months (Year of admission into CARTA)" numFmtId="0" databaseField="0">
      <fieldGroup base="28">
        <rangePr groupBy="months" startDate="2011-03-01T00:00:00" endDate="2025-03-04T00:00:00"/>
        <groupItems count="14">
          <s v="&lt;3/1/2011"/>
          <s v="Jan"/>
          <s v="Feb"/>
          <s v="Mar"/>
          <s v="Apr"/>
          <s v="May"/>
          <s v="Jun"/>
          <s v="Jul"/>
          <s v="Aug"/>
          <s v="Sep"/>
          <s v="Oct"/>
          <s v="Nov"/>
          <s v="Dec"/>
          <s v="&gt;3/4/2025"/>
        </groupItems>
      </fieldGroup>
    </cacheField>
    <cacheField name="Quarters (Year of admission into CARTA)" numFmtId="0" databaseField="0">
      <fieldGroup base="28">
        <rangePr groupBy="quarters" startDate="2011-03-01T00:00:00" endDate="2025-03-04T00:00:00"/>
        <groupItems count="6">
          <s v="&lt;3/1/2011"/>
          <s v="Qtr1"/>
          <s v="Qtr2"/>
          <s v="Qtr3"/>
          <s v="Qtr4"/>
          <s v="&gt;3/4/2025"/>
        </groupItems>
      </fieldGroup>
    </cacheField>
    <cacheField name="Years (Year of admission into CARTA)" numFmtId="0" databaseField="0">
      <fieldGroup base="28">
        <rangePr groupBy="years" startDate="2011-03-01T00:00:00" endDate="2025-03-04T00:00:00"/>
        <groupItems count="17">
          <s v="&lt;3/1/2011"/>
          <s v="2011"/>
          <s v="2012"/>
          <s v="2013"/>
          <s v="2014"/>
          <s v="2015"/>
          <s v="2016"/>
          <s v="2017"/>
          <s v="2018"/>
          <s v="2019"/>
          <s v="2020"/>
          <s v="2021"/>
          <s v="2022"/>
          <s v="2023"/>
          <s v="2024"/>
          <s v="2025"/>
          <s v="&gt;3/4/2025"/>
        </groupItems>
      </fieldGroup>
    </cacheField>
  </cacheFields>
  <extLst>
    <ext xmlns:x14="http://schemas.microsoft.com/office/spreadsheetml/2009/9/main" uri="{725AE2AE-9491-48be-B2B4-4EB974FC3084}">
      <x14:pivotCacheDefinition pivotCacheId="95293123"/>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xcel Services" refreshedDate="46108.658685532406" createdVersion="8" refreshedVersion="8" minRefreshableVersion="3" recordCount="288" xr:uid="{0C5005AF-81CA-4BB5-95DF-8D0F323654D3}">
  <cacheSource type="worksheet">
    <worksheetSource ref="A1:CK291" sheet="Fellows"/>
  </cacheSource>
  <cacheFields count="89">
    <cacheField name="S.No." numFmtId="0">
      <sharedItems containsString="0" containsBlank="1" containsNumber="1" containsInteger="1" minValue="1" maxValue="291"/>
    </cacheField>
    <cacheField name="Unique ID" numFmtId="0">
      <sharedItems containsBlank="1"/>
    </cacheField>
    <cacheField name="First Name" numFmtId="0">
      <sharedItems containsBlank="1"/>
    </cacheField>
    <cacheField name="Middle Name" numFmtId="0">
      <sharedItems containsBlank="1"/>
    </cacheField>
    <cacheField name="Surname" numFmtId="0">
      <sharedItems containsBlank="1"/>
    </cacheField>
    <cacheField name="Gender" numFmtId="0">
      <sharedItems containsBlank="1" count="3">
        <s v="Male"/>
        <s v="Female"/>
        <m/>
      </sharedItems>
    </cacheField>
    <cacheField name="Cohort" numFmtId="0">
      <sharedItems containsString="0" containsBlank="1" containsNumber="1" containsInteger="1" minValue="1" maxValue="12"/>
    </cacheField>
    <cacheField name="Nationality" numFmtId="0">
      <sharedItems containsBlank="1"/>
    </cacheField>
    <cacheField name="Institution of employment at registration" numFmtId="0">
      <sharedItems containsBlank="1"/>
    </cacheField>
    <cacheField name="Discipline" numFmtId="0">
      <sharedItems containsBlank="1"/>
    </cacheField>
    <cacheField name="Department" numFmtId="0">
      <sharedItems containsBlank="1"/>
    </cacheField>
    <cacheField name="Institution of registration" numFmtId="0">
      <sharedItems containsBlank="1" count="10">
        <s v="University of Ibadan"/>
        <s v="University of Dar es Salaam"/>
        <s v="Moi University"/>
        <s v="University of the Witwatersrand"/>
        <s v="University of the Malawi"/>
        <s v="University of Rwanda"/>
        <s v="University of Nairobi"/>
        <s v="Obafemi Awolowo University"/>
        <m/>
        <s v="Makerere University"/>
      </sharedItems>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NonDate="0" containsDate="1" containsString="0" containsBlank="1" minDate="2011-03-01T00:00:00" maxDate="2025-03-04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0">
      <sharedItems containsNonDate="0" containsDate="1" containsString="0" containsBlank="1"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5-02-07T00:00:00"/>
    </cacheField>
    <cacheField name="Date of submission of corrections" numFmtId="0">
      <sharedItems containsNonDate="0" containsDate="1" containsString="0" containsBlank="1" minDate="2015-09-11T00:00:00" maxDate="2025-04-01T00:00:00"/>
    </cacheField>
    <cacheField name="Date of completion(Defended/Graduated)" numFmtId="0">
      <sharedItems containsNonDate="0" containsDate="1" containsString="0" containsBlank="1" minDate="2013-03-01T00:00:00" maxDate="2025-11-30T00:00:00"/>
    </cacheField>
    <cacheField name="Current PhD Status ( Completed/Defended/In Progress)" numFmtId="0">
      <sharedItems containsBlank="1" count="4">
        <s v="Completed"/>
        <s v="Terminated"/>
        <s v="In progress"/>
        <m/>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Naomi Njenga" refreshedDate="46202.468709837965" createdVersion="8" refreshedVersion="8" minRefreshableVersion="3" recordCount="287" xr:uid="{03F3DA93-0360-44F0-B98C-5A8DED1FBCEC}">
  <cacheSource type="worksheet">
    <worksheetSource ref="A1:CK288" sheet="Fellows"/>
  </cacheSource>
  <cacheFields count="89">
    <cacheField name="S.No." numFmtId="0">
      <sharedItems containsSemiMixedTypes="0" containsString="0" containsNumber="1" containsInteger="1" minValue="1" maxValue="291"/>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unt="2">
        <s v="Male"/>
        <s v="Female"/>
      </sharedItems>
    </cacheField>
    <cacheField name="Cohort" numFmtId="0">
      <sharedItems containsSemiMixedTypes="0" containsString="0" containsNumber="1" containsInteger="1" minValue="1" maxValue="12" count="12">
        <n v="1"/>
        <n v="2"/>
        <n v="3"/>
        <n v="4"/>
        <n v="5"/>
        <n v="6"/>
        <n v="7"/>
        <n v="8"/>
        <n v="9"/>
        <n v="10"/>
        <n v="11"/>
        <n v="12"/>
      </sharedItems>
    </cacheField>
    <cacheField name="Nationality" numFmtId="0">
      <sharedItems count="10">
        <s v="Nigeria"/>
        <s v="Rwanda"/>
        <s v="Kenya"/>
        <s v="Malawi"/>
        <s v="Tanzania"/>
        <s v="South Africa"/>
        <s v="Uganda"/>
        <s v="Senegal"/>
        <s v="Zimbabwe"/>
        <s v="Somalia"/>
      </sharedItems>
    </cacheField>
    <cacheField name="Institution of employment at registration" numFmtId="0">
      <sharedItems count="14">
        <s v="University of Ibadan"/>
        <s v="University of Rwanda"/>
        <s v="Moi University"/>
        <s v="University of Malawi"/>
        <s v="Ifakara Health Institute"/>
        <s v="Obafemi Awolowo University"/>
        <s v="University of the Witwatersrand"/>
        <s v="University of Nairobi"/>
        <s v="AGINCOURT"/>
        <s v="University of Dar es Salaam"/>
        <s v="Makerere University"/>
        <s v="APHRC"/>
        <s v="Somali National University"/>
        <s v="Kamuzu University of Health Sciences (formerly University of Malawi)"/>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ontainsBlank="1"/>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0">
      <sharedItems containsBlank="1" containsMixedTypes="1" containsNumber="1" containsInteger="1" minValue="113585404" maxValue="27761643215"/>
    </cacheField>
    <cacheField name="Masters Degree" numFmtId="0">
      <sharedItems containsBlank="1" containsMixedTypes="1" containsNumber="1" containsInteger="1" minValue="2016" maxValue="2022"/>
    </cacheField>
    <cacheField name="DOB" numFmtId="0">
      <sharedItems containsDate="1" containsString="0" containsBlank="1" containsMixedTypes="1" minDate="1962-12-12T00:00:00" maxDate="1996-11-16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5-10-01T00:00:00"/>
    </cacheField>
    <cacheField name="Year of admission into CARTA" numFmtId="0">
      <sharedItems containsSemiMixedTypes="0" containsNonDate="0" containsDate="1" containsString="0" minDate="2011-03-01T00:00:00" maxDate="2026-03-03T00:00:00"/>
    </cacheField>
    <cacheField name="Terminated" numFmtId="0">
      <sharedItems containsDate="1" containsBlank="1" containsMixedTypes="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tring="0" containsBlank="1"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6-03-03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ount="167">
        <d v="2017-01-31T00:00:00"/>
        <d v="2017-10-15T00:00:00"/>
        <d v="2014-03-31T00:00:00"/>
        <d v="2015-11-30T00:00:00"/>
        <d v="2016-06-30T00:00:00"/>
        <d v="2017-12-04T00:00:00"/>
        <d v="2016-10-31T00:00:00"/>
        <d v="2015-11-17T00:00:00"/>
        <d v="2016-08-31T00:00:00"/>
        <d v="2017-07-31T00:00:00"/>
        <d v="2014-02-01T00:00:00"/>
        <d v="2016-03-31T00:00:00"/>
        <d v="2019-08-22T00:00:00"/>
        <d v="2013-11-30T00:00:00"/>
        <d v="2018-07-04T00:00:00"/>
        <d v="2014-09-30T00:00:00"/>
        <d v="2015-09-30T00:00:00"/>
        <d v="2013-03-01T00:00:00"/>
        <d v="2013-05-01T00:00:00"/>
        <m/>
        <d v="2023-09-14T00:00:00"/>
        <d v="2016-11-30T00:00:00"/>
        <d v="2016-12-31T00:00:00"/>
        <d v="2015-06-30T00:00:00"/>
        <d v="2018-12-04T00:00:00"/>
        <d v="2019-11-18T00:00:00"/>
        <d v="2015-03-01T00:00:00"/>
        <d v="2018-01-08T00:00:00"/>
        <d v="2017-10-30T00:00:00"/>
        <d v="2019-12-20T00:00:00"/>
        <d v="2017-06-30T00:00:00"/>
        <d v="2017-11-30T00:00:00"/>
        <d v="2017-08-31T00:00:00"/>
        <d v="2015-06-18T00:00:00"/>
        <d v="2018-07-10T00:00:00"/>
        <d v="2016-11-04T00:00:00"/>
        <d v="2015-12-12T00:00:00"/>
        <d v="2017-04-30T00:00:00"/>
        <d v="2016-09-07T00:00:00"/>
        <d v="2022-01-17T00:00:00"/>
        <d v="2015-05-27T00:00:00"/>
        <d v="2017-03-31T00:00:00"/>
        <d v="2016-08-30T00:00:00"/>
        <d v="2019-04-13T00:00:00"/>
        <d v="2017-12-20T00:00:00"/>
        <d v="2019-11-30T00:00:00"/>
        <d v="2017-03-30T00:00:00"/>
        <d v="2021-03-05T00:00:00"/>
        <d v="2021-06-18T00:00:00"/>
        <d v="2021-09-03T00:00:00"/>
        <d v="2022-04-07T00:00:00"/>
        <d v="2023-09-22T00:00:00"/>
        <d v="2021-12-09T00:00:00"/>
        <d v="2021-11-08T00:00:00"/>
        <d v="2018-05-22T00:00:00"/>
        <d v="2018-10-26T00:00:00"/>
        <d v="2019-12-31T00:00:00"/>
        <d v="2018-11-30T00:00:00"/>
        <d v="2021-05-17T00:00:00"/>
        <d v="2018-04-11T00:00:00"/>
        <d v="2019-07-11T00:00:00"/>
        <d v="2022-09-23T00:00:00"/>
        <d v="2018-11-13T00:00:00"/>
        <d v="2018-11-29T00:00:00"/>
        <d v="2020-11-02T00:00:00"/>
        <d v="2019-07-12T00:00:00"/>
        <d v="2019-06-30T00:00:00"/>
        <d v="2018-05-30T00:00:00"/>
        <d v="2021-05-18T00:00:00"/>
        <d v="2021-11-29T00:00:00"/>
        <d v="2020-01-02T00:00:00"/>
        <d v="2018-12-31T00:00:00"/>
        <d v="2019-07-31T00:00:00"/>
        <d v="2020-11-20T00:00:00"/>
        <d v="2021-08-03T00:00:00"/>
        <d v="2020-11-25T00:00:00"/>
        <d v="2019-10-31T00:00:00"/>
        <d v="2018-08-15T00:00:00"/>
        <d v="2020-03-19T00:00:00"/>
        <d v="2023-01-31T00:00:00"/>
        <d v="2021-09-22T00:00:00"/>
        <d v="2020-08-26T00:00:00"/>
        <d v="2025-08-29T00:00:00"/>
        <d v="2019-10-30T00:00:00"/>
        <d v="2024-10-26T00:00:00"/>
        <d v="2021-03-21T00:00:00"/>
        <d v="2018-10-25T00:00:00"/>
        <d v="2022-02-15T00:00:00"/>
        <d v="2019-06-21T00:00:00"/>
        <d v="2024-11-14T00:00:00"/>
        <d v="2019-04-30T00:00:00"/>
        <d v="2019-08-01T00:00:00"/>
        <d v="2020-04-27T00:00:00"/>
        <d v="2021-09-14T00:00:00"/>
        <d v="2019-12-14T00:00:00"/>
        <d v="2020-08-24T00:00:00"/>
        <d v="2022-06-06T00:00:00"/>
        <d v="2018-06-30T00:00:00"/>
        <d v="2019-11-20T00:00:00"/>
        <d v="2023-06-28T00:00:00"/>
        <d v="2021-04-30T00:00:00"/>
        <d v="2024-05-31T00:00:00"/>
        <d v="2025-07-14T00:00:00"/>
        <d v="2021-05-21T00:00:00"/>
        <d v="2023-12-13T00:00:00"/>
        <d v="2021-09-29T00:00:00"/>
        <d v="2021-09-13T00:00:00"/>
        <d v="2023-11-18T00:00:00"/>
        <d v="2020-12-16T00:00:00"/>
        <d v="2022-12-22T00:00:00"/>
        <d v="2021-09-21T00:00:00"/>
        <d v="2019-11-14T00:00:00"/>
        <d v="2023-03-10T00:00:00"/>
        <d v="2023-09-26T00:00:00"/>
        <d v="2021-09-30T00:00:00"/>
        <d v="2024-10-30T00:00:00"/>
        <d v="2021-05-28T00:00:00"/>
        <d v="2022-10-17T00:00:00"/>
        <d v="2021-12-13T00:00:00"/>
        <d v="2021-08-02T00:00:00"/>
        <d v="2021-07-25T00:00:00"/>
        <d v="2022-12-06T00:00:00"/>
        <d v="2021-11-09T00:00:00"/>
        <d v="2025-04-29T00:00:00"/>
        <d v="2022-05-11T00:00:00"/>
        <d v="2024-05-22T00:00:00"/>
        <d v="2023-06-10T00:00:00"/>
        <d v="2022-04-28T00:00:00"/>
        <d v="2022-03-28T00:00:00"/>
        <d v="2022-12-05T00:00:00"/>
        <d v="2022-12-12T00:00:00"/>
        <d v="2021-09-02T00:00:00"/>
        <d v="2022-06-29T00:00:00"/>
        <d v="2023-11-17T00:00:00"/>
        <d v="2024-07-25T00:00:00"/>
        <d v="2025-02-13T00:00:00"/>
        <d v="2024-02-15T00:00:00"/>
        <d v="2023-10-03T00:00:00"/>
        <d v="2025-09-16T00:00:00"/>
        <d v="2023-11-10T00:00:00"/>
        <d v="2025-02-14T00:00:00"/>
        <d v="2023-08-30T00:00:00"/>
        <d v="2023-10-30T00:00:00"/>
        <d v="2024-07-10T00:00:00"/>
        <d v="2023-10-27T00:00:00"/>
        <d v="2023-08-25T00:00:00"/>
        <d v="2024-05-29T00:00:00"/>
        <d v="2023-11-28T00:00:00"/>
        <d v="2023-01-12T00:00:00"/>
        <d v="2024-01-22T00:00:00"/>
        <d v="2024-09-03T00:00:00"/>
        <d v="2025-10-06T00:00:00"/>
        <d v="2025-11-29T00:00:00"/>
        <d v="2025-03-01T00:00:00"/>
        <d v="2023-09-19T00:00:00"/>
        <d v="2025-03-31T00:00:00"/>
        <d v="2023-11-15T00:00:00"/>
        <d v="2026-03-13T00:00:00"/>
        <d v="2023-11-24T00:00:00"/>
        <d v="2025-10-07T00:00:00"/>
        <d v="2023-10-16T00:00:00"/>
        <d v="2024-10-03T00:00:00"/>
        <d v="2024-10-25T00:00:00"/>
        <d v="2025-10-20T00:00:00"/>
        <d v="2024-12-22T00:00:00"/>
        <d v="2024-10-31T00:00:00"/>
        <d v="2025-08-20T00:00:00"/>
      </sharedItems>
    </cacheField>
    <cacheField name="Current PhD Status ( Completed/Defended/In Progress)" numFmtId="0">
      <sharedItems count="3">
        <s v="Completed"/>
        <s v="Terminated"/>
        <s v="In progress"/>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43"/>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ontainsBlank="1"/>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ontainsBlank="1"/>
    </cacheField>
  </cacheFields>
  <extLst>
    <ext xmlns:x14="http://schemas.microsoft.com/office/spreadsheetml/2009/9/main" uri="{725AE2AE-9491-48be-B2B4-4EB974FC3084}">
      <x14:pivotCacheDefinition/>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OnLoad="1" refreshedBy="Excel Services" refreshedDate="46218.521841087961" createdVersion="6" refreshedVersion="8" minRefreshableVersion="3" recordCount="245" xr:uid="{00000000-000A-0000-FFFF-FFFFB9000000}">
  <cacheSource type="worksheet">
    <worksheetSource ref="A1:CK246" sheet="Fellows"/>
  </cacheSource>
  <cacheFields count="89">
    <cacheField name="S.No." numFmtId="0">
      <sharedItems containsSemiMixedTypes="0" containsString="0" containsNumber="1" containsInteger="1" minValue="1" maxValue="249"/>
    </cacheField>
    <cacheField name="Unique ID" numFmtId="0">
      <sharedItems/>
    </cacheField>
    <cacheField name="First Name" numFmtId="0">
      <sharedItems/>
    </cacheField>
    <cacheField name="Middle Name" numFmtId="0">
      <sharedItems containsBlank="1"/>
    </cacheField>
    <cacheField name="Surname" numFmtId="0">
      <sharedItems/>
    </cacheField>
    <cacheField name="Gender" numFmtId="0">
      <sharedItems containsBlank="1" count="3">
        <s v="Male"/>
        <s v="Female"/>
        <m u="1"/>
      </sharedItems>
    </cacheField>
    <cacheField name="Cohort" numFmtId="0">
      <sharedItems containsSemiMixedTypes="0" containsString="0" containsNumber="1" containsInteger="1" minValue="1" maxValue="10" count="10">
        <n v="1"/>
        <n v="2"/>
        <n v="3"/>
        <n v="4"/>
        <n v="5"/>
        <n v="6"/>
        <n v="7"/>
        <n v="8"/>
        <n v="9"/>
        <n v="10"/>
      </sharedItems>
    </cacheField>
    <cacheField name="Nationality" numFmtId="0">
      <sharedItems/>
    </cacheField>
    <cacheField name="Institution of employment at registration" numFmtId="0">
      <sharedItems/>
    </cacheField>
    <cacheField name="Discipline" numFmtId="0">
      <sharedItems containsBlank="1"/>
    </cacheField>
    <cacheField name="Department" numFmtId="0">
      <sharedItems containsBlank="1"/>
    </cacheField>
    <cacheField name="Institution of registration" numFmtId="0">
      <sharedItems containsBlank="1"/>
    </cacheField>
    <cacheField name="Registered at Home" numFmtId="0">
      <sharedItems containsBlank="1"/>
    </cacheField>
    <cacheField name="PhD Student Number at Host Institution" numFmtId="0">
      <sharedItems containsBlank="1" containsMixedTypes="1" containsNumber="1" containsInteger="1" minValue="1706" maxValue="201980015427"/>
    </cacheField>
    <cacheField name="Marital Status at enrolment" numFmtId="0">
      <sharedItems containsBlank="1"/>
    </cacheField>
    <cacheField name="Current Marital Status" numFmtId="0">
      <sharedItems/>
    </cacheField>
    <cacheField name="Marital Status at Completion" numFmtId="0">
      <sharedItems containsBlank="1"/>
    </cacheField>
    <cacheField name="Email" numFmtId="0">
      <sharedItems containsBlank="1"/>
    </cacheField>
    <cacheField name="Alternative e-mail" numFmtId="0">
      <sharedItems containsBlank="1"/>
    </cacheField>
    <cacheField name="Phone" numFmtId="2">
      <sharedItems containsBlank="1" containsMixedTypes="1" containsNumber="1" containsInteger="1" minValue="113585404" maxValue="27761643215"/>
    </cacheField>
    <cacheField name="Masters Degree" numFmtId="0">
      <sharedItems containsBlank="1"/>
    </cacheField>
    <cacheField name="DOB" numFmtId="0">
      <sharedItems containsDate="1" containsString="0" containsBlank="1" containsMixedTypes="1" minDate="1962-12-12T00:00:00" maxDate="1993-02-03T00:00:00"/>
    </cacheField>
    <cacheField name="Proposed Research Title" numFmtId="0">
      <sharedItems containsBlank="1" longText="1"/>
    </cacheField>
    <cacheField name="Type of study" numFmtId="0">
      <sharedItems containsBlank="1"/>
    </cacheField>
    <cacheField name="Laboratory work?" numFmtId="0">
      <sharedItems containsBlank="1"/>
    </cacheField>
    <cacheField name="Type of data" numFmtId="0">
      <sharedItems containsBlank="1"/>
    </cacheField>
    <cacheField name="Ranking" numFmtId="0">
      <sharedItems containsString="0" containsBlank="1" containsNumber="1" minValue="1" maxValue="45"/>
    </cacheField>
    <cacheField name="Date of PhD registration" numFmtId="0">
      <sharedItems containsNonDate="0" containsDate="1" containsString="0" containsBlank="1" minDate="2011-01-01T00:00:00" maxDate="2022-03-03T00:00:00"/>
    </cacheField>
    <cacheField name="Year of admission into CARTA" numFmtId="0">
      <sharedItems containsSemiMixedTypes="0" containsNonDate="0" containsDate="1" containsString="0" minDate="2011-03-01T00:00:00" maxDate="2020-03-02T00:00:00"/>
    </cacheField>
    <cacheField name="Terminated" numFmtId="0">
      <sharedItems containsNonDate="0" containsDate="1" containsString="0" containsBlank="1" minDate="2011-11-18T00:00:00" maxDate="2025-03-26T00:00:00"/>
    </cacheField>
    <cacheField name="1st Supervisors" numFmtId="0">
      <sharedItems containsBlank="1"/>
    </cacheField>
    <cacheField name="2nd Supervisor" numFmtId="0">
      <sharedItems containsBlank="1"/>
    </cacheField>
    <cacheField name="3rd Supervisor" numFmtId="0">
      <sharedItems containsBlank="1"/>
    </cacheField>
    <cacheField name="Number of supervisors" numFmtId="0">
      <sharedItems containsSemiMixedTypes="0" containsString="0" containsNumber="1" containsInteger="1" minValue="0" maxValue="3"/>
    </cacheField>
    <cacheField name="Institution for 1st Supervisor" numFmtId="0">
      <sharedItems containsBlank="1"/>
    </cacheField>
    <cacheField name="Institution for 2nd Supervisor" numFmtId="0">
      <sharedItems containsBlank="1"/>
    </cacheField>
    <cacheField name="Institution for 3rd Supervisor" numFmtId="0">
      <sharedItems containsBlank="1"/>
    </cacheField>
    <cacheField name="1st Supervisors workshop Attendance" numFmtId="0">
      <sharedItems containsBlank="1" containsMixedTypes="1" containsNumber="1" containsInteger="1" minValue="2013" maxValue="2013"/>
    </cacheField>
    <cacheField name="2nd Supervisors workshop Attendance" numFmtId="0">
      <sharedItems containsBlank="1"/>
    </cacheField>
    <cacheField name="3rd Supervisors workshop Attendance" numFmtId="0">
      <sharedItems containsBlank="1"/>
    </cacheField>
    <cacheField name="Type of employment" numFmtId="0">
      <sharedItems containsBlank="1"/>
    </cacheField>
    <cacheField name="Position at Enrollment" numFmtId="0">
      <sharedItems containsBlank="1"/>
    </cacheField>
    <cacheField name="Current Position " numFmtId="0">
      <sharedItems containsBlank="1"/>
    </cacheField>
    <cacheField name="Promotion event" numFmtId="0">
      <sharedItems containsBlank="1"/>
    </cacheField>
    <cacheField name="Other responsibilities" numFmtId="0">
      <sharedItems containsBlank="1" longText="1"/>
    </cacheField>
    <cacheField name="Current Institution (Year of change in ())" numFmtId="0">
      <sharedItems containsBlank="1"/>
    </cacheField>
    <cacheField name="ORCID" numFmtId="0">
      <sharedItems containsBlank="1"/>
    </cacheField>
    <cacheField name="Suspensions" numFmtId="0">
      <sharedItems containsDate="1" containsBlank="1" containsMixedTypes="1" minDate="2017-07-05T00:00:00" maxDate="2017-07-06T00:00:00"/>
    </cacheField>
    <cacheField name="Month/ Year JAS1" numFmtId="166">
      <sharedItems containsSemiMixedTypes="0" containsNonDate="0" containsDate="1" containsString="0" minDate="2011-04-01T00:00:00" maxDate="2020-03-27T00:00:00"/>
    </cacheField>
    <cacheField name="Month/ Year JAS2" numFmtId="0">
      <sharedItems containsDate="1" containsBlank="1" containsMixedTypes="1" minDate="2011-12-01T00:00:00" maxDate="2020-11-02T00:00:00"/>
    </cacheField>
    <cacheField name="Attended JAS 2 on time" numFmtId="0">
      <sharedItems containsBlank="1"/>
    </cacheField>
    <cacheField name="Date of protocol submission to PG" numFmtId="0">
      <sharedItems containsNonDate="0" containsDate="1" containsString="0" containsBlank="1" minDate="2010-10-13T00:00:00" maxDate="2022-11-24T00:00:00"/>
    </cacheField>
    <cacheField name="Date of protocol submission to IRB" numFmtId="0">
      <sharedItems containsNonDate="0" containsDate="1" containsString="0" containsBlank="1" minDate="2011-07-03T00:00:00" maxDate="2022-11-23T00:00:00"/>
    </cacheField>
    <cacheField name="Date of Ethics approval" numFmtId="0">
      <sharedItems containsNonDate="0" containsDate="1" containsString="0" containsBlank="1" minDate="2012-10-11T00:00:00" maxDate="2018-12-12T00:00:00"/>
    </cacheField>
    <cacheField name="Review body" numFmtId="0">
      <sharedItems containsNonDate="0" containsString="0" containsBlank="1"/>
    </cacheField>
    <cacheField name="Ethiical reference number" numFmtId="0">
      <sharedItems containsNonDate="0" containsString="0" containsBlank="1"/>
    </cacheField>
    <cacheField name="Approcved research topic" numFmtId="0">
      <sharedItems containsBlank="1"/>
    </cacheField>
    <cacheField name="Month/ Year JAS3" numFmtId="0">
      <sharedItems containsDate="1" containsBlank="1" containsMixedTypes="1" minDate="2013-07-01T00:00:00" maxDate="2023-05-16T00:00:00"/>
    </cacheField>
    <cacheField name="Attended JAS 3 on time" numFmtId="0">
      <sharedItems containsBlank="1"/>
    </cacheField>
    <cacheField name="Month/ Year JAS4" numFmtId="0">
      <sharedItems containsDate="1" containsBlank="1" containsMixedTypes="1" minDate="2014-03-01T00:00:00" maxDate="2024-07-04T00:00:00"/>
    </cacheField>
    <cacheField name="Attended JAS 4 on time" numFmtId="0">
      <sharedItems containsBlank="1"/>
    </cacheField>
    <cacheField name="Date of submission of dissertation for examination" numFmtId="0">
      <sharedItems containsNonDate="0" containsDate="1" containsString="0" containsBlank="1" minDate="2015-07-20T00:00:00" maxDate="2025-04-01T00:00:00"/>
    </cacheField>
    <cacheField name="Date of defense" numFmtId="0">
      <sharedItems containsDate="1" containsBlank="1" containsMixedTypes="1" minDate="2015-08-15T00:00:00" maxDate="2026-02-06T00:00:00"/>
    </cacheField>
    <cacheField name="Date of submission of corrections" numFmtId="0">
      <sharedItems containsNonDate="0" containsDate="1" containsString="0" containsBlank="1" minDate="2015-09-11T00:00:00" maxDate="2026-03-14T00:00:00"/>
    </cacheField>
    <cacheField name="Date of completion(Defended/Graduated)" numFmtId="0">
      <sharedItems containsNonDate="0" containsDate="1" containsString="0" containsBlank="1" minDate="2013-03-01T00:00:00" maxDate="2026-03-14T00:00:00"/>
    </cacheField>
    <cacheField name="Current PhD Status ( Completed/Defended/In Progress)" numFmtId="0">
      <sharedItems count="5">
        <s v="Completed"/>
        <s v="Terminated"/>
        <s v="In progress"/>
        <s v="Didn’t take up" u="1"/>
        <s v="Defended" u="1"/>
      </sharedItems>
    </cacheField>
    <cacheField name="Time to completion since enrolling CARTA (Months) " numFmtId="0">
      <sharedItems containsBlank="1" containsMixedTypes="1" containsNumber="1" containsInteger="1" minValue="22" maxValue="139"/>
    </cacheField>
    <cacheField name="Time to completion since PhD registration (Months) " numFmtId="0">
      <sharedItems containsBlank="1" containsMixedTypes="1" containsNumber="1" containsInteger="1" minValue="14" maxValue="131"/>
    </cacheField>
    <cacheField name="Thesis title" numFmtId="0">
      <sharedItems containsBlank="1" containsMixedTypes="1" containsNumber="1" containsInteger="1" minValue="2511" maxValue="2511" longText="1"/>
    </cacheField>
    <cacheField name="No of Publications at Enrollment" numFmtId="0">
      <sharedItems containsBlank="1" containsMixedTypes="1" containsNumber="1" containsInteger="1" minValue="0" maxValue="24"/>
    </cacheField>
    <cacheField name="No of Publications During PhD " numFmtId="0">
      <sharedItems containsString="0" containsBlank="1" containsNumber="1" containsInteger="1" minValue="0" maxValue="57"/>
    </cacheField>
    <cacheField name="No of Publications after PhD" numFmtId="0">
      <sharedItems containsString="0" containsBlank="1" containsNumber="1" containsInteger="1" minValue="0" maxValue="117"/>
    </cacheField>
    <cacheField name="1st Author PhD  Publications" numFmtId="0">
      <sharedItems containsString="0" containsBlank="1" containsNumber="1" containsInteger="1" minValue="0" maxValue="11"/>
    </cacheField>
    <cacheField name="Last Author PhD Publications" numFmtId="0">
      <sharedItems containsString="0" containsBlank="1" containsNumber="1" containsInteger="1" minValue="0" maxValue="10"/>
    </cacheField>
    <cacheField name="1st Author Graduate  Publications" numFmtId="0">
      <sharedItems containsString="0" containsBlank="1" containsNumber="1" containsInteger="1" minValue="0" maxValue="18"/>
    </cacheField>
    <cacheField name="Last Author  Graduate Publications" numFmtId="0">
      <sharedItems containsString="0" containsBlank="1" containsNumber="1" containsInteger="1" minValue="0" maxValue="9"/>
    </cacheField>
    <cacheField name="Baby Minder (Event, Year)" numFmtId="0">
      <sharedItems/>
    </cacheField>
    <cacheField name="Taken on leave of absence (Yes/No)" numFmtId="0">
      <sharedItems containsBlank="1" containsMixedTypes="1" containsNumber="1" containsInteger="1" minValue="0" maxValue="365"/>
    </cacheField>
    <cacheField name="Reason for taking leave of absence" numFmtId="0">
      <sharedItems containsBlank="1"/>
    </cacheField>
    <cacheField name="Leave start Date" numFmtId="0">
      <sharedItems containsNonDate="0" containsDate="1" containsString="0" containsBlank="1" minDate="2017-03-01T00:00:00" maxDate="2024-10-22T00:00:00"/>
    </cacheField>
    <cacheField name="Leave end Date" numFmtId="0">
      <sharedItems containsNonDate="0" containsDate="1" containsString="0" containsBlank="1" minDate="2018-02-01T00:00:00" maxDate="2025-03-01T00:00:00"/>
    </cacheField>
    <cacheField name="Time taken on leave (months)" numFmtId="0">
      <sharedItems containsString="0" containsBlank="1" containsNumber="1" containsInteger="1" minValue="2" maxValue="48"/>
    </cacheField>
    <cacheField name="Teacher Replacement" numFmtId="0">
      <sharedItems containsBlank="1"/>
    </cacheField>
    <cacheField name="Teacher replacement start Date" numFmtId="0">
      <sharedItems containsString="0" containsBlank="1" containsNumber="1" containsInteger="1" minValue="43891" maxValue="43891"/>
    </cacheField>
    <cacheField name="Teacher replacement end Date" numFmtId="0">
      <sharedItems containsString="0" containsBlank="1" containsNumber="1" containsInteger="1" minValue="44012" maxValue="44012"/>
    </cacheField>
    <cacheField name="No. of Children at Entry in CARTA" numFmtId="0">
      <sharedItems containsBlank="1" containsMixedTypes="1" containsNumber="1" containsInteger="1" minValue="0" maxValue="5"/>
    </cacheField>
    <cacheField name="No. of children at graduation" numFmtId="0">
      <sharedItems containsBlank="1" containsMixedTypes="1" containsNumber="1" containsInteger="1" minValue="0" maxValue="6"/>
    </cacheField>
    <cacheField name="No of Publications for Graduation" numFmtId="0">
      <sharedItems containsBlank="1" containsMixedTypes="1" containsNumber="1" containsInteger="1" minValue="0" maxValue="3"/>
    </cacheField>
    <cacheField name="Fellow Funder" numFmtId="0">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65">
  <r>
    <n v="1"/>
    <s v="C1/001"/>
    <s v="Babatunde"/>
    <s v="Olubayo"/>
    <s v="Adedokun"/>
    <x v="0"/>
    <x v="0"/>
    <x v="0"/>
    <x v="0"/>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x v="0"/>
    <m/>
    <s v="Prof Afolabi Bamgboye"/>
    <s v="Prof. Olusola Ayeni"/>
    <m/>
    <n v="2"/>
    <s v="Home"/>
    <s v="Host"/>
    <m/>
    <s v="Yes"/>
    <s v="No"/>
    <m/>
    <s v="Academic"/>
    <m/>
    <s v="Lecturer "/>
    <x v="0"/>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x v="0"/>
    <m/>
    <s v="Dr. Julius Kivelia"/>
    <m/>
    <m/>
    <n v="1"/>
    <s v="Host"/>
    <m/>
    <m/>
    <s v="Yes"/>
    <m/>
    <m/>
    <s v="Academic"/>
    <s v="Assistant Lecturer"/>
    <s v="Researcher"/>
    <x v="0"/>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x v="0"/>
    <m/>
    <s v="Prof Christopher Joseph Odhiambo"/>
    <s v="Prof. Peter Tirop Simatei"/>
    <s v="Caroline Kabiru"/>
    <n v="3"/>
    <s v="Home"/>
    <s v="Host"/>
    <s v="Other"/>
    <s v="Yes"/>
    <s v="No"/>
    <s v="Yes"/>
    <s v="Academic"/>
    <s v="Lecturer"/>
    <s v="Lecturer"/>
    <x v="0"/>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x v="0"/>
    <m/>
    <s v="Dr. Sokoni Cosmas Hassan"/>
    <m/>
    <m/>
    <n v="1"/>
    <s v="Host"/>
    <s v="Other"/>
    <m/>
    <s v="Yes"/>
    <s v="Yes"/>
    <m/>
    <s v="Academic"/>
    <s v="Assistant Lecturer"/>
    <s v="Associate Professor"/>
    <x v="0"/>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x v="0"/>
    <m/>
    <s v="Prof Mary Gulumian"/>
    <s v="Dr. Louisa Alfazema"/>
    <m/>
    <n v="2"/>
    <s v="Host"/>
    <s v="Home"/>
    <m/>
    <s v="Yes"/>
    <s v="No"/>
    <m/>
    <s v="Academic"/>
    <s v="Lecturer"/>
    <s v="Senior Medical Epidemiologist _x000a_"/>
    <x v="0"/>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x v="0"/>
    <m/>
    <s v="Dr. Maureen Coetzee"/>
    <s v="Dr. Gerry Killeen"/>
    <s v="Dr. Stefan Dongus"/>
    <n v="3"/>
    <s v="Host"/>
    <s v="Home"/>
    <s v="Home"/>
    <s v="Yes"/>
    <s v="Yes"/>
    <s v="No"/>
    <s v="Researcher"/>
    <s v="Assistant Lecturer"/>
    <s v="Senior Lecturer"/>
    <x v="0"/>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x v="0"/>
    <m/>
    <s v="Prof Shane Norris"/>
    <s v="Dr. Paula Griffiths"/>
    <s v="Assoc Prof. Ken Maleta"/>
    <n v="3"/>
    <s v="Host"/>
    <s v="Other"/>
    <s v="Home"/>
    <s v="Yes"/>
    <s v="No"/>
    <s v="No"/>
    <s v="Academic"/>
    <s v="Lecturer"/>
    <s v="Senior Biostatistician"/>
    <x v="0"/>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x v="0"/>
    <m/>
    <s v="Professor Babalola Joseph Folorunso"/>
    <s v="Professor Lateef Babatunde Salako"/>
    <m/>
    <n v="2"/>
    <s v="Other "/>
    <m/>
    <m/>
    <s v="Yes"/>
    <m/>
    <m/>
    <s v="Academic"/>
    <s v="Lecturer II "/>
    <s v="Senior Lecturer"/>
    <x v="0"/>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x v="0"/>
    <m/>
    <s v="Dr. Maureen Leah Chirwa"/>
    <s v="Dr. Adamson Muula"/>
    <m/>
    <n v="2"/>
    <s v="Home"/>
    <s v="Host"/>
    <m/>
    <s v="Yes"/>
    <s v="Yes"/>
    <m/>
    <s v="Academic"/>
    <m/>
    <s v="Lecturer"/>
    <x v="1"/>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x v="0"/>
    <m/>
    <s v="Dr. Thomas N. O. Achia"/>
    <s v="Dr. Lyambabaje Alexandre"/>
    <s v="Joseph Ntaganira"/>
    <n v="3"/>
    <s v="Other "/>
    <s v="Home"/>
    <s v="Home"/>
    <s v="Yes"/>
    <s v="Yes"/>
    <s v="No"/>
    <s v="Academic"/>
    <s v="Assistant Lecturer"/>
    <s v="Professor "/>
    <x v="0"/>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x v="0"/>
    <m/>
    <s v="Prof Afolabi Bamgboye"/>
    <s v="Prof. Olusola Ayeni"/>
    <m/>
    <n v="2"/>
    <s v="Home"/>
    <s v="Host"/>
    <m/>
    <s v="Yes"/>
    <s v="No"/>
    <m/>
    <s v="Academic"/>
    <s v="Lecturer"/>
    <s v="Professor "/>
    <x v="0"/>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x v="0"/>
    <m/>
    <s v="Lawrence N.M. Kazembe"/>
    <s v="Dr. Liz Thomas"/>
    <m/>
    <n v="2"/>
    <s v="Home"/>
    <s v="Host"/>
    <m/>
    <s v="Yes"/>
    <s v="No"/>
    <m/>
    <s v="Academic"/>
    <s v="Lecturer"/>
    <s v="Associate Professor "/>
    <x v="0"/>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x v="0"/>
    <m/>
    <s v="Prof Joshua Akong’a"/>
    <s v="Dr. Grace Ettyang"/>
    <m/>
    <n v="2"/>
    <s v="Home"/>
    <s v="Host"/>
    <m/>
    <s v="Yes"/>
    <s v="Yes"/>
    <m/>
    <s v="Academic"/>
    <m/>
    <s v="Senior Lecturer"/>
    <x v="1"/>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x v="0"/>
    <m/>
    <s v="Prof Clifford Odimegwu"/>
    <m/>
    <m/>
    <n v="1"/>
    <s v="Home"/>
    <m/>
    <m/>
    <s v="No"/>
    <m/>
    <m/>
    <s v="Academic"/>
    <s v="Tutor"/>
    <s v="Associate Professor "/>
    <x v="0"/>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x v="0"/>
    <m/>
    <s v="Dr. Tobias Chirwa"/>
    <s v="Dr. Guy de Bruyn"/>
    <m/>
    <n v="2"/>
    <s v="Home"/>
    <s v="Home"/>
    <m/>
    <s v="Yes"/>
    <s v="No"/>
    <m/>
    <s v="Other"/>
    <s v="Senior Statistician"/>
    <s v="Associate Professor "/>
    <x v="0"/>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x v="0"/>
    <m/>
    <s v="Prof Jill Murray"/>
    <s v="Prof. Hendrik J. Koornhof"/>
    <s v="Dr. Olga Perovic"/>
    <n v="3"/>
    <s v="Home"/>
    <s v="Home"/>
    <s v="Home"/>
    <s v="Yes"/>
    <s v="No"/>
    <s v="No"/>
    <s v="Academic"/>
    <m/>
    <s v="Associate Professor "/>
    <x v="0"/>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x v="0"/>
    <m/>
    <s v="Prof. Wambui Kogi-Makau"/>
    <s v="Prof. Koigi R. Kamau"/>
    <s v="Dr. Anne Obondo"/>
    <n v="3"/>
    <s v="Home"/>
    <s v="Home"/>
    <s v="Home"/>
    <s v="Yes"/>
    <s v="No"/>
    <s v="No"/>
    <s v="Academic"/>
    <s v=" Lecturer"/>
    <s v="Senior Lecturer"/>
    <x v="0"/>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x v="0"/>
    <m/>
    <s v="Prof Clifford Odimegwu"/>
    <s v="Dr. Samson Bamiwuye"/>
    <m/>
    <n v="2"/>
    <s v="Host"/>
    <s v="Home"/>
    <m/>
    <s v="Yes"/>
    <s v="Yes"/>
    <m/>
    <s v="Academic"/>
    <s v="Lecturer"/>
    <s v="Professor "/>
    <x v="0"/>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x v="0"/>
    <m/>
    <s v="Ogunjuyigbe Peter Olasupo"/>
    <m/>
    <m/>
    <n v="1"/>
    <s v="Home"/>
    <m/>
    <m/>
    <s v="Yes"/>
    <m/>
    <m/>
    <s v="Academic"/>
    <s v="Lecturer II"/>
    <s v="Associate Professor "/>
    <x v="0"/>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x v="0"/>
    <m/>
    <s v="Dr. Mark Collinson"/>
    <s v="Prof. Philippe Bocquier"/>
    <m/>
    <n v="2"/>
    <s v="Home"/>
    <s v="Host"/>
    <m/>
    <s v="Yes"/>
    <s v="No"/>
    <m/>
    <s v="Other"/>
    <m/>
    <s v="Lead Data Scientist"/>
    <x v="1"/>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x v="8"/>
    <m/>
    <s v="NF"/>
    <s v="NF"/>
    <s v="NF"/>
    <s v="NF"/>
    <m/>
    <m/>
    <m/>
    <m/>
    <m/>
    <m/>
    <m/>
    <m/>
    <m/>
    <m/>
    <m/>
    <x v="0"/>
    <d v="2011-11-18T00:00:00"/>
    <m/>
    <m/>
    <m/>
    <n v="0"/>
    <m/>
    <m/>
    <m/>
    <m/>
    <m/>
    <m/>
    <m/>
    <m/>
    <m/>
    <x v="1"/>
    <m/>
    <m/>
    <m/>
    <m/>
    <d v="2011-04-01T00:00:00"/>
    <m/>
    <m/>
    <m/>
    <m/>
    <m/>
    <m/>
    <m/>
    <m/>
    <m/>
    <m/>
    <m/>
    <m/>
    <m/>
    <m/>
    <m/>
    <x v="19"/>
    <x v="1"/>
    <s v="Terminated"/>
    <m/>
    <m/>
    <m/>
    <m/>
    <m/>
    <m/>
    <m/>
    <m/>
    <m/>
    <s v="No"/>
    <s v=""/>
    <m/>
    <m/>
    <m/>
    <m/>
    <m/>
    <m/>
    <m/>
    <m/>
    <m/>
    <m/>
    <s v="NF"/>
  </r>
  <r>
    <n v="23"/>
    <s v="C1/023"/>
    <s v="Peter "/>
    <s v="Mwamba "/>
    <s v="Maturi"/>
    <x v="0"/>
    <x v="0"/>
    <x v="2"/>
    <x v="7"/>
    <m/>
    <m/>
    <x v="6"/>
    <s v="Yes"/>
    <s v="NF"/>
    <s v="NF"/>
    <s v="NF"/>
    <s v="NF"/>
    <m/>
    <m/>
    <m/>
    <m/>
    <m/>
    <m/>
    <m/>
    <m/>
    <m/>
    <m/>
    <m/>
    <x v="0"/>
    <d v="2016-08-31T00:00:00"/>
    <m/>
    <m/>
    <m/>
    <n v="0"/>
    <m/>
    <m/>
    <m/>
    <m/>
    <m/>
    <m/>
    <m/>
    <m/>
    <m/>
    <x v="1"/>
    <m/>
    <m/>
    <m/>
    <m/>
    <d v="2011-04-01T00:00:00"/>
    <m/>
    <m/>
    <m/>
    <m/>
    <m/>
    <m/>
    <m/>
    <m/>
    <m/>
    <m/>
    <m/>
    <m/>
    <m/>
    <m/>
    <m/>
    <x v="19"/>
    <x v="1"/>
    <s v="Terminated"/>
    <m/>
    <m/>
    <m/>
    <m/>
    <m/>
    <m/>
    <m/>
    <m/>
    <m/>
    <s v="No"/>
    <s v=""/>
    <m/>
    <m/>
    <m/>
    <m/>
    <m/>
    <m/>
    <m/>
    <m/>
    <m/>
    <m/>
    <s v="NF"/>
  </r>
  <r>
    <n v="24"/>
    <s v="C1/024"/>
    <s v="Jaclkline"/>
    <s v="Halima"/>
    <s v="Mgumia"/>
    <x v="1"/>
    <x v="0"/>
    <x v="4"/>
    <x v="9"/>
    <m/>
    <m/>
    <x v="8"/>
    <m/>
    <s v="NF"/>
    <s v="NF"/>
    <s v="NF"/>
    <s v="NF"/>
    <m/>
    <m/>
    <m/>
    <m/>
    <m/>
    <m/>
    <m/>
    <m/>
    <m/>
    <m/>
    <m/>
    <x v="0"/>
    <d v="2012-12-31T00:00:00"/>
    <m/>
    <m/>
    <m/>
    <n v="0"/>
    <m/>
    <m/>
    <m/>
    <m/>
    <m/>
    <m/>
    <m/>
    <m/>
    <m/>
    <x v="1"/>
    <m/>
    <m/>
    <m/>
    <m/>
    <d v="2011-04-01T00:00:00"/>
    <m/>
    <m/>
    <m/>
    <m/>
    <m/>
    <m/>
    <m/>
    <m/>
    <m/>
    <m/>
    <m/>
    <m/>
    <m/>
    <m/>
    <m/>
    <x v="19"/>
    <x v="1"/>
    <s v="Terminated"/>
    <m/>
    <m/>
    <m/>
    <m/>
    <m/>
    <m/>
    <m/>
    <m/>
    <m/>
    <s v="No"/>
    <m/>
    <m/>
    <m/>
    <m/>
    <m/>
    <m/>
    <m/>
    <m/>
    <m/>
    <m/>
    <m/>
    <s v="NF"/>
  </r>
  <r>
    <n v="26"/>
    <s v="C2/001"/>
    <s v="Adebolajo"/>
    <m/>
    <s v="Adeyemo"/>
    <x v="0"/>
    <x v="1"/>
    <x v="0"/>
    <x v="0"/>
    <s v="Epidemiology"/>
    <m/>
    <x v="0"/>
    <s v="Yes"/>
    <m/>
    <s v="Married"/>
    <s v="Married"/>
    <m/>
    <s v="aadeyemo@cartafrica.org"/>
    <s v="adebolajo@hotmail.com"/>
    <m/>
    <s v="M.Sc Immunology"/>
    <d v="1974-02-02T00:00:00"/>
    <s v="Genetic epidemiology in Nigeria"/>
    <s v="Field"/>
    <s v="yes"/>
    <s v="Primary"/>
    <n v="13.5"/>
    <d v="2012-01-16T00:00:00"/>
    <x v="1"/>
    <m/>
    <s v="Prof. Odunayo Moronfoluwa Oluwatosin"/>
    <s v="Prof. Omotade Olayemi Olufemi-Julius"/>
    <m/>
    <n v="2"/>
    <s v="Home"/>
    <s v="Home"/>
    <m/>
    <s v="Yes"/>
    <s v="No"/>
    <m/>
    <s v="Academic"/>
    <s v="Assistant Lecturer"/>
    <s v="Senior Medical Research Fellow"/>
    <x v="0"/>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x v="1"/>
    <m/>
    <s v="Dr. Angela Chimwaza"/>
    <s v="Dr. Adamson Muula"/>
    <m/>
    <n v="2"/>
    <s v="Home"/>
    <s v="Home"/>
    <m/>
    <s v="Yes"/>
    <s v="Yes"/>
    <m/>
    <s v="Academic"/>
    <s v="Project Coordinator"/>
    <s v="Associate Professor"/>
    <x v="0"/>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x v="1"/>
    <m/>
    <s v="Wilson Mandala"/>
    <s v="Dr. Lucy Namkinga"/>
    <m/>
    <n v="2"/>
    <s v="Home"/>
    <s v="Other"/>
    <m/>
    <s v="Yes"/>
    <s v="Yes"/>
    <m/>
    <s v="Academic"/>
    <s v="Lecturer"/>
    <s v="Associate Professor"/>
    <x v="0"/>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x v="2"/>
    <s v="Yes"/>
    <m/>
    <s v="Married"/>
    <s v="Married"/>
    <m/>
    <s v="dmenya@cartafrica.org"/>
    <s v="dianamenya@gmail.com"/>
    <s v="+254 720352579/+254 733777500"/>
    <s v="MSc. Clinical Epidemiology"/>
    <d v="1975-05-17T00:00:00"/>
    <m/>
    <s v="Clinical research"/>
    <s v="unkown"/>
    <s v="Primary"/>
    <m/>
    <d v="2013-03-01T00:00:00"/>
    <x v="1"/>
    <m/>
    <s v="Prof. Odipo Osano"/>
    <s v="Prof Rafael Carel"/>
    <m/>
    <n v="2"/>
    <s v="Other "/>
    <s v="Other"/>
    <m/>
    <s v="No"/>
    <s v="No"/>
    <m/>
    <s v="Academic"/>
    <s v="Senior Lecturer"/>
    <s v="Associate Professor"/>
    <x v="0"/>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x v="1"/>
    <m/>
    <s v="Dr. Lawrence Ikamari"/>
    <s v="Dr. Alfred Agwanda Otieno"/>
    <m/>
    <n v="2"/>
    <s v="Host"/>
    <s v="Host"/>
    <m/>
    <s v="Yes"/>
    <s v="Yes"/>
    <m/>
    <s v="Researcher"/>
    <s v="Assistant Lecturer"/>
    <s v="Lecturer"/>
    <x v="0"/>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x v="1"/>
    <m/>
    <s v="Dr. James Ntozi"/>
    <s v="Dr. Betty Kwagala"/>
    <m/>
    <n v="2"/>
    <s v="Home"/>
    <s v="Home"/>
    <m/>
    <s v="Yes"/>
    <s v="No"/>
    <m/>
    <s v="Academic"/>
    <s v="Assistant Lecturer"/>
    <s v="Senior Lecturer"/>
    <x v="0"/>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x v="1"/>
    <m/>
    <s v="Prof. Elijah Afolabi Bamgboye"/>
    <m/>
    <m/>
    <n v="1"/>
    <s v="Home"/>
    <m/>
    <m/>
    <s v="Yes"/>
    <m/>
    <m/>
    <s v="Academic"/>
    <s v="Lecturer II "/>
    <s v="Professor "/>
    <x v="0"/>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x v="1"/>
    <m/>
    <s v="Dr. Enock Matovu"/>
    <s v="Dr. Jean Langhorne"/>
    <m/>
    <n v="2"/>
    <s v="Home"/>
    <s v="Other"/>
    <m/>
    <s v="Yes"/>
    <s v="No"/>
    <m/>
    <s v="Academic"/>
    <s v="Teaching Assistant"/>
    <m/>
    <x v="1"/>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x v="1"/>
    <m/>
    <s v="Dr. Wilson Mandala"/>
    <s v="Dr. Adam Cunningham"/>
    <s v="Cal MacLennan"/>
    <n v="3"/>
    <s v="Home"/>
    <s v="Other"/>
    <m/>
    <s v="Yes"/>
    <s v="No"/>
    <m/>
    <m/>
    <s v="Research Scientist"/>
    <s v="Deputy Director Laboratory Support, ICAP at Columbia University"/>
    <x v="0"/>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x v="1"/>
    <m/>
    <s v="Dr. Moses Ngware"/>
    <s v="Dr. Caroline Kabiru"/>
    <s v="Dr. Kandala Ngianga"/>
    <n v="3"/>
    <s v="Home"/>
    <s v="Home"/>
    <s v="Other"/>
    <s v="Yes"/>
    <s v="Yes"/>
    <s v="No"/>
    <s v="Researcher"/>
    <s v="Data Analyst"/>
    <s v="Director Research at Zizi Afrique_x000a_"/>
    <x v="0"/>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x v="1"/>
    <m/>
    <s v="Dr. Lawrence Ikamari"/>
    <s v="Dr. Murungaru Kimani"/>
    <m/>
    <n v="2"/>
    <s v="Home"/>
    <s v="Home"/>
    <m/>
    <s v="Yes"/>
    <s v="No"/>
    <m/>
    <s v="Academic"/>
    <m/>
    <m/>
    <x v="1"/>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x v="1"/>
    <m/>
    <s v="Prof. Peter O. Ogunjuyigbe"/>
    <s v="Ambrose Akinlo"/>
    <m/>
    <n v="2"/>
    <s v="Home"/>
    <m/>
    <m/>
    <s v="Yes"/>
    <m/>
    <m/>
    <s v="Academic"/>
    <s v="Lecturer II"/>
    <s v="Senior Lecturer"/>
    <x v="0"/>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x v="1"/>
    <m/>
    <s v="Dr. Roseangela Nwuba"/>
    <m/>
    <m/>
    <n v="1"/>
    <s v="Home"/>
    <m/>
    <m/>
    <s v="Yes"/>
    <m/>
    <m/>
    <s v="Academic"/>
    <m/>
    <s v="Lecturer"/>
    <x v="1"/>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x v="1"/>
    <m/>
    <s v="Prof. Ebrahim Momoniat"/>
    <s v="Prof. Shirley Abelman"/>
    <s v="Prof. Jean M. Tchuenche"/>
    <n v="3"/>
    <s v="Other "/>
    <s v="Other "/>
    <s v="Other "/>
    <s v="No"/>
    <s v="No"/>
    <s v="No"/>
    <s v="Academic"/>
    <s v="Lecturer"/>
    <s v="Lecturer"/>
    <x v="2"/>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x v="1"/>
    <d v="2025-03-25T00:00:00"/>
    <s v="Prof. Mbambo-Kekana Nonceba Priscilla"/>
    <s v="Dr. Hellen Myezwa"/>
    <s v="Dr. Kerith Aginsky"/>
    <n v="3"/>
    <s v="Other "/>
    <s v="Home"/>
    <s v="Home/ Host"/>
    <s v="Yes"/>
    <s v="Yes"/>
    <s v="Yes"/>
    <s v="Academic"/>
    <s v="Lecturer"/>
    <m/>
    <x v="1"/>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x v="1"/>
    <m/>
    <s v="Dr. Daniel Kabonge Kaye"/>
    <s v="Dr. Noah Kiwanuka"/>
    <s v="Prof. Fred Wabwire-Mangen"/>
    <n v="3"/>
    <s v="Home"/>
    <s v="Home"/>
    <s v="Home/ Host"/>
    <s v="Yes"/>
    <s v="No"/>
    <s v="No"/>
    <s v="Academic"/>
    <s v="Lecturer"/>
    <s v="Lecturer"/>
    <x v="2"/>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x v="1"/>
    <m/>
    <s v="Dr. Nazarius Mbona Tumwesigye"/>
    <s v="Dr. Florence Mirembe"/>
    <s v="Dr. Daniel Kabonge Kaye"/>
    <n v="3"/>
    <s v="Home"/>
    <s v="Home"/>
    <s v="Home/ Host"/>
    <s v="Yes"/>
    <s v="No"/>
    <s v="Yes"/>
    <m/>
    <s v="Lecturer"/>
    <s v="Senior Lecturer"/>
    <x v="0"/>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x v="1"/>
    <d v="2025-03-25T00:00:00"/>
    <s v="Dr. Tobias Chirwa"/>
    <s v="Dr. Patrick MacPhail"/>
    <s v="Prof. Ian M. Sanne"/>
    <n v="3"/>
    <s v="Home"/>
    <s v="Home"/>
    <s v="Home/ Host"/>
    <s v="Yes"/>
    <s v="No"/>
    <s v="No"/>
    <s v="Researcher"/>
    <s v="Joint Faculty"/>
    <m/>
    <x v="1"/>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x v="3"/>
    <s v="No"/>
    <s v="NF"/>
    <s v="NF"/>
    <s v="NF"/>
    <s v="NF"/>
    <m/>
    <m/>
    <m/>
    <m/>
    <m/>
    <m/>
    <m/>
    <m/>
    <m/>
    <n v="4"/>
    <m/>
    <x v="1"/>
    <d v="2016-10-19T00:00:00"/>
    <m/>
    <m/>
    <m/>
    <n v="0"/>
    <m/>
    <m/>
    <m/>
    <m/>
    <m/>
    <m/>
    <m/>
    <m/>
    <m/>
    <x v="1"/>
    <m/>
    <m/>
    <m/>
    <m/>
    <d v="2012-03-01T00:00:00"/>
    <m/>
    <m/>
    <m/>
    <m/>
    <m/>
    <m/>
    <m/>
    <m/>
    <m/>
    <m/>
    <m/>
    <m/>
    <m/>
    <m/>
    <m/>
    <x v="19"/>
    <x v="1"/>
    <s v="Terminated"/>
    <m/>
    <m/>
    <m/>
    <m/>
    <m/>
    <m/>
    <m/>
    <m/>
    <m/>
    <s v="No"/>
    <m/>
    <m/>
    <m/>
    <m/>
    <m/>
    <m/>
    <m/>
    <m/>
    <m/>
    <m/>
    <m/>
    <s v="WT"/>
  </r>
  <r>
    <n v="45"/>
    <s v="C2/020"/>
    <s v="Phanuel"/>
    <s v="Humphrey Jacob"/>
    <s v="Shao"/>
    <x v="0"/>
    <x v="1"/>
    <x v="4"/>
    <x v="4"/>
    <m/>
    <s v="TB Clinic"/>
    <x v="1"/>
    <s v="No"/>
    <s v="NF"/>
    <s v="NF"/>
    <s v="NF"/>
    <s v="NF"/>
    <s v="hshao@cartafrica.org"/>
    <s v="humphreyshao@gmail.com"/>
    <m/>
    <m/>
    <m/>
    <m/>
    <m/>
    <m/>
    <m/>
    <n v="22.5"/>
    <m/>
    <x v="1"/>
    <d v="2016-01-11T00:00:00"/>
    <m/>
    <m/>
    <m/>
    <n v="0"/>
    <m/>
    <m/>
    <m/>
    <m/>
    <m/>
    <m/>
    <m/>
    <m/>
    <m/>
    <x v="1"/>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x v="2"/>
    <m/>
    <s v="Oyedunni Arulogun"/>
    <s v="PROF Oye Gureje"/>
    <m/>
    <n v="2"/>
    <s v="Home"/>
    <m/>
    <m/>
    <s v="Yes"/>
    <m/>
    <m/>
    <s v="Other"/>
    <s v="Principal Social Worker 1"/>
    <s v="Lecturer "/>
    <x v="0"/>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x v="2"/>
    <m/>
    <s v="Prof. Nyagol Akelo Joshua"/>
    <s v="Prof. Jaoko Walter"/>
    <m/>
    <n v="2"/>
    <s v="Home"/>
    <m/>
    <m/>
    <s v="Yes"/>
    <m/>
    <m/>
    <s v="Academic"/>
    <m/>
    <s v="Lecturer"/>
    <x v="0"/>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x v="2"/>
    <m/>
    <s v="Grace Omoni"/>
    <s v="Prof Isaac Nyamongo"/>
    <s v="Dr Sabina Wakasiaka"/>
    <n v="3"/>
    <s v="Home"/>
    <s v="Home"/>
    <s v="Home"/>
    <s v="Yes"/>
    <s v="No"/>
    <s v="No"/>
    <s v="Other"/>
    <s v="Part Time Lecturer"/>
    <s v="Post Doc Research Fellow"/>
    <x v="0"/>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x v="2"/>
    <m/>
    <s v="Olayemi Omotade"/>
    <m/>
    <m/>
    <n v="1"/>
    <s v="Home"/>
    <m/>
    <m/>
    <s v="Yes"/>
    <m/>
    <m/>
    <s v="Academic"/>
    <s v="Senior Research Fellow"/>
    <s v="Senior Medical Research Fellow"/>
    <x v="2"/>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x v="2"/>
    <m/>
    <s v="Prof. Matovu Enock"/>
    <s v="Dr. Vincent Pius Alibu"/>
    <m/>
    <n v="2"/>
    <s v="Home"/>
    <m/>
    <m/>
    <s v="Yes"/>
    <m/>
    <m/>
    <s v="Academic"/>
    <s v="Assistant Lecturer"/>
    <s v="Lecturer"/>
    <x v="0"/>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x v="2"/>
    <m/>
    <s v="Pascal Mathanga"/>
    <m/>
    <m/>
    <n v="1"/>
    <s v="Home"/>
    <m/>
    <m/>
    <s v="Yes"/>
    <m/>
    <m/>
    <s v="Academic"/>
    <s v="Part Time Senior Lecturer"/>
    <s v="Part Time Senior Lecturer"/>
    <x v="2"/>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x v="2"/>
    <m/>
    <s v="Prof. Adegoke Aremu Olajire"/>
    <m/>
    <m/>
    <n v="1"/>
    <s v="Home"/>
    <m/>
    <m/>
    <s v="Yes"/>
    <m/>
    <m/>
    <s v="Academic"/>
    <s v="Lecturer"/>
    <s v="Senior Lecturer"/>
    <x v="0"/>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x v="2"/>
    <m/>
    <s v="Wilson Mandala"/>
    <m/>
    <m/>
    <n v="1"/>
    <s v="Home"/>
    <m/>
    <m/>
    <s v="Yes"/>
    <m/>
    <m/>
    <s v="Academic"/>
    <s v="PhD Student"/>
    <s v="Lecturer"/>
    <x v="0"/>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x v="2"/>
    <m/>
    <s v="Jamin Masinde"/>
    <s v="Dr. Harrison Maithya"/>
    <m/>
    <n v="2"/>
    <s v="Home"/>
    <s v="Home"/>
    <m/>
    <s v="Yes"/>
    <s v="Yes"/>
    <m/>
    <s v="Academic"/>
    <s v="Lecturer"/>
    <m/>
    <x v="1"/>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x v="2"/>
    <m/>
    <s v="Maria Elizabeth Rabe"/>
    <m/>
    <m/>
    <n v="1"/>
    <s v="Other "/>
    <m/>
    <m/>
    <s v="No"/>
    <m/>
    <m/>
    <s v="Other"/>
    <s v="M&amp;E Technical Specialist - Wits"/>
    <s v="Program Manager"/>
    <x v="0"/>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x v="2"/>
    <m/>
    <s v="Prof Mukwa Wekesa Christopher"/>
    <s v="Dr. Wanyonyi Wamamili David"/>
    <m/>
    <n v="2"/>
    <s v="Host"/>
    <m/>
    <m/>
    <s v="Yes"/>
    <m/>
    <m/>
    <s v="Academic"/>
    <s v="Assistant Lecturer"/>
    <s v="Assistant Lecturer"/>
    <x v="2"/>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x v="2"/>
    <m/>
    <s v="Prof. Paul Omondi"/>
    <s v="Prof. Beneah D. O. Odhiambo"/>
    <m/>
    <n v="2"/>
    <s v="Home"/>
    <m/>
    <m/>
    <s v="Yes"/>
    <m/>
    <m/>
    <s v="Academic"/>
    <s v="Assistant Lecturer"/>
    <s v="Senior Lecturer"/>
    <x v="0"/>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x v="2"/>
    <m/>
    <s v="Olaogun Adenike Ayobola"/>
    <m/>
    <m/>
    <n v="1"/>
    <s v="Home"/>
    <m/>
    <m/>
    <s v="Yes"/>
    <m/>
    <m/>
    <s v="Academic"/>
    <s v="Lecturer II"/>
    <s v="Senior Lecturer"/>
    <x v="0"/>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x v="2"/>
    <m/>
    <s v="Anne Wanjiru Mwangi"/>
    <m/>
    <m/>
    <n v="1"/>
    <s v="Home"/>
    <m/>
    <m/>
    <s v="Yes"/>
    <m/>
    <m/>
    <s v="Academic"/>
    <s v="Assistant Lecturer"/>
    <s v="Lecturer"/>
    <x v="0"/>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x v="2"/>
    <m/>
    <s v="Emeritus Professor Gilbert Leah"/>
    <m/>
    <m/>
    <n v="1"/>
    <s v="Host"/>
    <m/>
    <m/>
    <s v="No"/>
    <m/>
    <m/>
    <s v="Academic"/>
    <s v="Lecturer II"/>
    <s v="Professor"/>
    <x v="0"/>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x v="2"/>
    <m/>
    <s v="Monica Chibita"/>
    <s v="Fred Ntoni Nuwaha"/>
    <m/>
    <n v="2"/>
    <s v="Other "/>
    <s v="Home"/>
    <m/>
    <s v="No"/>
    <m/>
    <m/>
    <s v="Administrative"/>
    <s v="Assistant Lecturer"/>
    <m/>
    <x v="1"/>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x v="2"/>
    <d v="2025-03-25T00:00:00"/>
    <s v="Sinead-Delany Moretlwe"/>
    <s v="Prof Alain Labrique"/>
    <m/>
    <n v="2"/>
    <s v="Home"/>
    <s v="Other"/>
    <m/>
    <s v="Yes"/>
    <s v="No"/>
    <m/>
    <s v="Academic"/>
    <s v="Researcher"/>
    <m/>
    <x v="1"/>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x v="2"/>
    <m/>
    <s v="Bisiriyu Adeleke Luqman"/>
    <s v="Dr. BAMIWUYE, Samson Olusina "/>
    <m/>
    <n v="2"/>
    <s v="Home"/>
    <s v="Home"/>
    <m/>
    <s v="Yes"/>
    <s v="Yes"/>
    <m/>
    <s v="Academic"/>
    <s v="Lecturer II"/>
    <s v="Professor"/>
    <x v="0"/>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x v="2"/>
    <m/>
    <s v="Iyabo Mabawonku"/>
    <m/>
    <m/>
    <n v="1"/>
    <s v="Home"/>
    <m/>
    <m/>
    <s v="Yes"/>
    <m/>
    <m/>
    <s v="Academic"/>
    <s v="Librarian II"/>
    <s v="Senior Librarian_x000a_"/>
    <x v="0"/>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x v="1"/>
    <m/>
    <s v="Nkwengulila Gamba"/>
    <s v="DR SYLVESTER LYANTAGAYE"/>
    <m/>
    <n v="2"/>
    <s v="Home"/>
    <s v="Home"/>
    <m/>
    <s v="Yes"/>
    <s v="No"/>
    <m/>
    <s v="Academic"/>
    <s v="Assistant Lecturer"/>
    <s v="Senior Lecturer"/>
    <x v="0"/>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x v="2"/>
    <m/>
    <s v="Peter M. Gatongi"/>
    <s v="Prof Odipo Osano"/>
    <m/>
    <n v="2"/>
    <s v="Home"/>
    <s v="Other"/>
    <m/>
    <n v="2013"/>
    <m/>
    <m/>
    <m/>
    <s v="Assistant Lecturer"/>
    <m/>
    <x v="1"/>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x v="2"/>
    <m/>
    <s v="Dr. Chisomo Msefula"/>
    <s v="Dr. Bagrey Ngwira"/>
    <m/>
    <n v="2"/>
    <s v="Home"/>
    <s v="Home"/>
    <m/>
    <s v="No"/>
    <s v="No"/>
    <m/>
    <s v="Academic"/>
    <s v="Lecturer"/>
    <s v="Associate Professor"/>
    <x v="0"/>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x v="3"/>
    <s v="No"/>
    <s v="NF"/>
    <s v="NF"/>
    <s v="NF"/>
    <s v="NF"/>
    <m/>
    <m/>
    <m/>
    <m/>
    <m/>
    <m/>
    <m/>
    <m/>
    <m/>
    <m/>
    <m/>
    <x v="2"/>
    <d v="2014-12-31T00:00:00"/>
    <m/>
    <m/>
    <m/>
    <n v="0"/>
    <m/>
    <m/>
    <m/>
    <m/>
    <m/>
    <m/>
    <m/>
    <m/>
    <m/>
    <x v="1"/>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x v="3"/>
    <m/>
    <s v="Prof wanbii Kiai"/>
    <s v="Dr  Ndei Ndati"/>
    <m/>
    <n v="2"/>
    <s v="Host"/>
    <m/>
    <m/>
    <s v="Yes"/>
    <m/>
    <m/>
    <s v="Academic"/>
    <s v="Librarian II"/>
    <s v="Lecturer II"/>
    <x v="0"/>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x v="3"/>
    <m/>
    <s v="Sinead Delany - Moretlwe"/>
    <m/>
    <m/>
    <n v="1"/>
    <s v="Home"/>
    <m/>
    <m/>
    <s v="Yes"/>
    <m/>
    <m/>
    <s v="Researcher"/>
    <s v="Researcher"/>
    <s v="Epidemiologist"/>
    <x v="0"/>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x v="3"/>
    <m/>
    <s v="Assoc. Prof. Francis Ejobi"/>
    <s v="Prof MUYANJA Charles"/>
    <s v="Dr. Naigaga Irene"/>
    <n v="3"/>
    <s v="Home"/>
    <m/>
    <m/>
    <s v="No"/>
    <m/>
    <m/>
    <s v="Academic"/>
    <s v="Assistant Lecturer"/>
    <s v="Lecturer"/>
    <x v="2"/>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x v="3"/>
    <m/>
    <s v="Ukpong Morenike"/>
    <s v="Harrison Abigail"/>
    <m/>
    <n v="2"/>
    <s v="Home"/>
    <m/>
    <m/>
    <s v="Yes"/>
    <m/>
    <m/>
    <s v="Academic"/>
    <s v="Lecturer"/>
    <s v="Associate Professor"/>
    <x v="0"/>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x v="3"/>
    <m/>
    <s v="Prof. Ajayi Ikeoluwapo"/>
    <s v="Prof Baiyeroju Aderonke"/>
    <m/>
    <n v="2"/>
    <s v="Home"/>
    <m/>
    <m/>
    <s v="Yes"/>
    <m/>
    <m/>
    <s v="Academic"/>
    <s v="Lecturer"/>
    <s v="Associate Professor"/>
    <x v="0"/>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x v="3"/>
    <m/>
    <s v="Prof. Ngianga Kandala Bakwin"/>
    <s v="Dr. Henry Wamani"/>
    <s v="Dr. Elizabeth Ekirapa-Kiracho"/>
    <n v="3"/>
    <s v="Host"/>
    <m/>
    <m/>
    <s v="Yes"/>
    <m/>
    <m/>
    <s v="Academic"/>
    <s v="Assistant Lecturer"/>
    <s v="Assistant Lecturer"/>
    <x v="2"/>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x v="3"/>
    <m/>
    <s v="Prof W Kogi-Makau"/>
    <s v="Prof Grace A. Ettyang "/>
    <s v="Dr Charkes O Kimamo"/>
    <n v="2"/>
    <s v="Host"/>
    <m/>
    <m/>
    <s v="Yes"/>
    <m/>
    <m/>
    <s v="Academic"/>
    <s v="Administrator"/>
    <s v="Lecturer"/>
    <x v="0"/>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x v="3"/>
    <m/>
    <s v="Prof. Alex van den Heever"/>
    <m/>
    <m/>
    <n v="1"/>
    <s v="Home"/>
    <m/>
    <m/>
    <s v="No"/>
    <m/>
    <m/>
    <s v="Academic"/>
    <s v="Lecturer"/>
    <m/>
    <x v="1"/>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x v="3"/>
    <m/>
    <s v="Prof. Omu Anzala"/>
    <m/>
    <m/>
    <n v="1"/>
    <s v="Home"/>
    <m/>
    <m/>
    <s v="Yes"/>
    <m/>
    <m/>
    <s v="Academic"/>
    <s v="Tutorial Fellow"/>
    <s v="Tutorial Fellow"/>
    <x v="1"/>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x v="3"/>
    <m/>
    <s v="Prof  Umar Eric "/>
    <s v="Prof Griffiths Frances"/>
    <s v="Prof Van den Berg  Marrit"/>
    <n v="3"/>
    <s v="Home"/>
    <m/>
    <m/>
    <s v="Yes"/>
    <m/>
    <m/>
    <s v="Researcher"/>
    <s v="Research Administrator"/>
    <s v="Research and Policy Analyst"/>
    <x v="0"/>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x v="3"/>
    <m/>
    <s v="Dr. Mags Beksinska"/>
    <m/>
    <m/>
    <n v="1"/>
    <s v="Host"/>
    <m/>
    <m/>
    <s v="Yes"/>
    <m/>
    <m/>
    <s v="Researcher"/>
    <s v="Researcher"/>
    <s v="Director of Research"/>
    <x v="0"/>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x v="3"/>
    <m/>
    <s v="Prof. Charles Owour Olungah"/>
    <s v="Dr. Tom Ondicho"/>
    <m/>
    <n v="2"/>
    <s v="Host"/>
    <m/>
    <m/>
    <s v="Yes"/>
    <m/>
    <m/>
    <s v="Academic"/>
    <s v="Assistant Lecturer"/>
    <s v="Lecturer"/>
    <x v="0"/>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x v="3"/>
    <m/>
    <s v="Prof. Freddie Ssemgooba"/>
    <s v="Prof Sara Bennett"/>
    <m/>
    <n v="2"/>
    <s v="Home"/>
    <m/>
    <m/>
    <s v="Yes"/>
    <m/>
    <m/>
    <s v="Academic"/>
    <s v="Assistant Registrar"/>
    <s v="Post Doc Research Fellow"/>
    <x v="0"/>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x v="3"/>
    <m/>
    <s v="Distinguished Proffesor, Lenore Manderson"/>
    <s v="Associated Prof. Ladislaus Mnyone"/>
    <s v="Distinguished Professor. Moureen Coetzee"/>
    <n v="3"/>
    <s v="Home"/>
    <m/>
    <m/>
    <s v="Yes"/>
    <m/>
    <m/>
    <s v="Researcher"/>
    <s v="Research Officer"/>
    <s v="Research Scientist"/>
    <x v="0"/>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x v="3"/>
    <m/>
    <s v="Prof. Nilesh B. Patel"/>
    <s v="Prof. Kihumbu Thairu"/>
    <m/>
    <n v="2"/>
    <s v="Host"/>
    <m/>
    <m/>
    <s v="Yes"/>
    <m/>
    <m/>
    <s v="Academic"/>
    <s v="Graduate Assistant"/>
    <s v="Lecturer"/>
    <x v="0"/>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x v="3"/>
    <m/>
    <s v="Mabel Nangami"/>
    <m/>
    <m/>
    <n v="1"/>
    <s v="Home"/>
    <m/>
    <m/>
    <s v="No"/>
    <m/>
    <m/>
    <s v="Academic"/>
    <s v="Assistant Lecturer"/>
    <s v="Lecturer"/>
    <x v="0"/>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x v="3"/>
    <m/>
    <s v="Dr. Peter Waiswa"/>
    <m/>
    <m/>
    <n v="1"/>
    <s v="Host"/>
    <m/>
    <m/>
    <s v="Yes"/>
    <m/>
    <m/>
    <s v="Academic"/>
    <s v="Lecturer"/>
    <s v="CEO"/>
    <x v="0"/>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x v="3"/>
    <d v="2020-02-06T00:00:00"/>
    <s v="Professor Amadi O. Ihunwo "/>
    <m/>
    <m/>
    <n v="1"/>
    <s v="Other "/>
    <m/>
    <m/>
    <s v="Yes"/>
    <m/>
    <m/>
    <s v="Academic"/>
    <s v="Lecturer"/>
    <m/>
    <x v="1"/>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x v="3"/>
    <m/>
    <s v="Prof. Jangawe Msuya"/>
    <m/>
    <m/>
    <n v="1"/>
    <s v="Home"/>
    <m/>
    <m/>
    <s v="No"/>
    <m/>
    <m/>
    <s v="Researcher"/>
    <s v="Assistant Lecturer"/>
    <s v="Senior Lecturer"/>
    <x v="0"/>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x v="3"/>
    <m/>
    <s v="Prof Manderson Lenore"/>
    <s v="Prof Musenge Eustasius"/>
    <s v="Dr Achia Thomas"/>
    <n v="3"/>
    <s v="Host"/>
    <m/>
    <m/>
    <s v="Yes"/>
    <m/>
    <m/>
    <s v="Researcher"/>
    <s v="Statistical Data Analyst"/>
    <s v="Consultant"/>
    <x v="0"/>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x v="3"/>
    <m/>
    <s v="Professor Funmi Togonu-Bickersteth"/>
    <m/>
    <m/>
    <n v="1"/>
    <s v="Home"/>
    <m/>
    <m/>
    <s v="Yes"/>
    <m/>
    <m/>
    <s v="Academic"/>
    <s v="Junior Research Fellow"/>
    <m/>
    <x v="1"/>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x v="3"/>
    <m/>
    <s v="Professor Edwell Kaseke"/>
    <s v="Professor Edmarie Pretorius"/>
    <m/>
    <n v="2"/>
    <s v="Home"/>
    <m/>
    <m/>
    <s v="Yes"/>
    <m/>
    <m/>
    <s v="Academic"/>
    <s v="Tutor"/>
    <s v="Senior Lecturer"/>
    <x v="0"/>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x v="3"/>
    <m/>
    <s v="Prof. Mwangi Julius "/>
    <m/>
    <m/>
    <n v="1"/>
    <s v="Home"/>
    <m/>
    <m/>
    <s v="Yes"/>
    <m/>
    <m/>
    <s v="Academic"/>
    <s v="Graduate Assistant"/>
    <s v="Lecturer"/>
    <x v="1"/>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x v="3"/>
    <m/>
    <s v="Dr Benson Alfred Bana"/>
    <s v="Professor/Kessy/Thebald/Ambrose"/>
    <m/>
    <n v="2"/>
    <s v="Home"/>
    <m/>
    <m/>
    <s v="Yes"/>
    <m/>
    <m/>
    <s v="Academic"/>
    <s v="Assistant Lecturer"/>
    <s v="Lecturer"/>
    <x v="0"/>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x v="3"/>
    <m/>
    <s v="Prof Irinoye  Oladunni Omolola"/>
    <m/>
    <m/>
    <n v="1"/>
    <s v="Home"/>
    <m/>
    <m/>
    <s v="Yes"/>
    <m/>
    <m/>
    <s v="Academic"/>
    <s v="Lecturer II"/>
    <s v="Senior Lecturer"/>
    <x v="0"/>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x v="3"/>
    <m/>
    <s v="Mary Kawonga"/>
    <m/>
    <m/>
    <n v="1"/>
    <s v="Other "/>
    <m/>
    <m/>
    <s v="No"/>
    <m/>
    <m/>
    <s v="Academic"/>
    <s v="Lecturer I"/>
    <s v="Senior Lecturer"/>
    <x v="0"/>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x v="3"/>
    <m/>
    <s v="Prof. Lenore Manderson"/>
    <m/>
    <m/>
    <n v="1"/>
    <s v="Home"/>
    <m/>
    <m/>
    <s v="Yes"/>
    <m/>
    <m/>
    <s v="Academic"/>
    <s v="Lecturer"/>
    <s v="Senior Lecturer"/>
    <x v="0"/>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x v="4"/>
    <m/>
    <s v="DonatienBeguy, PhD"/>
    <s v="Elizabeth Kimani, PhD"/>
    <s v="Sharon Fonn"/>
    <n v="3"/>
    <s v="Home"/>
    <s v="Home"/>
    <s v="Host"/>
    <s v="Yes"/>
    <s v="No"/>
    <s v="Yes"/>
    <s v="Researcher"/>
    <s v="Senior Research Officer"/>
    <s v="Research Scientist"/>
    <x v="0"/>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x v="4"/>
    <m/>
    <s v="Dr. Ruth J. Tubey"/>
    <s v="Dr. Alice Kurgat"/>
    <m/>
    <n v="2"/>
    <s v="Host"/>
    <s v="Host"/>
    <m/>
    <s v="Yes"/>
    <s v="No"/>
    <m/>
    <s v="Academic"/>
    <s v="Assistant Lecturer"/>
    <s v="Senior Lecturer"/>
    <x v="0"/>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x v="4"/>
    <m/>
    <s v="Prof. Oluwafemi N. Mimiko"/>
    <s v="Dr. A. A. E Olaogun"/>
    <m/>
    <n v="2"/>
    <s v="Home"/>
    <s v="Home"/>
    <m/>
    <s v="No"/>
    <s v="Yes"/>
    <m/>
    <s v="Academic"/>
    <s v="Lecturer II"/>
    <s v="Associate Professor"/>
    <x v="0"/>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x v="4"/>
    <m/>
    <s v="Dr. Jude Igumbor"/>
    <s v="Prof. Magnus Hakeburg"/>
    <m/>
    <n v="2"/>
    <s v="Home"/>
    <s v="Other"/>
    <m/>
    <s v="Yes"/>
    <s v="No"/>
    <m/>
    <s v="Academic"/>
    <m/>
    <s v="Lecturer"/>
    <x v="1"/>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x v="4"/>
    <m/>
    <s v="Dr. Oyediran Oyewole"/>
    <s v="Sharon Fonn"/>
    <m/>
    <n v="2"/>
    <s v="Home"/>
    <s v="Host"/>
    <m/>
    <s v="Yes"/>
    <s v="Yes"/>
    <m/>
    <s v="Academic"/>
    <m/>
    <m/>
    <x v="1"/>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x v="4"/>
    <m/>
    <s v="Fredros Okumu"/>
    <m/>
    <m/>
    <n v="1"/>
    <s v="Home"/>
    <m/>
    <m/>
    <s v="Yes"/>
    <m/>
    <m/>
    <s v="Researcher"/>
    <s v="Research scientist"/>
    <s v="Research Scientist"/>
    <x v="0"/>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x v="4"/>
    <m/>
    <s v="Prof. Julius Wanjohi Mwangi"/>
    <s v="Dr. Kennedy Omondi Abuga"/>
    <m/>
    <n v="2"/>
    <s v="Home"/>
    <s v="Home"/>
    <m/>
    <s v="Yes"/>
    <s v="No"/>
    <m/>
    <s v="Academic"/>
    <s v="Lecturer"/>
    <s v="Lecturer"/>
    <x v="1"/>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x v="4"/>
    <m/>
    <s v="Prof. Olayemi Olufemi  Omotade"/>
    <s v="Prof.  Mikael  Svensson"/>
    <m/>
    <n v="2"/>
    <s v="Home"/>
    <m/>
    <m/>
    <s v="Yes"/>
    <m/>
    <m/>
    <s v="Academic"/>
    <m/>
    <m/>
    <x v="1"/>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x v="4"/>
    <m/>
    <s v="Professor Lutz Heide"/>
    <s v="Prof. Dr. Ulrike Holzgrabe"/>
    <m/>
    <n v="2"/>
    <s v="Home"/>
    <s v="Other"/>
    <m/>
    <s v="Yes"/>
    <s v="No"/>
    <m/>
    <s v="Academic"/>
    <s v="Lecturer "/>
    <s v="Associate Professor"/>
    <x v="0"/>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x v="4"/>
    <m/>
    <s v="Prof. James Ntozi"/>
    <s v="Dr. Betty Kwagala"/>
    <m/>
    <n v="2"/>
    <s v="Home"/>
    <s v="Home"/>
    <m/>
    <s v="Yes"/>
    <s v="No"/>
    <m/>
    <s v="Academic"/>
    <s v="Assistant Lecturer"/>
    <s v="Assistant Lecturer"/>
    <x v="2"/>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x v="4"/>
    <m/>
    <s v="Prof  Mabel Nangami"/>
    <s v="Prof  Joyce Baliddawa"/>
    <s v="Dr. Caleb Isaboke Nyamwange"/>
    <n v="3"/>
    <s v="Home"/>
    <m/>
    <m/>
    <s v="No"/>
    <m/>
    <m/>
    <s v="Academic"/>
    <m/>
    <s v="Lecturer"/>
    <x v="1"/>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x v="4"/>
    <m/>
    <s v="Dr. Tom Abuom"/>
    <m/>
    <m/>
    <n v="1"/>
    <s v="Home"/>
    <m/>
    <m/>
    <s v="Yes"/>
    <m/>
    <m/>
    <s v="Academic"/>
    <m/>
    <s v="Lecturer"/>
    <x v="1"/>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x v="4"/>
    <m/>
    <s v="Prof. Afolabi Bamigboye"/>
    <m/>
    <m/>
    <n v="1"/>
    <s v="Home"/>
    <m/>
    <m/>
    <s v="Yes"/>
    <m/>
    <m/>
    <s v="Academic"/>
    <m/>
    <s v="Lecturer"/>
    <x v="1"/>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x v="4"/>
    <m/>
    <s v="Christopher Garimoi Orach, PhD"/>
    <s v="David Guwatudde, PhD"/>
    <m/>
    <n v="2"/>
    <s v="Home"/>
    <s v="Home"/>
    <m/>
    <s v="No"/>
    <s v="Yes"/>
    <m/>
    <s v="Academic"/>
    <s v="Lecturer"/>
    <s v="Lecturer"/>
    <x v="2"/>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x v="4"/>
    <m/>
    <s v="Prof.Omu Anzala"/>
    <m/>
    <m/>
    <n v="1"/>
    <s v="Home"/>
    <m/>
    <m/>
    <s v="Yes"/>
    <m/>
    <m/>
    <s v="Other"/>
    <s v="Medical Epidemiologist"/>
    <s v="Medical Epidemiologist and Center Director"/>
    <x v="0"/>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x v="4"/>
    <m/>
    <s v="Ann Mwangi, PhD"/>
    <s v="Charles Chasela, PhD"/>
    <m/>
    <n v="2"/>
    <s v="Home"/>
    <s v="Host"/>
    <m/>
    <s v="Yes"/>
    <s v="No"/>
    <m/>
    <s v="Academic"/>
    <m/>
    <s v="Lecturer "/>
    <x v="0"/>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x v="4"/>
    <m/>
    <s v="Prof. Oluwafemi N. Mimiko"/>
    <m/>
    <m/>
    <n v="1"/>
    <s v="Home"/>
    <m/>
    <m/>
    <s v="Yes"/>
    <m/>
    <m/>
    <s v="Academic"/>
    <s v="Assistant Lecturer"/>
    <s v="Lecturer I"/>
    <x v="0"/>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x v="4"/>
    <m/>
    <s v="Prof. Adamson Muula"/>
    <s v="Dr. Chima Izgubara"/>
    <s v="Dr. Nicola Desmond "/>
    <n v="3"/>
    <s v="Home"/>
    <s v="Other"/>
    <s v="Other"/>
    <s v="Yes"/>
    <s v="Yes"/>
    <s v="No"/>
    <s v="Academic"/>
    <m/>
    <m/>
    <x v="1"/>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x v="4"/>
    <m/>
    <s v="Prof. Adamson Muula"/>
    <s v="Prof. Ellen Chirwa"/>
    <m/>
    <n v="2"/>
    <s v="Home"/>
    <s v="Home"/>
    <m/>
    <s v="Yes"/>
    <s v="No"/>
    <m/>
    <s v="Academic"/>
    <s v="Lecturer"/>
    <m/>
    <x v="1"/>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x v="4"/>
    <d v="2025-03-25T00:00:00"/>
    <s v="Prof. Charles S. Chasela"/>
    <s v="Dr. Lee Fairlie"/>
    <m/>
    <n v="2"/>
    <s v="Home"/>
    <s v="Home"/>
    <m/>
    <s v="No"/>
    <s v="Yes"/>
    <m/>
    <s v="Researcher"/>
    <s v="Technical advisor"/>
    <s v="Technical advisor"/>
    <x v="1"/>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x v="4"/>
    <m/>
    <s v="Prof. Ana Godson Rowland"/>
    <m/>
    <m/>
    <n v="1"/>
    <s v="Home"/>
    <m/>
    <m/>
    <s v="Yes"/>
    <m/>
    <m/>
    <s v="Academic"/>
    <s v="Lecturer"/>
    <s v="Lecturer"/>
    <x v="1"/>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x v="4"/>
    <d v="2020-04-09T00:00:00"/>
    <s v="Prof. Wilson Winston Muhwezi"/>
    <s v="Prof. Seggane Musisi"/>
    <s v="Dr.Akena Dickens Howard"/>
    <n v="3"/>
    <s v="Home"/>
    <s v="Home"/>
    <s v="Home"/>
    <s v="Yes"/>
    <s v="No"/>
    <s v="No"/>
    <m/>
    <s v="Lecturer"/>
    <s v="Lecturer"/>
    <x v="1"/>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x v="4"/>
    <s v="Yes"/>
    <s v="NF"/>
    <s v="NF"/>
    <s v="NF"/>
    <s v="NF"/>
    <m/>
    <m/>
    <m/>
    <m/>
    <m/>
    <m/>
    <m/>
    <m/>
    <m/>
    <m/>
    <m/>
    <x v="4"/>
    <d v="2017-12-31T00:00:00"/>
    <m/>
    <m/>
    <m/>
    <n v="0"/>
    <m/>
    <m/>
    <m/>
    <m/>
    <m/>
    <m/>
    <m/>
    <m/>
    <m/>
    <x v="1"/>
    <m/>
    <s v=""/>
    <m/>
    <d v="2017-07-05T00:00:00"/>
    <d v="2015-03-02T00:00:00"/>
    <m/>
    <m/>
    <m/>
    <m/>
    <m/>
    <m/>
    <m/>
    <m/>
    <m/>
    <m/>
    <m/>
    <m/>
    <m/>
    <m/>
    <m/>
    <x v="19"/>
    <x v="1"/>
    <s v="Terminated"/>
    <m/>
    <m/>
    <m/>
    <m/>
    <m/>
    <m/>
    <m/>
    <m/>
    <m/>
    <s v="No"/>
    <m/>
    <m/>
    <m/>
    <m/>
    <m/>
    <m/>
    <m/>
    <m/>
    <m/>
    <m/>
    <m/>
    <s v="SIDA"/>
  </r>
  <r>
    <n v="121"/>
    <s v="C5/024"/>
    <s v="Masoud"/>
    <s v="Hussein"/>
    <s v="Mahundi"/>
    <x v="0"/>
    <x v="4"/>
    <x v="4"/>
    <x v="9"/>
    <m/>
    <m/>
    <x v="1"/>
    <s v="Yes"/>
    <s v="NF"/>
    <s v="NF"/>
    <s v="NF"/>
    <s v="NF"/>
    <m/>
    <m/>
    <m/>
    <m/>
    <m/>
    <m/>
    <m/>
    <m/>
    <m/>
    <m/>
    <m/>
    <x v="4"/>
    <d v="2018-08-30T00:00:00"/>
    <m/>
    <m/>
    <m/>
    <n v="0"/>
    <m/>
    <m/>
    <m/>
    <m/>
    <m/>
    <m/>
    <m/>
    <m/>
    <m/>
    <x v="1"/>
    <m/>
    <s v=""/>
    <m/>
    <m/>
    <d v="2015-03-02T00:00:00"/>
    <m/>
    <m/>
    <m/>
    <m/>
    <m/>
    <m/>
    <m/>
    <m/>
    <m/>
    <m/>
    <m/>
    <m/>
    <m/>
    <m/>
    <m/>
    <x v="19"/>
    <x v="1"/>
    <s v="Terminated"/>
    <m/>
    <m/>
    <m/>
    <m/>
    <m/>
    <m/>
    <m/>
    <m/>
    <m/>
    <s v="No"/>
    <m/>
    <m/>
    <m/>
    <m/>
    <m/>
    <m/>
    <m/>
    <m/>
    <m/>
    <m/>
    <m/>
    <s v="SIDA"/>
  </r>
  <r>
    <n v="122"/>
    <s v="C5/025"/>
    <s v="Callen"/>
    <s v="Kwamboka"/>
    <s v="Onyambu"/>
    <x v="1"/>
    <x v="4"/>
    <x v="2"/>
    <x v="7"/>
    <m/>
    <m/>
    <x v="6"/>
    <s v="Yes"/>
    <s v="NF"/>
    <s v="NF"/>
    <s v="NF"/>
    <s v="NF"/>
    <m/>
    <m/>
    <m/>
    <m/>
    <m/>
    <m/>
    <m/>
    <m/>
    <m/>
    <m/>
    <m/>
    <x v="4"/>
    <d v="2018-08-30T00:00:00"/>
    <m/>
    <m/>
    <m/>
    <n v="0"/>
    <m/>
    <m/>
    <m/>
    <m/>
    <m/>
    <m/>
    <m/>
    <m/>
    <m/>
    <x v="1"/>
    <m/>
    <s v=""/>
    <m/>
    <d v="2017-07-05T00:00:00"/>
    <d v="2015-03-02T00:00:00"/>
    <m/>
    <m/>
    <m/>
    <m/>
    <m/>
    <m/>
    <m/>
    <m/>
    <m/>
    <m/>
    <m/>
    <m/>
    <m/>
    <m/>
    <m/>
    <x v="19"/>
    <x v="1"/>
    <s v="Terminated"/>
    <m/>
    <m/>
    <m/>
    <m/>
    <m/>
    <m/>
    <m/>
    <m/>
    <m/>
    <s v="No"/>
    <m/>
    <m/>
    <m/>
    <m/>
    <m/>
    <m/>
    <m/>
    <m/>
    <m/>
    <m/>
    <m/>
    <s v="SIDA"/>
  </r>
  <r>
    <n v="123"/>
    <s v="C6/001"/>
    <s v="Beatrice"/>
    <s v="Waitherero"/>
    <s v="Maina"/>
    <x v="1"/>
    <x v="5"/>
    <x v="2"/>
    <x v="11"/>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x v="5"/>
    <m/>
    <s v="Dr. Caroline Kabiru"/>
    <s v="Dr Yandisa Sikweyiya"/>
    <m/>
    <n v="2"/>
    <s v="Home"/>
    <s v="Host"/>
    <m/>
    <s v="Yes"/>
    <s v="Yes"/>
    <m/>
    <s v="Researcher"/>
    <s v="Research Officer"/>
    <s v="Associate Research Scientist"/>
    <x v="0"/>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x v="5"/>
    <m/>
    <s v="Dr. Lilac A. Osanjo"/>
    <s v="Dr. Ambole Amollo Lorraine"/>
    <m/>
    <n v="2"/>
    <s v="Home"/>
    <m/>
    <m/>
    <s v="Yes"/>
    <m/>
    <m/>
    <s v="Academic"/>
    <s v="Tutorial Fellow"/>
    <s v="Tutorial Fellow"/>
    <x v="1"/>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x v="5"/>
    <m/>
    <s v="Prof. Moffat Nyirenda"/>
    <s v="Dr. Belinda Gombachika"/>
    <m/>
    <n v="2"/>
    <s v="Other "/>
    <s v="Home"/>
    <m/>
    <s v="No"/>
    <s v="Yes"/>
    <m/>
    <s v="Academic"/>
    <s v="Lecturer"/>
    <s v="Lecturer"/>
    <x v="1"/>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x v="5"/>
    <m/>
    <s v="Prof. Clifford Odimegwu"/>
    <m/>
    <m/>
    <n v="1"/>
    <s v="Home"/>
    <m/>
    <m/>
    <s v="No"/>
    <m/>
    <m/>
    <s v="Researcher"/>
    <s v="Research Associate"/>
    <s v="Research Associate"/>
    <x v="2"/>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x v="5"/>
    <m/>
    <s v="Daphney Conco"/>
    <s v="Dr. Laetitia Nyirazinyoye"/>
    <m/>
    <n v="2"/>
    <s v="Other "/>
    <s v="Home"/>
    <m/>
    <s v="No"/>
    <s v="No"/>
    <m/>
    <s v="Academic"/>
    <s v="Assistant Lecturer"/>
    <s v="Lecturer"/>
    <x v="2"/>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x v="5"/>
    <m/>
    <s v="Dr. Ikeoluwapo  Ajayi"/>
    <m/>
    <m/>
    <n v="1"/>
    <s v="Home"/>
    <m/>
    <m/>
    <s v="Yes"/>
    <m/>
    <m/>
    <s v="Academic"/>
    <s v="Lecturer 1"/>
    <s v="Senior Lecturer"/>
    <x v="0"/>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x v="5"/>
    <m/>
    <s v="Prof. KatijahKhoza-Shangase"/>
    <m/>
    <m/>
    <n v="1"/>
    <s v="Home"/>
    <m/>
    <m/>
    <s v="Yes"/>
    <m/>
    <m/>
    <s v="Academic"/>
    <s v="Tutor"/>
    <s v="Associate Professor "/>
    <x v="0"/>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x v="5"/>
    <m/>
    <s v="Ass. Prof. Kakudidi Eseszah"/>
    <s v="Ass. Prof. Byamukama Robert"/>
    <s v="Prof. Dr. Emmrich Frank, Fraunhofer "/>
    <n v="3"/>
    <s v="Home"/>
    <s v="Home"/>
    <s v="Other"/>
    <s v="Yes"/>
    <s v="No"/>
    <s v="No"/>
    <s v="Academic"/>
    <s v="Teaching Assistant"/>
    <s v="Lecturer"/>
    <x v="0"/>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x v="5"/>
    <m/>
    <s v="Prof. Akinyemi Ibukun Akanni"/>
    <s v="Dr. Oyedokun Olugbenga Amos"/>
    <m/>
    <n v="2"/>
    <s v="Home"/>
    <m/>
    <m/>
    <s v="Yes"/>
    <m/>
    <m/>
    <s v="Academic"/>
    <s v="Assistant Lecturer"/>
    <s v="Senior Lecturer"/>
    <x v="0"/>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x v="5"/>
    <m/>
    <s v="Prof. Maureen Coetzee"/>
    <s v="Dr. Themba Mzilahowa"/>
    <m/>
    <n v="2"/>
    <s v="Host"/>
    <s v="Home"/>
    <m/>
    <s v="Yes"/>
    <s v="Yes"/>
    <m/>
    <s v="Researcher"/>
    <s v="Research Assistant"/>
    <s v="Research Scientist"/>
    <x v="1"/>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x v="5"/>
    <m/>
    <s v="Professor Ponsiano Ocama"/>
    <s v="Assoc. Professor Frederick Makumbi"/>
    <m/>
    <n v="2"/>
    <s v="Home"/>
    <s v="Home"/>
    <m/>
    <s v="No"/>
    <s v="Yes"/>
    <m/>
    <s v="Academic"/>
    <s v="Lecturer"/>
    <s v="Senior Lecturer"/>
    <x v="0"/>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x v="5"/>
    <m/>
    <s v="Prof Omololu O. Femi"/>
    <m/>
    <m/>
    <n v="1"/>
    <s v="Home"/>
    <m/>
    <m/>
    <s v="Yes"/>
    <m/>
    <m/>
    <s v="Academic"/>
    <s v="Tutorial Assistant"/>
    <s v="Research Fellow I"/>
    <x v="0"/>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x v="5"/>
    <m/>
    <s v="Prof. Anna Baranowska-Rataj"/>
    <m/>
    <m/>
    <n v="1"/>
    <s v="Home"/>
    <m/>
    <m/>
    <s v="Yes"/>
    <m/>
    <m/>
    <s v="Academic"/>
    <s v="Assistant Lecturer"/>
    <s v="Senior Lecturer "/>
    <x v="0"/>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x v="5"/>
    <m/>
    <s v="Asso. Prof. Bernard Thole (PhD)"/>
    <s v="Ass. Prof. Theresa Mkandawire (PhD) "/>
    <s v="Prof. Grant Kululanga (PhD) "/>
    <n v="3"/>
    <s v="Home"/>
    <s v="Home"/>
    <s v="Home"/>
    <s v="Yes"/>
    <s v="No"/>
    <s v="No"/>
    <s v="Academic"/>
    <s v="Senior Lecturer"/>
    <s v="Senior Lecturer"/>
    <x v="0"/>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x v="5"/>
    <m/>
    <s v="Dr. Elizabeth O. OLORUNTOBA"/>
    <s v="Prof. M.K.C. SRIDHAR"/>
    <m/>
    <n v="2"/>
    <s v="Home"/>
    <s v="Home"/>
    <m/>
    <s v="Yes"/>
    <m/>
    <m/>
    <s v="Academic"/>
    <s v="Lecturer II"/>
    <s v="Lecturer I"/>
    <x v="0"/>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x v="5"/>
    <m/>
    <s v="Prof. Adesegun O. Fatusi"/>
    <s v="Dr. Olapeju A. Esimai"/>
    <m/>
    <n v="2"/>
    <s v="Home"/>
    <s v="Home"/>
    <m/>
    <s v="No"/>
    <s v="Yes"/>
    <m/>
    <s v="Academic"/>
    <s v="Senior Lecturer"/>
    <s v="Professor "/>
    <x v="0"/>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x v="5"/>
    <m/>
    <s v="Dr. Gorrette Nalwadda K"/>
    <s v="Prof. Nazarius Mbona T"/>
    <m/>
    <n v="2"/>
    <s v="Other "/>
    <s v="Other"/>
    <m/>
    <s v="No"/>
    <s v="Yes"/>
    <m/>
    <s v="Academic"/>
    <s v="Head of Midwifery"/>
    <s v="Senior Lecturer"/>
    <x v="0"/>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x v="5"/>
    <m/>
    <s v="Dr. Waithira Mirie"/>
    <s v="Dr. Samuel T. Kimani  "/>
    <m/>
    <n v="2"/>
    <s v="Home"/>
    <s v="Home"/>
    <m/>
    <s v="Yes"/>
    <m/>
    <m/>
    <s v="Academic"/>
    <s v="Lecturer"/>
    <s v="Senior Lecturer"/>
    <x v="0"/>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x v="5"/>
    <m/>
    <s v="Catherine MacPhail"/>
    <s v="Prof. Delany-Moretlwe"/>
    <m/>
    <n v="2"/>
    <s v="Other "/>
    <s v="Other"/>
    <m/>
    <s v="No"/>
    <s v="No"/>
    <m/>
    <s v="Researcher"/>
    <s v="Honorary Researcher"/>
    <s v="Researcher"/>
    <x v="1"/>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x v="5"/>
    <m/>
    <s v="Prof. R. B. Fajemilehin"/>
    <s v="Prof. B. S. Afolabi"/>
    <m/>
    <n v="2"/>
    <s v="Home"/>
    <m/>
    <m/>
    <s v="Yes"/>
    <m/>
    <m/>
    <s v="Academic"/>
    <s v="Lecturer"/>
    <s v="Professor"/>
    <x v="0"/>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x v="5"/>
    <m/>
    <s v="Prof. David Kinuthia Kariuki"/>
    <s v="Dr. Elizabeth Dimba"/>
    <s v="Prof. Loice Gathece"/>
    <n v="3"/>
    <s v="Home"/>
    <s v="Home"/>
    <s v="Home"/>
    <s v="Yes"/>
    <s v="No"/>
    <s v="No"/>
    <s v="Academic"/>
    <s v="Lecturer"/>
    <s v="Senior Lecturer"/>
    <x v="0"/>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x v="5"/>
    <m/>
    <s v="Prof. Christofides Nicola"/>
    <s v="Prof. Mall Sumaya"/>
    <m/>
    <n v="2"/>
    <m/>
    <m/>
    <m/>
    <m/>
    <m/>
    <m/>
    <s v="Academic"/>
    <s v="Lecturer 1"/>
    <s v="Lecturer"/>
    <x v="0"/>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x v="5"/>
    <m/>
    <s v="Dr. Jude Igumbor"/>
    <s v="Prof. Aimee Stewart"/>
    <m/>
    <n v="2"/>
    <s v="Home"/>
    <s v="Home"/>
    <m/>
    <s v="Yes"/>
    <s v="Yes"/>
    <m/>
    <s v="Academic"/>
    <s v="Specialist in Community Dentistry"/>
    <s v="Senior Lecturer"/>
    <x v="1"/>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x v="5"/>
    <m/>
    <s v="Dr. Rose J Masalu"/>
    <m/>
    <m/>
    <n v="1"/>
    <s v="Host"/>
    <m/>
    <m/>
    <s v="No"/>
    <m/>
    <m/>
    <s v="Researcher"/>
    <s v="Quality Assurance Officer"/>
    <s v="Research Scientist"/>
    <x v="1"/>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x v="3"/>
    <s v="No"/>
    <s v="NF"/>
    <s v="NF"/>
    <s v="NF"/>
    <s v="NF"/>
    <s v="esang@cartafrica.org"/>
    <s v="edwin.ampath@gmail.com"/>
    <s v="+254711531441"/>
    <m/>
    <m/>
    <m/>
    <m/>
    <m/>
    <m/>
    <m/>
    <m/>
    <x v="6"/>
    <d v="2018-08-30T00:00:00"/>
    <m/>
    <m/>
    <m/>
    <n v="0"/>
    <m/>
    <m/>
    <m/>
    <m/>
    <m/>
    <m/>
    <m/>
    <m/>
    <m/>
    <x v="1"/>
    <m/>
    <s v="MOI UNIVERSITY"/>
    <m/>
    <m/>
    <d v="2016-02-28T00:00:00"/>
    <m/>
    <m/>
    <m/>
    <m/>
    <m/>
    <m/>
    <m/>
    <m/>
    <m/>
    <m/>
    <m/>
    <m/>
    <m/>
    <m/>
    <m/>
    <x v="19"/>
    <x v="1"/>
    <s v="Terminated"/>
    <m/>
    <m/>
    <m/>
    <m/>
    <m/>
    <m/>
    <m/>
    <m/>
    <m/>
    <s v="No"/>
    <m/>
    <m/>
    <m/>
    <m/>
    <m/>
    <m/>
    <m/>
    <m/>
    <m/>
    <m/>
    <m/>
    <s v="WT-DELTAS"/>
  </r>
  <r>
    <n v="148"/>
    <s v="C7/001"/>
    <s v="Abigail"/>
    <s v="Ruth"/>
    <s v="Dreyer"/>
    <x v="1"/>
    <x v="6"/>
    <x v="5"/>
    <x v="6"/>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x v="6"/>
    <m/>
    <s v="Prof. Laetitia Rispel  "/>
    <m/>
    <m/>
    <n v="1"/>
    <s v="Home"/>
    <m/>
    <m/>
    <s v="Yes"/>
    <m/>
    <m/>
    <s v="Academic"/>
    <s v="Lecturer"/>
    <s v="Lecturer"/>
    <x v="0"/>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x v="6"/>
    <m/>
    <s v="Prof. Eleanor Manderson"/>
    <m/>
    <m/>
    <n v="1"/>
    <s v="Host"/>
    <m/>
    <m/>
    <s v="No"/>
    <m/>
    <m/>
    <s v="Academic"/>
    <s v="Assistant Lecturer "/>
    <s v="Assistant Lecturer"/>
    <x v="1"/>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x v="6"/>
    <m/>
    <s v="Prof. Irinoye Oladunni Omolola "/>
    <m/>
    <m/>
    <n v="1"/>
    <s v="Home"/>
    <m/>
    <m/>
    <s v="Yes"/>
    <m/>
    <m/>
    <s v="Researcher"/>
    <s v="Instructor"/>
    <s v="Lecturer"/>
    <x v="1"/>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x v="6"/>
    <m/>
    <s v="Prof. Eleanor Manderson"/>
    <s v="Prof. Munthali, Alister"/>
    <s v="Dr. Chipeta, Effie"/>
    <n v="3"/>
    <s v="Host"/>
    <m/>
    <m/>
    <s v="No"/>
    <m/>
    <m/>
    <s v="Researcher"/>
    <s v="Research Scientist"/>
    <s v="Research Fellow"/>
    <x v="1"/>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x v="6"/>
    <m/>
    <s v="Dr. David Musoke, PhD "/>
    <s v=" Assoc. Prof. Nazarius Mbona Tumwesigye"/>
    <s v="Assoc.Prof.Theoneste Ntakirutimana"/>
    <n v="3"/>
    <s v="Host"/>
    <m/>
    <m/>
    <s v="Yes"/>
    <m/>
    <m/>
    <s v="Academic"/>
    <s v="Assistant Lecturer"/>
    <s v="Senior Lecturer"/>
    <x v="0"/>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x v="6"/>
    <m/>
    <s v="Dr. Muthoni Mathai"/>
    <s v="Dr William Byansi"/>
    <s v="Dr Thomas Crea"/>
    <n v="3"/>
    <s v="Home"/>
    <m/>
    <m/>
    <s v="Yes"/>
    <m/>
    <m/>
    <s v="Other"/>
    <s v="Clinical Psychologist"/>
    <s v="Clinical Psychologist &amp; ADAP Program Coordinator"/>
    <x v="1"/>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x v="6"/>
    <m/>
    <s v="Prof. Eme Owoaje Theodara"/>
    <s v="Dr Adebusoye Adekunle Lawrence"/>
    <m/>
    <n v="2"/>
    <s v="Home"/>
    <m/>
    <m/>
    <s v="Yes"/>
    <m/>
    <m/>
    <s v="Academic"/>
    <m/>
    <s v="Senior Lecturer"/>
    <x v="0"/>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x v="6"/>
    <m/>
    <s v="Associate Professor Yandisa Sikweyiya"/>
    <s v="Associate Professor Mphatso Kamndaya"/>
    <m/>
    <n v="2"/>
    <s v="Home"/>
    <m/>
    <m/>
    <s v="Yes"/>
    <m/>
    <m/>
    <s v="Researcher"/>
    <s v="Research Coordinator"/>
    <s v="Research coordinator"/>
    <x v="1"/>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x v="6"/>
    <m/>
    <s v="Professor Lampiao Fanuel"/>
    <s v="Professor Demitri Constantino"/>
    <m/>
    <n v="2"/>
    <s v="Home"/>
    <m/>
    <m/>
    <s v="No"/>
    <m/>
    <m/>
    <s v="Academic"/>
    <s v="Lecturer"/>
    <s v="Associate Professor"/>
    <x v="0"/>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x v="6"/>
    <d v="2021-01-18T00:00:00"/>
    <s v="Professor Lucy Muchiri"/>
    <m/>
    <m/>
    <n v="1"/>
    <s v="Home"/>
    <m/>
    <m/>
    <s v="Yes"/>
    <m/>
    <m/>
    <s v="Academic"/>
    <m/>
    <m/>
    <x v="1"/>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x v="6"/>
    <m/>
    <s v="Prof. Michael Korir"/>
    <s v="Dr. Juddy Wachira"/>
    <m/>
    <n v="2"/>
    <s v="Home"/>
    <m/>
    <m/>
    <s v="No"/>
    <m/>
    <m/>
    <s v="Academic"/>
    <s v="Graduate Assistant"/>
    <s v="Lecturer"/>
    <x v="0"/>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x v="6"/>
    <m/>
    <s v="Professor Oke Aderemi Gbemisola"/>
    <m/>
    <m/>
    <n v="1"/>
    <s v="Home"/>
    <m/>
    <m/>
    <s v="Yes"/>
    <m/>
    <m/>
    <s v="Academic"/>
    <s v="Coordinator Community oral health programme"/>
    <s v="Professor"/>
    <x v="0"/>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x v="6"/>
    <m/>
    <s v="Prof. Bamiwuye Olusina"/>
    <s v="Dr. Adedokun Sulaimon "/>
    <m/>
    <n v="2"/>
    <s v="Home"/>
    <m/>
    <m/>
    <s v="Yes"/>
    <m/>
    <m/>
    <s v="Academic"/>
    <s v="Assistant lecturer"/>
    <s v="Senior Lecturer"/>
    <x v="0"/>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x v="6"/>
    <d v="2020-04-09T00:00:00"/>
    <s v="Dr. Caryn Abrahams"/>
    <s v="Prof. Alex Van Den Heever"/>
    <m/>
    <n v="2"/>
    <s v="Host"/>
    <m/>
    <m/>
    <s v="Yes"/>
    <m/>
    <m/>
    <s v="Administrative"/>
    <m/>
    <m/>
    <x v="1"/>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x v="6"/>
    <m/>
    <s v="Prof. Colin Menezes  "/>
    <m/>
    <m/>
    <n v="1"/>
    <s v="Home"/>
    <m/>
    <m/>
    <s v="No"/>
    <m/>
    <m/>
    <s v="Researcher"/>
    <s v="Program Manager"/>
    <s v="Senior Epidemiologist"/>
    <x v="0"/>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x v="6"/>
    <m/>
    <s v="Prof. Mutuku A. Mwanthi"/>
    <m/>
    <m/>
    <n v="1"/>
    <s v="Home"/>
    <m/>
    <m/>
    <s v="Yes"/>
    <m/>
    <m/>
    <s v="Researcher"/>
    <s v="Research Associate"/>
    <s v="Lecturer"/>
    <x v="0"/>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x v="6"/>
    <m/>
    <s v="Dr. Fredros Okumu"/>
    <m/>
    <m/>
    <n v="1"/>
    <s v="Host"/>
    <m/>
    <m/>
    <s v="No"/>
    <m/>
    <m/>
    <s v="Researcher"/>
    <m/>
    <s v="Senior Research Scientist"/>
    <x v="0"/>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x v="6"/>
    <m/>
    <s v="Prof. Adamson Muula"/>
    <s v="Jude Igumbor"/>
    <m/>
    <n v="2"/>
    <s v="Host"/>
    <m/>
    <m/>
    <s v="Yes"/>
    <m/>
    <m/>
    <s v="Academic"/>
    <s v="Clinical Lecturer"/>
    <s v="Clinical Lecturer &amp; Senior advisor"/>
    <x v="0"/>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x v="6"/>
    <m/>
    <s v="Dr. Nokuthula Mafutha"/>
    <s v="Professor Daleen Casteleijn"/>
    <m/>
    <n v="2"/>
    <s v="Host"/>
    <m/>
    <m/>
    <s v="Yes"/>
    <m/>
    <m/>
    <s v="Academic"/>
    <m/>
    <s v="Post-Doctoral Associate"/>
    <x v="0"/>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x v="6"/>
    <m/>
    <s v="Dr. Daphney Nozizwe Conco "/>
    <m/>
    <m/>
    <n v="1"/>
    <s v="Host"/>
    <m/>
    <m/>
    <s v="No"/>
    <m/>
    <m/>
    <s v="Academic"/>
    <s v="Assistant Lecturer"/>
    <s v="Senior lecturer"/>
    <x v="0"/>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x v="6"/>
    <m/>
    <s v="Dr. Sola Asa"/>
    <m/>
    <m/>
    <n v="1"/>
    <s v="Home"/>
    <m/>
    <m/>
    <s v="Yes"/>
    <m/>
    <m/>
    <s v="Academic"/>
    <m/>
    <s v="Lecturer I"/>
    <x v="1"/>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x v="6"/>
    <m/>
    <s v="Prof. Charles O. Bekibele"/>
    <m/>
    <m/>
    <n v="1"/>
    <s v="Home"/>
    <m/>
    <m/>
    <s v="No"/>
    <m/>
    <m/>
    <s v="Academic"/>
    <m/>
    <s v="Professor"/>
    <x v="1"/>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x v="6"/>
    <m/>
    <s v="Prof. M.A.O Aluko"/>
    <m/>
    <m/>
    <n v="1"/>
    <s v="Home"/>
    <m/>
    <m/>
    <s v="Yes"/>
    <m/>
    <m/>
    <s v="Researcher"/>
    <m/>
    <s v="Research Fellow"/>
    <x v="1"/>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x v="6"/>
    <m/>
    <s v="Prof. Olufunmilayo Fawole"/>
    <s v="Prof. Ashaye"/>
    <m/>
    <n v="2"/>
    <s v="Home"/>
    <m/>
    <m/>
    <s v="Yes"/>
    <m/>
    <m/>
    <s v="Academic"/>
    <s v="Lecturer"/>
    <s v="Professor"/>
    <x v="1"/>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x v="6"/>
    <m/>
    <s v="Prof. Fredrick Edward Makumbi"/>
    <m/>
    <m/>
    <n v="1"/>
    <s v="Home"/>
    <m/>
    <m/>
    <s v="Yes"/>
    <m/>
    <m/>
    <s v="Academic"/>
    <s v="Assistant Lecturer"/>
    <s v="Lecturer"/>
    <x v="0"/>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x v="6"/>
    <m/>
    <s v="Hellen Myezwa"/>
    <s v="Prof. Joanne Potterton "/>
    <s v="Prof. Joanne Potterton "/>
    <n v="3"/>
    <s v="Home"/>
    <m/>
    <m/>
    <s v="No"/>
    <m/>
    <m/>
    <s v="Academic"/>
    <s v="Lecturer"/>
    <s v="Associate Professor"/>
    <x v="0"/>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x v="6"/>
    <d v="2017-12-31T00:00:00"/>
    <m/>
    <m/>
    <m/>
    <n v="0"/>
    <m/>
    <m/>
    <m/>
    <m/>
    <m/>
    <m/>
    <m/>
    <m/>
    <m/>
    <x v="1"/>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x v="7"/>
    <m/>
    <s v="Lee Fairlie"/>
    <s v="Saiqa Mullick"/>
    <s v="Nancy Yinger"/>
    <n v="3"/>
    <s v="Home"/>
    <s v="Home"/>
    <m/>
    <s v="Yes"/>
    <s v="No"/>
    <s v="No"/>
    <s v="Other"/>
    <s v="TECHNICAL HEAD: MONITORING &amp; EVALUATION"/>
    <s v="Consultant - Social &amp; Behavior Change"/>
    <x v="1"/>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x v="7"/>
    <m/>
    <s v="Dr Kerstin Klipstein-Grobusch "/>
    <m/>
    <m/>
    <n v="1"/>
    <s v="Host"/>
    <m/>
    <m/>
    <s v="Yes"/>
    <m/>
    <m/>
    <s v="Academic"/>
    <m/>
    <s v="Senior Lecturer"/>
    <x v="1"/>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x v="7"/>
    <m/>
    <s v="Dr. John Wangoh"/>
    <m/>
    <m/>
    <n v="1"/>
    <s v="Host"/>
    <m/>
    <m/>
    <s v="No"/>
    <m/>
    <m/>
    <s v="Academic"/>
    <s v="Academic Staff"/>
    <s v="Assistant Lecturer"/>
    <x v="2"/>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x v="7"/>
    <m/>
    <s v="Prof. V Yengopal "/>
    <s v="Dr Yolanda Malele-Kolisa; Yolanda.Kolisa@wits.ac.za; University of the Witwatersrand"/>
    <m/>
    <n v="2"/>
    <s v="Host"/>
    <m/>
    <m/>
    <s v="Yes"/>
    <m/>
    <m/>
    <s v="Academic"/>
    <s v="Assistant Lecturer "/>
    <s v="Associate Professor"/>
    <x v="0"/>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x v="7"/>
    <m/>
    <s v="Prof. Akanni Ibukun Akinyemi"/>
    <s v="Dr. Bola Lukman Solanke"/>
    <m/>
    <n v="2"/>
    <s v="Home"/>
    <s v="Home"/>
    <m/>
    <s v="Yes"/>
    <s v="No"/>
    <m/>
    <s v="Academic"/>
    <s v="Assistant Lecturer"/>
    <s v="Senior Lecturer"/>
    <x v="0"/>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x v="7"/>
    <d v="2020-02-06T00:00:00"/>
    <m/>
    <m/>
    <m/>
    <n v="0"/>
    <m/>
    <m/>
    <m/>
    <m/>
    <m/>
    <m/>
    <s v="Researcher"/>
    <m/>
    <m/>
    <x v="1"/>
    <m/>
    <s v="MAKERERE UNIVERSITY"/>
    <m/>
    <m/>
    <d v="2018-03-05T00:00:00"/>
    <m/>
    <s v="No"/>
    <m/>
    <m/>
    <m/>
    <m/>
    <m/>
    <m/>
    <m/>
    <m/>
    <m/>
    <m/>
    <m/>
    <m/>
    <m/>
    <x v="19"/>
    <x v="1"/>
    <s v="Terminated"/>
    <m/>
    <m/>
    <n v="3"/>
    <m/>
    <m/>
    <m/>
    <m/>
    <m/>
    <m/>
    <s v="No"/>
    <m/>
    <m/>
    <m/>
    <m/>
    <m/>
    <m/>
    <m/>
    <m/>
    <n v="2"/>
    <m/>
    <m/>
    <s v="SIDA"/>
  </r>
  <r>
    <n v="181"/>
    <s v="C8/007"/>
    <s v="Samuel"/>
    <s v="Waweru"/>
    <s v="Mwaniki"/>
    <x v="0"/>
    <x v="7"/>
    <x v="2"/>
    <x v="7"/>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x v="7"/>
    <m/>
    <s v="Dr. Thesla Palanee "/>
    <s v="Dr. Peter Mugo"/>
    <m/>
    <n v="2"/>
    <s v="Host"/>
    <m/>
    <m/>
    <s v="No"/>
    <m/>
    <m/>
    <s v="Administrative"/>
    <s v="PHARMACIST"/>
    <s v="PHARMACIST"/>
    <x v="1"/>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x v="7"/>
    <m/>
    <s v="Prof. George Gitao"/>
    <s v="Prof. Paul Plummer"/>
    <s v="Prof. Charles Mulei"/>
    <n v="3"/>
    <s v="Home"/>
    <s v="Other"/>
    <s v="Home"/>
    <s v="Yes"/>
    <s v="No"/>
    <s v="No"/>
    <s v="Academic"/>
    <s v="Tutorial Fellow"/>
    <s v="Lecturer"/>
    <x v="0"/>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x v="7"/>
    <m/>
    <s v="Samanta T Lalla-Edward"/>
    <s v="John de Wit"/>
    <m/>
    <n v="2"/>
    <s v="Home"/>
    <s v="Other"/>
    <m/>
    <s v="Yes"/>
    <s v="No"/>
    <m/>
    <s v="Other"/>
    <s v="Technical Specialist"/>
    <s v="Researcher"/>
    <x v="1"/>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x v="7"/>
    <m/>
    <s v="Dr. O. Abimbola Oluwatosin"/>
    <m/>
    <m/>
    <n v="1"/>
    <m/>
    <m/>
    <m/>
    <s v="Yes"/>
    <m/>
    <m/>
    <s v="Academic"/>
    <s v="Lecturer II"/>
    <s v="Lecturer II"/>
    <x v="1"/>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x v="7"/>
    <m/>
    <s v="Dr. Kato Charles Drago"/>
    <s v="Dr. Kristina Roesel"/>
    <m/>
    <n v="2"/>
    <s v="Home"/>
    <s v="Other"/>
    <m/>
    <s v="No"/>
    <s v="No"/>
    <m/>
    <s v="Academic"/>
    <s v="Assistant Lecturer"/>
    <s v="Assistant Lecturer"/>
    <x v="1"/>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x v="7"/>
    <m/>
    <s v="Dr David Tumusiime"/>
    <m/>
    <m/>
    <n v="1"/>
    <m/>
    <m/>
    <m/>
    <s v="Yes"/>
    <m/>
    <m/>
    <s v="Academic"/>
    <s v="Assistant Lecturer"/>
    <s v="Lecturer"/>
    <x v="0"/>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x v="7"/>
    <m/>
    <s v="Prof. Daniel Waweru Gakuya "/>
    <s v="Dr. Gabriel Oluga Aboge"/>
    <s v="Prof. Ndichu Maingi"/>
    <n v="3"/>
    <s v="Home"/>
    <s v="Home"/>
    <s v="Home"/>
    <s v="Yes"/>
    <m/>
    <m/>
    <s v="Academic"/>
    <s v="Tutorial Fellow"/>
    <s v="Lecturer"/>
    <x v="0"/>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x v="7"/>
    <m/>
    <s v="Dr.Mphatso Kamndaya"/>
    <s v="Dr Lumbwe Chola"/>
    <m/>
    <n v="2"/>
    <s v="Home"/>
    <s v="Other"/>
    <m/>
    <s v="Yes"/>
    <m/>
    <m/>
    <s v="Academic"/>
    <m/>
    <m/>
    <x v="1"/>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x v="7"/>
    <m/>
    <s v="Dr. Duane Blaauw "/>
    <s v="Dr. Salome Maswime "/>
    <m/>
    <n v="2"/>
    <s v="Host"/>
    <s v="Host"/>
    <m/>
    <s v="No"/>
    <s v="No"/>
    <m/>
    <s v="Academic"/>
    <s v="Senior Lecturer"/>
    <s v="Associate professor"/>
    <x v="0"/>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x v="7"/>
    <m/>
    <s v="PD. Dr. med. Wilm Quentin"/>
    <m/>
    <m/>
    <n v="1"/>
    <m/>
    <m/>
    <m/>
    <s v="No"/>
    <m/>
    <m/>
    <s v="Academic"/>
    <s v="Lecturer II"/>
    <s v="Lecturer I"/>
    <x v="0"/>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x v="7"/>
    <m/>
    <s v="Prof. Hellen Myezwa"/>
    <s v="Dr Fasloen Adams"/>
    <m/>
    <n v="2"/>
    <s v="Home"/>
    <s v="Home"/>
    <m/>
    <s v="No"/>
    <s v="No"/>
    <m/>
    <s v="Academic"/>
    <s v="Lecturer"/>
    <s v="Lecturer"/>
    <x v="1"/>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x v="7"/>
    <m/>
    <s v="Dr. Marianne Mureithi"/>
    <s v="Dr. John Ndemi Kiiru"/>
    <s v="Prof. Gunturu Revathi"/>
    <n v="3"/>
    <s v="Home"/>
    <s v="Home"/>
    <m/>
    <s v="Yes"/>
    <s v="No"/>
    <m/>
    <s v="Academic"/>
    <s v="Tutorial Fellow"/>
    <s v="Tutorial Fellow"/>
    <x v="1"/>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x v="7"/>
    <m/>
    <s v="Dr Nokuthula Mafutha"/>
    <m/>
    <m/>
    <n v="1"/>
    <s v="Host"/>
    <m/>
    <m/>
    <s v="Yes"/>
    <m/>
    <m/>
    <s v="Academic"/>
    <m/>
    <s v="Senior Lecturer"/>
    <x v="0"/>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x v="7"/>
    <m/>
    <s v="Prof RULISA Steven"/>
    <m/>
    <m/>
    <n v="1"/>
    <s v="Home"/>
    <m/>
    <m/>
    <s v="Yes"/>
    <m/>
    <m/>
    <s v="Academic"/>
    <s v="Senior Lecturer of Surgery and Head of department"/>
    <s v="Associate Professor"/>
    <x v="0"/>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x v="7"/>
    <m/>
    <s v="Dr Felix Mbajiorgu"/>
    <s v="Prof. Amadi Ihunwo"/>
    <s v="Prof. Adefolarin Malomo"/>
    <n v="3"/>
    <s v="Host"/>
    <s v="Host"/>
    <m/>
    <s v="Yes"/>
    <s v="No"/>
    <s v="No"/>
    <s v="Academic"/>
    <s v="Lecturer"/>
    <s v="Senior Lecturer"/>
    <x v="1"/>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x v="7"/>
    <d v="2021-07-21T00:00:00"/>
    <s v="Prof Adamson Muula"/>
    <m/>
    <m/>
    <n v="1"/>
    <s v="Home"/>
    <m/>
    <m/>
    <s v="Yes"/>
    <m/>
    <m/>
    <s v="Academic"/>
    <m/>
    <m/>
    <x v="1"/>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x v="7"/>
    <d v="2022-03-31T00:00:00"/>
    <s v="Assoc. Prof. Freddie Ssengooba"/>
    <s v="Dr. Henry Wamani"/>
    <m/>
    <n v="2"/>
    <s v="Home"/>
    <s v="Home"/>
    <m/>
    <s v="No"/>
    <m/>
    <m/>
    <s v="Academic"/>
    <m/>
    <m/>
    <x v="1"/>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x v="7"/>
    <m/>
    <s v="Dr Akindele Olupelumi Adebiyi"/>
    <s v="Prof Eme Theodora Owoaje"/>
    <m/>
    <n v="2"/>
    <m/>
    <s v="Home"/>
    <m/>
    <s v="Yes"/>
    <s v="Yes"/>
    <m/>
    <s v="Academic"/>
    <m/>
    <s v="Lecturerr"/>
    <x v="1"/>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x v="7"/>
    <m/>
    <s v="Prof. Dina Ligaga"/>
    <s v="Dr. Juddy Wachira"/>
    <m/>
    <n v="2"/>
    <s v="Host"/>
    <s v="Home"/>
    <m/>
    <s v="No"/>
    <s v="No"/>
    <m/>
    <s v="Researcher"/>
    <s v="Manager, Social Behavioural Department-AMPATHPlus"/>
    <s v="Departmental Manager"/>
    <x v="1"/>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x v="7"/>
    <m/>
    <s v="Dr. Kennedy J. Omoke"/>
    <s v="Dr. James M. Moronge"/>
    <m/>
    <n v="2"/>
    <s v="Host"/>
    <s v="Host"/>
    <m/>
    <s v="No"/>
    <m/>
    <m/>
    <s v="Academic"/>
    <s v="Assistant Lecturer"/>
    <s v="Assistant Lecturer"/>
    <x v="1"/>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x v="8"/>
    <m/>
    <s v="Prof. Phiri Kamija"/>
    <s v="Dr. Martin Mwangi"/>
    <m/>
    <n v="2"/>
    <s v="Home"/>
    <s v="Home"/>
    <m/>
    <s v="No"/>
    <s v="Yes"/>
    <m/>
    <s v="Researcher"/>
    <s v="Research fellow"/>
    <s v="Senior Research fellow"/>
    <x v="0"/>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x v="8"/>
    <m/>
    <s v="Dr Olumide, Adesola O."/>
    <m/>
    <m/>
    <n v="1"/>
    <s v="University of Ibadan, Ibadan"/>
    <m/>
    <m/>
    <s v="Yes"/>
    <m/>
    <m/>
    <s v="Researcher"/>
    <s v="Research Fellow"/>
    <s v="Research Fellow 1; Senior lecture r (Jan 2022)"/>
    <x v="0"/>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x v="8"/>
    <m/>
    <s v="Dr Jaishika Seedat "/>
    <m/>
    <m/>
    <n v="1"/>
    <s v="Home"/>
    <m/>
    <m/>
    <s v="Yes"/>
    <m/>
    <m/>
    <s v="Academic"/>
    <m/>
    <s v="Lecturer "/>
    <x v="1"/>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x v="8"/>
    <m/>
    <s v="Ass.Prof. Theoneste Ntakirutimana"/>
    <m/>
    <m/>
    <n v="1"/>
    <s v="Home"/>
    <m/>
    <m/>
    <s v="Yes"/>
    <m/>
    <m/>
    <s v="Academic"/>
    <s v="Lecturer"/>
    <s v="Lecturer"/>
    <x v="2"/>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x v="8"/>
    <m/>
    <s v="Professor Lize Maree"/>
    <m/>
    <m/>
    <n v="1"/>
    <s v="Host"/>
    <m/>
    <m/>
    <s v="Yes"/>
    <m/>
    <m/>
    <s v="Academic"/>
    <s v="Lecturer"/>
    <s v="Lecturer"/>
    <x v="2"/>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x v="8"/>
    <m/>
    <s v="Dr Kennedy Abuga"/>
    <s v="Dr Marianne Mureithi"/>
    <s v="Dr Videlis Nduba"/>
    <n v="3"/>
    <s v="Home"/>
    <s v="Home"/>
    <s v="Other"/>
    <s v="Yes"/>
    <s v="No"/>
    <s v="No"/>
    <s v="Other"/>
    <s v="Senior Project Officer"/>
    <s v="Senior Clinical Research Scientist"/>
    <x v="0"/>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x v="8"/>
    <m/>
    <s v="Dr. Onyango Owuor Nelson"/>
    <s v="Dr. Chukwu Unna Angela"/>
    <m/>
    <n v="2"/>
    <s v="Host"/>
    <s v="Other"/>
    <m/>
    <s v="Yes"/>
    <s v="No"/>
    <m/>
    <s v="Academic"/>
    <s v="Lecturer "/>
    <s v="Lecturer"/>
    <x v="2"/>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x v="8"/>
    <m/>
    <s v="Prof. David Guwatudde"/>
    <s v="Dr. John C. Ssempebwa "/>
    <s v="Prof. Asa Bradman"/>
    <n v="3"/>
    <s v="Home"/>
    <s v="Home"/>
    <s v="Other"/>
    <s v="No"/>
    <s v="No"/>
    <s v="No"/>
    <s v="Academic"/>
    <s v="Research Associate "/>
    <s v="Research Associate "/>
    <x v="1"/>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x v="3"/>
    <s v="No"/>
    <m/>
    <s v="Married"/>
    <s v="Married"/>
    <m/>
    <s v="cogada@cartafrica.org"/>
    <s v="nyalikogada@yahoo.com"/>
    <s v="+254772438224; 254720342901"/>
    <m/>
    <d v="1983-03-08T00:00:00"/>
    <m/>
    <s v="Field"/>
    <m/>
    <m/>
    <n v="17"/>
    <d v="2020-08-12T00:00:00"/>
    <x v="8"/>
    <m/>
    <s v=" Prof. Laetitia Rispel"/>
    <s v="Dr Richard Ayah "/>
    <m/>
    <n v="2"/>
    <s v="Host"/>
    <s v="Home"/>
    <m/>
    <s v="No"/>
    <s v="Yes"/>
    <m/>
    <s v="Academic"/>
    <s v="Tutorial fellow"/>
    <s v="Lecturer "/>
    <x v="1"/>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x v="8"/>
    <m/>
    <s v="Prof. Muvunyi Mambo"/>
    <s v="Dr. Uwineza Annette"/>
    <m/>
    <n v="2"/>
    <s v="Home"/>
    <s v="Home"/>
    <m/>
    <s v="No"/>
    <s v="Yes"/>
    <m/>
    <s v="Academic"/>
    <s v="Assistant Lecturer"/>
    <s v="Lecturer"/>
    <x v="2"/>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x v="8"/>
    <m/>
    <s v="Prof. Byarugaba K. Denis"/>
    <s v="Assoc. Prof. Robert Tweyongyere"/>
    <m/>
    <n v="2"/>
    <m/>
    <m/>
    <m/>
    <m/>
    <m/>
    <m/>
    <s v="Academic"/>
    <s v="Assistant Lecturer"/>
    <m/>
    <x v="1"/>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x v="8"/>
    <m/>
    <s v="Professor Hellen Myezwa,"/>
    <s v="Dr Tania Rauch-van der Merwe"/>
    <s v="Professor Lisa O’Brien"/>
    <n v="3"/>
    <s v="Home"/>
    <s v="Other"/>
    <m/>
    <s v="Yes"/>
    <s v="No"/>
    <m/>
    <s v="Academic"/>
    <s v="Lecturer 1"/>
    <s v="Senior lecturer"/>
    <x v="0"/>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x v="8"/>
    <m/>
    <s v="Prof/Omotade/Olayemi"/>
    <s v="Prof/Fatusi/Adesegun"/>
    <m/>
    <n v="2"/>
    <s v="Host"/>
    <s v="Home"/>
    <m/>
    <s v="Yes"/>
    <m/>
    <m/>
    <s v="Academic"/>
    <s v="Lecturer"/>
    <s v="Senior Lecturer"/>
    <x v="0"/>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x v="8"/>
    <m/>
    <s v="Prof Fawole Olufunmilayo"/>
    <m/>
    <m/>
    <n v="1"/>
    <s v="Home"/>
    <m/>
    <m/>
    <s v="Yes"/>
    <m/>
    <m/>
    <s v="Academic"/>
    <s v="Lecturer I"/>
    <s v="Senior Lecturer"/>
    <x v="0"/>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x v="8"/>
    <m/>
    <s v="Dr. Nwuba I. Roseangela"/>
    <m/>
    <m/>
    <n v="1"/>
    <s v="Home"/>
    <m/>
    <m/>
    <s v="Yes"/>
    <m/>
    <m/>
    <s v="Academic"/>
    <s v="Teaching and Research Assistant at the Department of Zoology, University of Ibadan"/>
    <s v="Teaching and Research Assistant at the Department of Zoology"/>
    <x v="1"/>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x v="8"/>
    <m/>
    <s v="Dr Adams Fasloen"/>
    <s v="Dr Nkosi-Mafutha Nokuthula"/>
    <m/>
    <n v="2"/>
    <s v="Home"/>
    <s v="Home"/>
    <m/>
    <s v="No"/>
    <s v="No"/>
    <m/>
    <s v="Academic"/>
    <s v="Lecturer"/>
    <s v="Senior Lecturer"/>
    <x v="1"/>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x v="6"/>
    <s v="Yes"/>
    <s v="I80/52247/2017"/>
    <s v="Married"/>
    <s v="Married"/>
    <m/>
    <s v="jmacharia@cartafrica.org"/>
    <s v="jmacharia251@gmail.com"/>
    <s v="+254 726418703"/>
    <s v="Msc in Chemistry"/>
    <d v="1986-04-09T00:00:00"/>
    <m/>
    <s v="Other"/>
    <m/>
    <m/>
    <n v="5"/>
    <d v="2018-09-03T00:00:00"/>
    <x v="8"/>
    <d v="2022-09-14T00:00:00"/>
    <s v="Prof. Kariuki K. David"/>
    <s v="Prof. Thole Benard"/>
    <m/>
    <n v="2"/>
    <s v="Home"/>
    <s v="Home"/>
    <s v="Other"/>
    <s v="No"/>
    <m/>
    <m/>
    <s v="Researcher"/>
    <s v="Part-time researcher"/>
    <s v="Researcher"/>
    <x v="1"/>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x v="8"/>
    <m/>
    <s v="Prof Shabir Moosa"/>
    <m/>
    <m/>
    <n v="1"/>
    <s v="Host"/>
    <m/>
    <m/>
    <s v="No"/>
    <m/>
    <m/>
    <s v="Academic"/>
    <s v="Lecturer"/>
    <s v="Senior Lecturer"/>
    <x v="1"/>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x v="8"/>
    <m/>
    <s v=" Dr. Aijaz Ahmad_x0009_"/>
    <s v=" Prof. Simeon Mining_x0009_"/>
    <s v="Dr. Rispah Torrorey"/>
    <n v="3"/>
    <s v="Host"/>
    <s v="Home"/>
    <s v="Home"/>
    <s v="Yes"/>
    <m/>
    <m/>
    <s v="Academic"/>
    <s v="Lecturer"/>
    <s v="Lecturer"/>
    <x v="1"/>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x v="7"/>
    <s v="Yes"/>
    <s v="SSP17/18/R/0016"/>
    <s v="Married"/>
    <s v="Married"/>
    <m/>
    <s v="ooluwatope@cartafrica.org"/>
    <s v=" omolayooluwatope@gmail.com"/>
    <s v="+2348023926477"/>
    <s v="Master of Public Health (MPH)"/>
    <d v="1975-04-16T00:00:00"/>
    <m/>
    <s v="Field"/>
    <s v="No"/>
    <m/>
    <n v="9"/>
    <d v="2018-10-23T00:00:00"/>
    <x v="8"/>
    <m/>
    <s v="DR SOLANKE LUKMAN BOLA"/>
    <s v="DR T. SULAIMAN ADEDOKUN"/>
    <m/>
    <n v="2"/>
    <s v="Home"/>
    <s v="Home"/>
    <m/>
    <s v="Yes"/>
    <m/>
    <m/>
    <s v="Researcher"/>
    <s v="Research Officer"/>
    <m/>
    <x v="1"/>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x v="8"/>
    <m/>
    <s v="Dr. Kagura Juliana"/>
    <s v="Joel Msafiri Francis"/>
    <s v="Dr. Maja Wisser"/>
    <n v="3"/>
    <s v="Host"/>
    <s v="Host"/>
    <s v="Home"/>
    <s v="Yes"/>
    <s v="No"/>
    <s v="No"/>
    <s v="Researcher"/>
    <s v="Research Scientist"/>
    <m/>
    <x v="1"/>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x v="8"/>
    <m/>
    <s v="Prof Phiri Samuel Kamija"/>
    <s v="Dr Mwangi Ndegwa Martin"/>
    <m/>
    <n v="2"/>
    <s v="Home"/>
    <s v="Home"/>
    <m/>
    <s v="No"/>
    <s v="Yes"/>
    <m/>
    <s v="Researcher"/>
    <s v="Research Fellow"/>
    <s v="Research Fellow"/>
    <x v="1"/>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x v="8"/>
    <m/>
    <s v="Prof.Baldwin-Ragaven Laurel "/>
    <m/>
    <m/>
    <n v="1"/>
    <s v="University of Witwatersrand, South Africa"/>
    <m/>
    <m/>
    <s v="Yes"/>
    <m/>
    <m/>
    <s v="Academic"/>
    <s v="Lecturer I"/>
    <s v="Lecturer I"/>
    <x v="1"/>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x v="8"/>
    <d v="2022-09-14T00:00:00"/>
    <m/>
    <m/>
    <m/>
    <n v="0"/>
    <m/>
    <m/>
    <m/>
    <m/>
    <m/>
    <m/>
    <s v="Researcher"/>
    <s v="Research fellow"/>
    <s v="Research fellow"/>
    <x v="1"/>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x v="9"/>
    <m/>
    <s v="Dr Irene J. Kearns"/>
    <m/>
    <m/>
    <n v="1"/>
    <m/>
    <m/>
    <m/>
    <m/>
    <m/>
    <m/>
    <s v="Academic"/>
    <s v="Assistant Lecturer"/>
    <s v="Assistant Lecturer"/>
    <x v="2"/>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e v="#VALUE!"/>
    <s v="DEVELOPMENT OF STRATEGIES FOR HEALTH CARE PROVIDERS TO SUSTAIN RESPECTFUL MATERNITY CARE TO WOMEN IN LABOUR"/>
    <n v="0"/>
    <m/>
    <m/>
    <m/>
    <m/>
    <m/>
    <m/>
    <s v="No"/>
    <m/>
    <m/>
    <m/>
    <m/>
    <m/>
    <m/>
    <m/>
    <m/>
    <n v="3"/>
    <m/>
    <m/>
    <s v="SIDA"/>
  </r>
  <r>
    <n v="226"/>
    <s v="C10/002"/>
    <s v="Aline"/>
    <m/>
    <s v="Uwase"/>
    <x v="1"/>
    <x v="9"/>
    <x v="1"/>
    <x v="1"/>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x v="9"/>
    <m/>
    <s v="Prof. Jonathan Levin"/>
    <m/>
    <m/>
    <n v="1"/>
    <m/>
    <m/>
    <m/>
    <m/>
    <m/>
    <m/>
    <s v="Academic"/>
    <s v="Assistant Lecturer"/>
    <s v="Assistant Lecturer"/>
    <x v="2"/>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x v="9"/>
    <m/>
    <s v="Prof. Kennedy Otwombe "/>
    <s v="Dr. Fiona Vanobberghen"/>
    <m/>
    <n v="2"/>
    <m/>
    <m/>
    <m/>
    <m/>
    <m/>
    <m/>
    <s v="Administrative"/>
    <s v="Research Scientist"/>
    <m/>
    <x v="1"/>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x v="9"/>
    <x v="0"/>
    <x v="0"/>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x v="9"/>
    <m/>
    <s v="Dr. Adebiyi Olupelumi Akindele"/>
    <m/>
    <m/>
    <n v="1"/>
    <m/>
    <m/>
    <m/>
    <m/>
    <m/>
    <m/>
    <s v="Academic"/>
    <s v="Lecturer I"/>
    <s v="Senior Lecturer"/>
    <x v="0"/>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x v="9"/>
    <m/>
    <s v="Professor Lize Maree"/>
    <s v="Dr. Irene Kearns"/>
    <m/>
    <n v="2"/>
    <m/>
    <m/>
    <m/>
    <m/>
    <m/>
    <m/>
    <s v="Academic"/>
    <s v="Senior Lecturer"/>
    <s v="Senior Lecturer"/>
    <x v="0"/>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x v="9"/>
    <m/>
    <s v="Prof. Jane Goudge"/>
    <s v="Dr. Adam Koon"/>
    <s v="Dr. Adam Koon"/>
    <n v="3"/>
    <m/>
    <m/>
    <m/>
    <m/>
    <m/>
    <m/>
    <s v="Academic"/>
    <s v="Program Manager"/>
    <s v="Early Carrer Researcher"/>
    <x v="0"/>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x v="9"/>
    <m/>
    <s v="Prof Charles M. Mbogo"/>
    <s v="Prof. Wolfang Richard Mukabana"/>
    <s v="Prof. Godson Ana"/>
    <n v="3"/>
    <m/>
    <m/>
    <m/>
    <m/>
    <m/>
    <m/>
    <s v="Academic"/>
    <s v="Lecturer II"/>
    <s v="Lecturer I"/>
    <x v="0"/>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x v="9"/>
    <d v="2023-06-30T00:00:00"/>
    <s v="Dr. Jared Mecha"/>
    <m/>
    <m/>
    <n v="1"/>
    <m/>
    <m/>
    <m/>
    <m/>
    <m/>
    <m/>
    <s v="Academic"/>
    <m/>
    <m/>
    <x v="1"/>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x v="9"/>
    <m/>
    <s v="Dr Scheuermaier Karine"/>
    <s v="Dr Gomez-Olive F. Xavier"/>
    <s v="Prof. Fatusi Olayiwola Adesegun"/>
    <n v="3"/>
    <m/>
    <m/>
    <m/>
    <m/>
    <m/>
    <m/>
    <s v="Academic"/>
    <s v="Lecturer I"/>
    <s v="Senior Lecturer "/>
    <x v="0"/>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x v="9"/>
    <m/>
    <s v="Prof Fred Nuwaha Ntoni"/>
    <s v="Dr Jagnoor Jagnoor"/>
    <s v="Dr Simon Peter Kibira"/>
    <n v="3"/>
    <m/>
    <m/>
    <m/>
    <m/>
    <m/>
    <m/>
    <s v="Researcher"/>
    <s v="Research Associate"/>
    <m/>
    <x v="0"/>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x v="9"/>
    <m/>
    <s v="Prof Olayemi Oladapo "/>
    <s v="Dr Olumide Adesola"/>
    <m/>
    <n v="2"/>
    <m/>
    <m/>
    <m/>
    <m/>
    <m/>
    <m/>
    <s v="Researcher"/>
    <s v="Senior Lecturer"/>
    <s v=" Professor"/>
    <x v="0"/>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x v="19"/>
    <x v="2"/>
    <m/>
    <m/>
    <m/>
    <n v="7"/>
    <n v="8"/>
    <m/>
    <m/>
    <m/>
    <m/>
    <m/>
    <s v="No"/>
    <m/>
    <m/>
    <m/>
    <m/>
    <m/>
    <m/>
    <m/>
    <m/>
    <n v="2"/>
    <m/>
    <m/>
    <s v="SIDA"/>
  </r>
  <r>
    <n v="236"/>
    <s v="C10/012"/>
    <s v="James"/>
    <m/>
    <s v="Muleme"/>
    <x v="0"/>
    <x v="9"/>
    <x v="6"/>
    <x v="10"/>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x v="9"/>
    <m/>
    <s v="Dr. Ssempebwa John"/>
    <s v="Dr. Musoke David"/>
    <s v="Assoc. Prof. Kankya Clovice"/>
    <n v="3"/>
    <m/>
    <m/>
    <m/>
    <m/>
    <m/>
    <m/>
    <s v="Academic"/>
    <s v="Research Associate"/>
    <m/>
    <x v="1"/>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7"/>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x v="9"/>
    <m/>
    <s v="Professor Saiqa Mullick"/>
    <s v="Prof. Christofides Nicola"/>
    <m/>
    <n v="2"/>
    <m/>
    <m/>
    <m/>
    <m/>
    <m/>
    <m/>
    <s v="Academic"/>
    <s v="Researcher"/>
    <s v="Researcher"/>
    <x v="1"/>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8"/>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x v="9"/>
    <m/>
    <s v="Professor Clifford Odimegwu"/>
    <m/>
    <m/>
    <n v="1"/>
    <m/>
    <m/>
    <m/>
    <m/>
    <m/>
    <m/>
    <s v="Academic"/>
    <s v="Teaching assistant"/>
    <s v="Post-Doctoral Fellow"/>
    <x v="0"/>
    <m/>
    <s v="UNIVERSITY OF THE WITWATERSRAND"/>
    <s v="0000-0002-1957-9513"/>
    <m/>
    <d v="2020-03-15T00:00:00"/>
    <s v="11/1/2020 &amp; 22/5/2022"/>
    <s v="Yes"/>
    <m/>
    <m/>
    <m/>
    <m/>
    <m/>
    <s v="Family Changes and Child Maintenance Effect on Men’s Mental Health in South Africa "/>
    <d v="2023-05-15T00:00:00"/>
    <s v="No"/>
    <d v="2024-07-03T00:00:00"/>
    <s v="Yes"/>
    <m/>
    <m/>
    <m/>
    <x v="159"/>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x v="9"/>
    <m/>
    <s v="Prof Gbemisola Oke"/>
    <s v="Prof Dosumu OO"/>
    <m/>
    <n v="2"/>
    <m/>
    <m/>
    <m/>
    <m/>
    <m/>
    <m/>
    <s v="Researcher"/>
    <s v="Senior Lecturer"/>
    <s v="Senior Lecturer"/>
    <x v="1"/>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x v="9"/>
    <m/>
    <s v="Dr Janan Dietrich"/>
    <s v="Prof Tiffany Chennevile"/>
    <m/>
    <n v="2"/>
    <m/>
    <m/>
    <m/>
    <m/>
    <m/>
    <m/>
    <s v="Academic"/>
    <s v="Senior Researcher"/>
    <s v="Senior Researcher"/>
    <x v="1"/>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x v="9"/>
    <m/>
    <s v="Gillian Saloojee"/>
    <s v="Wiedaad Slemming"/>
    <m/>
    <n v="2"/>
    <m/>
    <m/>
    <m/>
    <m/>
    <m/>
    <m/>
    <s v="Academic"/>
    <s v="Lecturer"/>
    <s v="Lecturer"/>
    <x v="1"/>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x v="9"/>
    <m/>
    <s v="Dr Chesang Jacqueline Jelagat"/>
    <s v="Prof Omigbodun Akinyinka"/>
    <m/>
    <n v="2"/>
    <m/>
    <m/>
    <m/>
    <m/>
    <m/>
    <m/>
    <s v="Academic"/>
    <s v="Lecturer I"/>
    <s v="Senior Lecturer"/>
    <x v="0"/>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x v="9"/>
    <m/>
    <s v="Prof Tumussime K. David "/>
    <s v="Dr. Jean Baptiste Sagahutu "/>
    <m/>
    <n v="2"/>
    <m/>
    <m/>
    <m/>
    <m/>
    <m/>
    <m/>
    <s v="Researcher"/>
    <s v="Lecturer of Surgery"/>
    <s v="Senior Lecturer"/>
    <x v="0"/>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1"/>
    <x v="0"/>
    <n v="56"/>
    <e v="#VALUE!"/>
    <m/>
    <n v="0"/>
    <n v="2"/>
    <m/>
    <m/>
    <m/>
    <m/>
    <m/>
    <s v="No"/>
    <m/>
    <m/>
    <m/>
    <m/>
    <m/>
    <m/>
    <m/>
    <m/>
    <n v="2"/>
    <m/>
    <m/>
    <s v="SIDA"/>
  </r>
  <r>
    <n v="244"/>
    <s v="C10/005"/>
    <s v="Apatsa"/>
    <m/>
    <s v="Selemani"/>
    <x v="0"/>
    <x v="9"/>
    <x v="3"/>
    <x v="3"/>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x v="9"/>
    <m/>
    <s v="Prof. Jude Igumbor"/>
    <s v="Dr Innocent Maposa"/>
    <m/>
    <n v="2"/>
    <m/>
    <m/>
    <m/>
    <m/>
    <m/>
    <m/>
    <s v="Administrative"/>
    <s v="Assistant Librarian"/>
    <m/>
    <x v="1"/>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2"/>
    <x v="0"/>
    <n v="68"/>
    <e v="#VALUE!"/>
    <m/>
    <n v="2"/>
    <m/>
    <m/>
    <m/>
    <m/>
    <m/>
    <m/>
    <s v="No"/>
    <m/>
    <m/>
    <m/>
    <m/>
    <m/>
    <m/>
    <m/>
    <m/>
    <n v="0"/>
    <m/>
    <m/>
    <s v="SIDA"/>
  </r>
  <r>
    <n v="245"/>
    <s v="C10/009"/>
    <s v="Emmanuel"/>
    <m/>
    <s v="Nzabonimana"/>
    <x v="0"/>
    <x v="9"/>
    <x v="1"/>
    <x v="1"/>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x v="9"/>
    <m/>
    <s v="Prof Phumzile Hlongwa"/>
    <s v="Prof Veerasamy Yengopal"/>
    <s v="Dr Yolanda Malele-Kolisa"/>
    <n v="3"/>
    <m/>
    <m/>
    <m/>
    <m/>
    <m/>
    <m/>
    <s v="Academic"/>
    <s v="Assistant Lecturer"/>
    <s v="Assistant Lecturer"/>
    <x v="2"/>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3"/>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x v="9"/>
    <m/>
    <s v="Dr. Marianne Wanjiru Mureithi"/>
    <s v="Dr. Odari Eddy"/>
    <s v="Dr. Eddy Odari"/>
    <n v="3"/>
    <m/>
    <m/>
    <m/>
    <m/>
    <m/>
    <m/>
    <s v="Academic"/>
    <s v="HIV research scientist and tutor"/>
    <m/>
    <x v="1"/>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x v="9"/>
    <m/>
    <s v="Professor Hellen Myezwa"/>
    <s v="Prof. F. Gomez Olive- Casas"/>
    <m/>
    <n v="2"/>
    <m/>
    <m/>
    <m/>
    <m/>
    <m/>
    <m/>
    <s v="Academic"/>
    <s v="Lecturer"/>
    <s v="Senior Lecturer"/>
    <x v="0"/>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4"/>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x v="9"/>
    <m/>
    <s v="Dr. Oladejo Thomas Adepoju"/>
    <m/>
    <m/>
    <n v="1"/>
    <m/>
    <m/>
    <m/>
    <m/>
    <m/>
    <m/>
    <s v="Academic"/>
    <s v="Lecturer II"/>
    <s v="Lecturer II"/>
    <x v="1"/>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5"/>
    <x v="0"/>
    <n v="66"/>
    <m/>
    <m/>
    <n v="2"/>
    <n v="1"/>
    <m/>
    <m/>
    <m/>
    <m/>
    <m/>
    <s v="No"/>
    <m/>
    <m/>
    <m/>
    <m/>
    <m/>
    <m/>
    <m/>
    <m/>
    <n v="1"/>
    <m/>
    <m/>
    <s v="SIDA"/>
  </r>
  <r>
    <n v="249"/>
    <s v="C10/024"/>
    <s v="Temitope"/>
    <s v="Olumuyiwa"/>
    <s v="Ojo"/>
    <x v="0"/>
    <x v="9"/>
    <x v="0"/>
    <x v="5"/>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x v="9"/>
    <m/>
    <s v="Dr Nisha Naicker"/>
    <s v="Prof Onayade Adedeji"/>
    <m/>
    <n v="2"/>
    <m/>
    <m/>
    <m/>
    <m/>
    <m/>
    <m/>
    <s v="Academic"/>
    <s v="Lecturer I"/>
    <s v="Senior Lecturer"/>
    <x v="0"/>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x v="10"/>
    <m/>
    <m/>
    <m/>
    <m/>
    <m/>
    <m/>
    <m/>
    <m/>
    <m/>
    <m/>
    <m/>
    <m/>
    <m/>
    <m/>
    <x v="1"/>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x v="10"/>
    <m/>
    <m/>
    <m/>
    <m/>
    <m/>
    <m/>
    <m/>
    <m/>
    <m/>
    <m/>
    <m/>
    <m/>
    <m/>
    <m/>
    <x v="1"/>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x v="10"/>
    <m/>
    <m/>
    <m/>
    <m/>
    <m/>
    <m/>
    <m/>
    <m/>
    <m/>
    <m/>
    <m/>
    <m/>
    <m/>
    <m/>
    <x v="1"/>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x v="10"/>
    <m/>
    <m/>
    <m/>
    <m/>
    <m/>
    <m/>
    <m/>
    <m/>
    <m/>
    <m/>
    <m/>
    <m/>
    <m/>
    <m/>
    <x v="1"/>
    <m/>
    <m/>
    <s v="0000-0002-0412-1059"/>
    <m/>
    <d v="2025-03-03T00:00:00"/>
    <m/>
    <m/>
    <m/>
    <m/>
    <m/>
    <m/>
    <m/>
    <m/>
    <m/>
    <m/>
    <m/>
    <m/>
    <m/>
    <m/>
    <m/>
    <x v="19"/>
    <x v="2"/>
    <m/>
    <m/>
    <m/>
    <n v="2"/>
    <m/>
    <m/>
    <m/>
    <m/>
    <m/>
    <m/>
    <m/>
    <m/>
    <m/>
    <m/>
    <m/>
    <m/>
    <m/>
    <m/>
    <m/>
    <n v="1"/>
    <m/>
    <m/>
    <s v="SIDA"/>
  </r>
  <r>
    <n v="254"/>
    <s v="C11/005"/>
    <s v="Elizabeth"/>
    <s v="Oluwatoyin"/>
    <s v="Abe"/>
    <x v="1"/>
    <x v="10"/>
    <x v="0"/>
    <x v="0"/>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x v="10"/>
    <m/>
    <m/>
    <m/>
    <m/>
    <m/>
    <m/>
    <m/>
    <m/>
    <m/>
    <m/>
    <m/>
    <m/>
    <m/>
    <m/>
    <x v="1"/>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x v="10"/>
    <m/>
    <m/>
    <m/>
    <m/>
    <m/>
    <m/>
    <m/>
    <m/>
    <m/>
    <m/>
    <m/>
    <m/>
    <m/>
    <m/>
    <x v="1"/>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x v="10"/>
    <m/>
    <m/>
    <m/>
    <m/>
    <m/>
    <m/>
    <m/>
    <m/>
    <m/>
    <m/>
    <m/>
    <m/>
    <m/>
    <m/>
    <x v="1"/>
    <m/>
    <m/>
    <s v="0000-0003-3315-990x"/>
    <m/>
    <d v="2025-03-03T00:00:00"/>
    <m/>
    <m/>
    <m/>
    <m/>
    <m/>
    <m/>
    <m/>
    <m/>
    <m/>
    <m/>
    <m/>
    <m/>
    <m/>
    <m/>
    <m/>
    <x v="19"/>
    <x v="2"/>
    <m/>
    <m/>
    <m/>
    <n v="40"/>
    <m/>
    <m/>
    <m/>
    <m/>
    <m/>
    <m/>
    <m/>
    <m/>
    <m/>
    <m/>
    <m/>
    <m/>
    <m/>
    <m/>
    <m/>
    <n v="1"/>
    <m/>
    <m/>
    <s v="SIDA"/>
  </r>
  <r>
    <n v="257"/>
    <s v="C11/008"/>
    <s v="Gallad"/>
    <s v="Dahir"/>
    <s v="Hassan"/>
    <x v="0"/>
    <x v="10"/>
    <x v="9"/>
    <x v="12"/>
    <s v="Public Health "/>
    <s v="Department of Public Health "/>
    <x v="8"/>
    <m/>
    <m/>
    <s v="Married"/>
    <m/>
    <m/>
    <s v="ghassan@cartafrica.org"/>
    <m/>
    <s v=""/>
    <s v="Public Health (2017)"/>
    <d v="1988-01-01T00:00:00"/>
    <s v="Vaccine preventable disease surveillance"/>
    <s v="Field based"/>
    <m/>
    <m/>
    <m/>
    <d v="2025-04-15T00:00:00"/>
    <x v="10"/>
    <m/>
    <m/>
    <m/>
    <m/>
    <m/>
    <m/>
    <m/>
    <m/>
    <m/>
    <m/>
    <m/>
    <m/>
    <m/>
    <m/>
    <x v="1"/>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x v="10"/>
    <m/>
    <m/>
    <m/>
    <m/>
    <m/>
    <m/>
    <m/>
    <m/>
    <m/>
    <m/>
    <m/>
    <m/>
    <m/>
    <m/>
    <x v="1"/>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x v="10"/>
    <m/>
    <m/>
    <m/>
    <m/>
    <m/>
    <m/>
    <m/>
    <m/>
    <m/>
    <m/>
    <m/>
    <m/>
    <m/>
    <m/>
    <x v="1"/>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x v="10"/>
    <m/>
    <m/>
    <m/>
    <m/>
    <m/>
    <m/>
    <m/>
    <m/>
    <m/>
    <m/>
    <m/>
    <m/>
    <m/>
    <m/>
    <x v="1"/>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x v="10"/>
    <m/>
    <m/>
    <m/>
    <m/>
    <m/>
    <m/>
    <m/>
    <m/>
    <m/>
    <m/>
    <m/>
    <m/>
    <m/>
    <m/>
    <x v="1"/>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x v="10"/>
    <m/>
    <m/>
    <m/>
    <m/>
    <m/>
    <m/>
    <m/>
    <m/>
    <m/>
    <m/>
    <m/>
    <m/>
    <m/>
    <m/>
    <x v="1"/>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x v="10"/>
    <m/>
    <m/>
    <m/>
    <m/>
    <m/>
    <m/>
    <m/>
    <m/>
    <m/>
    <m/>
    <m/>
    <m/>
    <m/>
    <m/>
    <x v="1"/>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x v="10"/>
    <m/>
    <m/>
    <m/>
    <m/>
    <m/>
    <m/>
    <m/>
    <m/>
    <m/>
    <m/>
    <m/>
    <m/>
    <m/>
    <m/>
    <x v="1"/>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x v="10"/>
    <m/>
    <m/>
    <m/>
    <m/>
    <m/>
    <m/>
    <m/>
    <m/>
    <m/>
    <m/>
    <m/>
    <m/>
    <m/>
    <m/>
    <x v="1"/>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x v="10"/>
    <m/>
    <m/>
    <m/>
    <m/>
    <m/>
    <m/>
    <m/>
    <m/>
    <m/>
    <m/>
    <m/>
    <m/>
    <m/>
    <m/>
    <x v="1"/>
    <m/>
    <m/>
    <s v="0000-0002-1492-260X"/>
    <m/>
    <d v="2025-03-03T00:00:00"/>
    <m/>
    <m/>
    <m/>
    <m/>
    <m/>
    <m/>
    <m/>
    <m/>
    <m/>
    <m/>
    <m/>
    <m/>
    <m/>
    <m/>
    <m/>
    <x v="19"/>
    <x v="2"/>
    <m/>
    <m/>
    <m/>
    <n v="8"/>
    <m/>
    <m/>
    <m/>
    <m/>
    <m/>
    <m/>
    <m/>
    <m/>
    <m/>
    <m/>
    <m/>
    <m/>
    <m/>
    <m/>
    <m/>
    <n v="2"/>
    <m/>
    <m/>
    <s v="SIDA"/>
  </r>
  <r>
    <n v="267"/>
    <s v="C11/018"/>
    <s v="Pierre Celestin"/>
    <m/>
    <s v="Munezero"/>
    <x v="0"/>
    <x v="10"/>
    <x v="1"/>
    <x v="1"/>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x v="10"/>
    <s v="13/11/2025"/>
    <m/>
    <m/>
    <m/>
    <m/>
    <m/>
    <m/>
    <m/>
    <m/>
    <m/>
    <m/>
    <m/>
    <m/>
    <m/>
    <x v="1"/>
    <m/>
    <m/>
    <s v="0000-0003-2876-9025"/>
    <m/>
    <d v="2025-03-03T00:00:00"/>
    <m/>
    <m/>
    <m/>
    <m/>
    <m/>
    <m/>
    <m/>
    <m/>
    <m/>
    <m/>
    <m/>
    <m/>
    <m/>
    <m/>
    <m/>
    <x v="19"/>
    <x v="1"/>
    <m/>
    <m/>
    <m/>
    <n v="8"/>
    <m/>
    <m/>
    <m/>
    <m/>
    <m/>
    <m/>
    <m/>
    <m/>
    <m/>
    <m/>
    <m/>
    <m/>
    <m/>
    <m/>
    <m/>
    <n v="0"/>
    <m/>
    <m/>
    <s v="SIDA"/>
  </r>
  <r>
    <n v="268"/>
    <s v="C11/019"/>
    <s v="Solange"/>
    <m/>
    <s v="Nikwigize"/>
    <x v="1"/>
    <x v="10"/>
    <x v="1"/>
    <x v="1"/>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x v="10"/>
    <m/>
    <m/>
    <m/>
    <m/>
    <m/>
    <m/>
    <m/>
    <m/>
    <m/>
    <m/>
    <m/>
    <m/>
    <m/>
    <m/>
    <x v="1"/>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x v="10"/>
    <m/>
    <m/>
    <m/>
    <m/>
    <m/>
    <m/>
    <m/>
    <m/>
    <m/>
    <m/>
    <m/>
    <m/>
    <m/>
    <m/>
    <x v="1"/>
    <m/>
    <m/>
    <s v="0000-0003-0122-0550"/>
    <m/>
    <d v="2025-03-03T00:00:00"/>
    <m/>
    <m/>
    <m/>
    <m/>
    <m/>
    <m/>
    <m/>
    <s v="Village community banking and housing upgrades: A strategy to lower malaria and improve the well-being in Southeastern Tanzania."/>
    <m/>
    <m/>
    <m/>
    <m/>
    <m/>
    <m/>
    <m/>
    <x v="19"/>
    <x v="2"/>
    <m/>
    <m/>
    <m/>
    <n v="16"/>
    <m/>
    <m/>
    <m/>
    <m/>
    <m/>
    <m/>
    <m/>
    <m/>
    <m/>
    <m/>
    <m/>
    <m/>
    <m/>
    <m/>
    <m/>
    <n v="3"/>
    <m/>
    <m/>
    <s v="SID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8">
  <r>
    <n v="1"/>
    <s v="C1/001"/>
    <s v="Babatunde"/>
    <s v="Olubayo"/>
    <s v="Adedokun"/>
    <x v="0"/>
    <n v="1"/>
    <s v="Nigeria"/>
    <s v="University of Ibadan"/>
    <s v="Epidemiology &amp; Medical Biostatistics"/>
    <s v="Epidemiology and Medical Statistics"/>
    <x v="0"/>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n v="1"/>
    <s v="Rwanda"/>
    <s v="University of Rwanda"/>
    <s v="Demography &amp; Population Studies"/>
    <s v="Applied Statistics"/>
    <x v="1"/>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n v="1"/>
    <s v="Kenya"/>
    <s v="Moi University"/>
    <s v="Literature"/>
    <s v="LITERATURE THEATRE AND FILM STUDIES"/>
    <x v="2"/>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n v="1"/>
    <s v="Rwanda"/>
    <s v="University of Rwanda"/>
    <s v="Demography &amp; Population Studies"/>
    <s v="Sustainable Development"/>
    <x v="1"/>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n v="1"/>
    <s v="Malawi"/>
    <s v="University of Malawi"/>
    <s v="Environmental Sciences"/>
    <s v="Physics and Biochemical Sciences"/>
    <x v="3"/>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n v="1"/>
    <s v="Tanzania"/>
    <s v="Ifakara Health Institute"/>
    <s v="Biomedical and environmental sciences"/>
    <m/>
    <x v="3"/>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n v="1"/>
    <s v="Malawi"/>
    <s v="University of Malawi"/>
    <s v="Mathematical Sciences"/>
    <s v="DPHRU Wits"/>
    <x v="3"/>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n v="1"/>
    <s v="Nigeria"/>
    <s v="Obafemi Awolowo University"/>
    <s v="Exercise Physiology"/>
    <s v="Human Kinetics and Health Education"/>
    <x v="0"/>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n v="1"/>
    <s v="Malawi"/>
    <s v="University of Malawi"/>
    <s v="Community Health"/>
    <s v="Department of Community Health"/>
    <x v="4"/>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n v="1"/>
    <s v="Rwanda"/>
    <s v="University of Rwanda"/>
    <s v="Statistics"/>
    <s v="Applied Statistics"/>
    <x v="5"/>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n v="1"/>
    <s v="Nigeria"/>
    <s v="University of Ibadan"/>
    <s v="Epidemiology &amp; Medical Statistics"/>
    <s v="Epidemiology and Medical Statistics"/>
    <x v="0"/>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n v="1"/>
    <s v="Malawi"/>
    <s v="University of Malawi"/>
    <s v="Mathematics and Statistics"/>
    <m/>
    <x v="3"/>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n v="1"/>
    <s v="Kenya"/>
    <s v="Moi University"/>
    <s v="Pediatrics &amp; Child health"/>
    <m/>
    <x v="2"/>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n v="1"/>
    <s v="South Africa"/>
    <s v="University of the Witwatersrand"/>
    <s v="Demography"/>
    <s v="Demography and Population Studies"/>
    <x v="3"/>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n v="1"/>
    <s v="South Africa"/>
    <s v="University of the Witwatersrand"/>
    <s v=" Epidemiology &amp; Medical Biostatistics"/>
    <s v="Perinatal HIV Research Unit, Dept. Data and Statistics"/>
    <x v="3"/>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n v="1"/>
    <s v="Malawi"/>
    <s v="University of the Witwatersrand"/>
    <s v=" Epidemiology &amp; Medical Biostatistics"/>
    <s v="Division of Epidemiology &amp; Medical Biostatistics"/>
    <x v="3"/>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n v="1"/>
    <s v="Kenya"/>
    <s v="University of Nairobi"/>
    <s v="Nutrition"/>
    <s v="Food Science, Nutrition and Technology"/>
    <x v="6"/>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n v="1"/>
    <s v="Nigeria"/>
    <s v="Obafemi Awolowo University"/>
    <s v="Demography and Population Studies"/>
    <s v="Demography and Population Studies"/>
    <x v="3"/>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n v="1"/>
    <s v="Nigeria"/>
    <s v="Obafemi Awolowo University"/>
    <s v="Demography and Social Statistics"/>
    <s v="Demography and Social Statistics"/>
    <x v="7"/>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n v="1"/>
    <s v="Nigeria"/>
    <s v="AGINCOURT"/>
    <s v="Demography &amp; Population Studies"/>
    <s v="Demography &amp; Population Studies"/>
    <x v="3"/>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n v="1"/>
    <s v="Kenya"/>
    <s v="University of Nairobi"/>
    <m/>
    <m/>
    <x v="8"/>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n v="1"/>
    <s v="Kenya"/>
    <s v="University of Nairobi"/>
    <m/>
    <m/>
    <x v="6"/>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n v="1"/>
    <s v="Tanzania"/>
    <s v="University of Dar es Salaam"/>
    <m/>
    <m/>
    <x v="8"/>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n v="2"/>
    <s v="Nigeria"/>
    <s v="University of Ibadan"/>
    <s v="Epidemiology"/>
    <m/>
    <x v="0"/>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n v="2"/>
    <s v="Malawi"/>
    <s v="University of Malawi"/>
    <s v="Health Systems and Policy"/>
    <s v="Health Systems and Policy"/>
    <x v="4"/>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n v="2"/>
    <s v="Malawi"/>
    <s v="University of Malawi"/>
    <s v="Environmental Sciences"/>
    <m/>
    <x v="4"/>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n v="2"/>
    <s v="Kenya"/>
    <s v="Moi University"/>
    <s v="Medical Epidemiology"/>
    <s v="Library"/>
    <x v="2"/>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n v="2"/>
    <s v="Tanzania"/>
    <s v="University of Dar es Salaam"/>
    <s v="Epidemiology"/>
    <s v="Geography"/>
    <x v="6"/>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n v="2"/>
    <s v="Uganda"/>
    <s v="Makerere University"/>
    <s v="Epidemiology"/>
    <s v="Department of Population Studies"/>
    <x v="9"/>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n v="2"/>
    <s v="Nigeria"/>
    <s v="University of Ibadan"/>
    <s v="BIOSTATISTICS"/>
    <s v="Epidemiology and Medical Statistics"/>
    <x v="0"/>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n v="2"/>
    <s v="Uganda"/>
    <s v="Makerere University"/>
    <s v="Epidemiology"/>
    <m/>
    <x v="9"/>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n v="2"/>
    <s v="Malawi"/>
    <s v="University of Malawi"/>
    <s v="Epidemiology"/>
    <s v="Department of Population Studies"/>
    <x v="4"/>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n v="2"/>
    <s v="Kenya"/>
    <s v="APHRC"/>
    <s v="Public Health"/>
    <s v="Education Research Program"/>
    <x v="3"/>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n v="2"/>
    <s v="Kenya"/>
    <s v="University of Nairobi"/>
    <s v="Demography &amp; Social statistics"/>
    <s v="Population Studies and Research Institute (PSRI"/>
    <x v="6"/>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n v="2"/>
    <s v="Nigeria"/>
    <s v="Obafemi Awolowo University"/>
    <s v="Demography"/>
    <s v="Demography and Social Statistics"/>
    <x v="7"/>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n v="2"/>
    <s v="Nigeria"/>
    <s v="University of Ibadan"/>
    <s v="Environmental Sciences"/>
    <m/>
    <x v="0"/>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n v="2"/>
    <s v="Malawi"/>
    <s v="University of Malawi"/>
    <s v="Disease Epidemiology"/>
    <s v="MATHEMATICS AND STATISTICS"/>
    <x v="4"/>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n v="2"/>
    <s v="South Africa"/>
    <s v="University of the Witwatersrand"/>
    <s v="Kinesiology"/>
    <s v="Department of Physiotherapy"/>
    <x v="3"/>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n v="2"/>
    <s v="Uganda"/>
    <s v="Makerere University"/>
    <s v="Epidemiology"/>
    <s v="Dept of Nursing"/>
    <x v="9"/>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n v="2"/>
    <s v="Uganda"/>
    <s v="Makerere University"/>
    <s v="Obstertrics and reproductive health nursing"/>
    <m/>
    <x v="9"/>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n v="2"/>
    <s v="South Africa"/>
    <s v="University of the Witwatersrand"/>
    <s v="Epidemiology"/>
    <m/>
    <x v="3"/>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n v="2"/>
    <s v="Kenya"/>
    <s v="University of Nairobi"/>
    <m/>
    <m/>
    <x v="3"/>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n v="2"/>
    <s v="Tanzania"/>
    <s v="Ifakara Health Institute"/>
    <m/>
    <s v="TB Clinic"/>
    <x v="1"/>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n v="3"/>
    <s v="Nigeria"/>
    <s v="University of Ibadan"/>
    <s v="Health Promotion Professional"/>
    <s v="Health Promotion and Education"/>
    <x v="0"/>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n v="3"/>
    <s v="Kenya"/>
    <s v="University of Nairobi"/>
    <s v="Epidemiology"/>
    <m/>
    <x v="6"/>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n v="3"/>
    <s v="Kenya"/>
    <s v="University of Nairobi"/>
    <s v="Obstertrics and reproductive health nursing"/>
    <s v="Reseach Capacity Strengtheniing Division"/>
    <x v="6"/>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n v="3"/>
    <s v="Nigeria"/>
    <s v="University of Ibadan"/>
    <s v="Adolescent health"/>
    <s v="Institute of Child health"/>
    <x v="0"/>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n v="3"/>
    <s v="Uganda"/>
    <s v="Makerere University"/>
    <s v="Immunity and Infection"/>
    <m/>
    <x v="9"/>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n v="3"/>
    <s v="Rwanda"/>
    <s v="University of Rwanda"/>
    <s v="Public Health"/>
    <m/>
    <x v="5"/>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n v="3"/>
    <s v="Nigeria"/>
    <s v="University of Ibadan"/>
    <s v="Pharmaceutical Sciences"/>
    <s v="Pharmaceutical Chemistry"/>
    <x v="0"/>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n v="3"/>
    <s v="Malawi"/>
    <s v="University of Malawi"/>
    <s v="Immunity and Infection"/>
    <s v="Pathology"/>
    <x v="4"/>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n v="3"/>
    <s v="Kenya"/>
    <s v="Moi University"/>
    <s v="MEDICAL ANTHROPOLOGY"/>
    <s v="ANTHROPOLOGY AND HUMAN ECOLOGY"/>
    <x v="2"/>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n v="3"/>
    <s v="South Africa"/>
    <s v="University of the Witwatersrand"/>
    <s v="Public Health"/>
    <s v="Wits Reproductive Health and HIV Institute"/>
    <x v="3"/>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n v="3"/>
    <s v="Rwanda"/>
    <s v="University of Rwanda"/>
    <s v="Demography"/>
    <m/>
    <x v="2"/>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n v="3"/>
    <s v="Kenya"/>
    <s v="Moi University"/>
    <s v="Human Geography"/>
    <s v="Geography"/>
    <x v="2"/>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n v="3"/>
    <s v="Nigeria"/>
    <s v="Obafemi Awolowo University"/>
    <s v="Epidemiology"/>
    <m/>
    <x v="7"/>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n v="3"/>
    <s v="Kenya"/>
    <s v="Moi University"/>
    <s v="Epidemiology"/>
    <s v="Epidemiology and Biostatistics"/>
    <x v="6"/>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n v="3"/>
    <s v="Nigeria"/>
    <s v="Obafemi Awolowo University"/>
    <s v="Sociology"/>
    <s v="Sociology"/>
    <x v="3"/>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n v="3"/>
    <s v="Uganda"/>
    <s v="Makerere University"/>
    <s v="Public Health"/>
    <s v="Department of Journalism and Communication"/>
    <x v="9"/>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n v="3"/>
    <s v="South Africa"/>
    <s v="University of the Witwatersrand"/>
    <s v="Public Health"/>
    <m/>
    <x v="3"/>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n v="3"/>
    <s v="Nigeria"/>
    <s v="Obafemi Awolowo University"/>
    <s v="Demography"/>
    <s v="Demography &amp; Social Statistics"/>
    <x v="7"/>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n v="3"/>
    <s v="Nigeria"/>
    <s v="University of Ibadan"/>
    <s v="Public Health"/>
    <m/>
    <x v="0"/>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n v="3"/>
    <s v="Tanzania"/>
    <s v="University of Dar es Salaam"/>
    <s v="Zoology/Ecology"/>
    <s v="Zoology and Wildlife Conservation"/>
    <x v="1"/>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n v="3"/>
    <s v="Kenya"/>
    <s v="Moi University"/>
    <s v="ENVIRONMENTAL HEALTH"/>
    <s v="ENVIRONMENTAL HEALTH AND BIOLOGY"/>
    <x v="2"/>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n v="3"/>
    <s v="Malawi"/>
    <s v="University of Malawi"/>
    <s v="Public Health"/>
    <s v="Public Health"/>
    <x v="4"/>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n v="3"/>
    <s v="South Africa"/>
    <s v="University of the Witwatersrand"/>
    <m/>
    <m/>
    <x v="3"/>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n v="4"/>
    <s v="Nigeria"/>
    <s v="University of Ibadan"/>
    <s v="Communication and Information"/>
    <s v="School of Journalism and Mass Communication"/>
    <x v="6"/>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n v="4"/>
    <s v="South Africa"/>
    <s v="University of the Witwatersrand"/>
    <s v="EPIDEMIOLOGY"/>
    <s v="WITS  Reproductive and HIV Research Institute"/>
    <x v="3"/>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n v="4"/>
    <s v="Uganda"/>
    <s v="Makerere University"/>
    <s v="Public Health"/>
    <s v="Wild life and Aquatic Animal Resources"/>
    <x v="9"/>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n v="4"/>
    <s v="Nigeria"/>
    <s v="Obafemi Awolowo University"/>
    <s v="Psychology"/>
    <s v="Mental Health"/>
    <x v="7"/>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n v="4"/>
    <s v="Nigeria"/>
    <s v="University of Ibadan"/>
    <s v="Medicine"/>
    <s v="Epidemiology and Medical Statistics"/>
    <x v="0"/>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n v="4"/>
    <s v="Uganda"/>
    <s v="Makerere University"/>
    <s v="Public health"/>
    <s v="School of public health"/>
    <x v="3"/>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n v="4"/>
    <s v="Kenya"/>
    <s v="Moi University"/>
    <s v="Applied Human Nutrition"/>
    <s v="Department of Food Science, Nutrition and Technology"/>
    <x v="6"/>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n v="4"/>
    <s v="South Africa"/>
    <s v="University of the Witwatersrand"/>
    <s v="Civil Engineering"/>
    <s v="School of Mechanical, Industrial and Aeronautical Engineering"/>
    <x v="3"/>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n v="4"/>
    <s v="Kenya"/>
    <s v="University of Nairobi"/>
    <s v="Medical Bacteriology"/>
    <s v="Medical Microbiology"/>
    <x v="6"/>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n v="4"/>
    <s v="Malawi"/>
    <s v="University of Malawi"/>
    <s v="Medical Athropology"/>
    <s v="Health Systems and Policy Development"/>
    <x v="4"/>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n v="4"/>
    <s v="Uganda"/>
    <s v="Makerere University"/>
    <s v="PUBLIC HEALTH"/>
    <s v="PUBLIC HEALTH"/>
    <x v="3"/>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n v="4"/>
    <s v="Kenya"/>
    <s v="Moi University"/>
    <s v="Anthropology"/>
    <s v="Medical anthropology"/>
    <x v="6"/>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n v="4"/>
    <s v="Uganda"/>
    <s v="Makerere University"/>
    <s v="Public Health"/>
    <s v="Health Policy, Planning and Management"/>
    <x v="9"/>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n v="4"/>
    <s v="Tanzania"/>
    <s v="Ifakara Health Institute"/>
    <s v="Social Sciences/Medical Athropology"/>
    <s v="Centre for Health Policy"/>
    <x v="3"/>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n v="4"/>
    <s v="Kenya"/>
    <s v="Moi University"/>
    <s v="Medical physiology"/>
    <s v="Medical physiology"/>
    <x v="6"/>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n v="4"/>
    <s v="Kenya"/>
    <s v="Moi University"/>
    <s v="Public Health"/>
    <s v="Center of Health Policy"/>
    <x v="3"/>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n v="4"/>
    <s v="Rwanda"/>
    <s v="University of Rwanda"/>
    <s v="Public Health"/>
    <s v="Health Policy"/>
    <x v="9"/>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n v="4"/>
    <s v="Malawi"/>
    <s v="University of Malawi"/>
    <s v="Public Health"/>
    <s v="Basic Medical Sciences"/>
    <x v="4"/>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n v="4"/>
    <s v="Tanzania"/>
    <s v="University of Dar es Salaam"/>
    <s v="Library Science"/>
    <s v="Information Studies"/>
    <x v="1"/>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n v="4"/>
    <s v="Kenya"/>
    <s v="APHRC"/>
    <s v="Public Health"/>
    <s v="Research"/>
    <x v="3"/>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n v="4"/>
    <s v="Nigeria"/>
    <s v="Obafemi Awolowo University"/>
    <s v="Health Psychology"/>
    <s v="Center for Gender and Social Policy Studies"/>
    <x v="7"/>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n v="4"/>
    <s v="South Africa"/>
    <s v="University of the Witwatersrand"/>
    <s v="Social Development"/>
    <s v="Social Work"/>
    <x v="3"/>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n v="4"/>
    <s v="Kenya"/>
    <s v="University of Nairobi"/>
    <s v="Pharmacognosy"/>
    <s v="Pharmacology and Pharmacognosy"/>
    <x v="6"/>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n v="4"/>
    <s v="Tanzania"/>
    <s v="University of Dar es Salaam"/>
    <s v="Political Science and Public Administration"/>
    <s v="Political Science and Public Administration"/>
    <x v="1"/>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n v="4"/>
    <s v="Nigeria"/>
    <s v="Obafemi Awolowo University"/>
    <s v="Nursing"/>
    <s v="Learners’ Support Services, Centre for Distance Learning"/>
    <x v="7"/>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n v="4"/>
    <s v="Nigeria"/>
    <s v="University of Ibadan"/>
    <s v="Public Health"/>
    <s v="Health Policy and Management"/>
    <x v="3"/>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n v="4"/>
    <s v="South Africa"/>
    <s v="University of the Witwatersrand"/>
    <s v="Public Health"/>
    <s v="Division of Social &amp; Behaviour Change Communication"/>
    <x v="3"/>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n v="5"/>
    <s v="Senegal"/>
    <s v="APHRC"/>
    <s v="Public Health"/>
    <s v="Research Division"/>
    <x v="3"/>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n v="5"/>
    <s v="Rwanda"/>
    <s v="University of Rwanda"/>
    <s v="Human Resource Management"/>
    <s v="Development Studies"/>
    <x v="2"/>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n v="5"/>
    <s v="Nigeria"/>
    <s v="Obafemi Awolowo University"/>
    <s v="Nursing"/>
    <s v="Nursing Science"/>
    <x v="7"/>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n v="5"/>
    <s v="South Africa"/>
    <s v="University of the Witwatersrand"/>
    <s v="Community Dentistry"/>
    <s v="Community Dentistry"/>
    <x v="3"/>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n v="5"/>
    <s v="Nigeria"/>
    <s v="University of Ibadan"/>
    <s v="Public Health"/>
    <s v="Health Policy"/>
    <x v="3"/>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n v="5"/>
    <s v="Tanzania"/>
    <s v="Ifakara Health Institute"/>
    <s v="Medical Entomology"/>
    <s v="Environmental Health and Ecological Science"/>
    <x v="3"/>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n v="5"/>
    <s v="Kenya"/>
    <s v="University of Nairobi"/>
    <s v="Pharmacy"/>
    <s v="Pharmacology and Pharmacognosy"/>
    <x v="6"/>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n v="5"/>
    <s v="Nigeria"/>
    <s v="University of Ibadan"/>
    <s v="Pediatrics"/>
    <s v="Institute of Child Health"/>
    <x v="0"/>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n v="5"/>
    <s v="Malawi"/>
    <s v="University of Malawi"/>
    <s v="Pharmaceutical Analysis"/>
    <s v="Pharmacy"/>
    <x v="4"/>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n v="5"/>
    <s v="Uganda"/>
    <s v="Makerere University"/>
    <s v="Demography"/>
    <s v="Population Studies"/>
    <x v="9"/>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n v="5"/>
    <s v="Kenya"/>
    <s v="Moi University"/>
    <s v="Medical education"/>
    <s v="Medical education"/>
    <x v="2"/>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n v="5"/>
    <s v="Kenya"/>
    <s v="Moi University"/>
    <s v="LINGUISTICS"/>
    <s v="LINGUISTICS AND FOREIGN LANGUAGES"/>
    <x v="2"/>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n v="5"/>
    <s v="Nigeria"/>
    <s v="University of Ibadan"/>
    <s v="MATERNAL HEALTH"/>
    <s v="EPIDEMIOLOGY AND MEDICAL STATISTICS"/>
    <x v="0"/>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n v="5"/>
    <s v="Uganda"/>
    <s v="Makerere University"/>
    <s v="Public Health"/>
    <s v="Community Health &amp; Behavioural Sciencess"/>
    <x v="9"/>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n v="5"/>
    <s v="Kenya"/>
    <s v="University of Nairobi"/>
    <s v="Public Health"/>
    <s v="KAVI - Institute of Clinical Reasearch"/>
    <x v="6"/>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n v="5"/>
    <s v="Kenya"/>
    <s v="Moi University"/>
    <s v="Public Health"/>
    <s v="Epidemiology and Biostatistics"/>
    <x v="3"/>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n v="5"/>
    <s v="Nigeria"/>
    <s v="Obafemi Awolowo University"/>
    <s v="Political Science"/>
    <s v="Political Science"/>
    <x v="7"/>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n v="5"/>
    <s v="Malawi"/>
    <s v="University of Malawi"/>
    <s v="Epidemeology and Public Health"/>
    <s v="Public Health"/>
    <x v="4"/>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n v="5"/>
    <s v="Malawi"/>
    <s v="University of Malawi"/>
    <s v="Nursing and Midwifery"/>
    <s v="Public Health"/>
    <x v="4"/>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n v="5"/>
    <s v="South Africa"/>
    <s v="University of the Witwatersrand"/>
    <s v="Child and Adolescent Health"/>
    <s v="Wits Reproductive Health and HIV Institute"/>
    <x v="3"/>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n v="5"/>
    <s v="Nigeria"/>
    <s v="University of Ibadan"/>
    <s v="Environmental Health"/>
    <s v="Environmental Health Sciences"/>
    <x v="0"/>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n v="5"/>
    <s v="Uganda"/>
    <s v="Makerere University"/>
    <s v="Mental Health"/>
    <s v="Psychiatry"/>
    <x v="9"/>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n v="5"/>
    <s v="Malawi"/>
    <s v="University of Malawi"/>
    <m/>
    <m/>
    <x v="4"/>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n v="5"/>
    <s v="Tanzania"/>
    <s v="University of Dar es Salaam"/>
    <m/>
    <m/>
    <x v="1"/>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n v="5"/>
    <s v="Kenya"/>
    <s v="University of Nairobi"/>
    <m/>
    <m/>
    <x v="6"/>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n v="6"/>
    <s v="Kenya"/>
    <s v="APHRC"/>
    <s v="Public Health"/>
    <s v="School of Public Health"/>
    <x v="3"/>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n v="6"/>
    <s v="Kenya"/>
    <s v="University of Nairobi"/>
    <s v="Design"/>
    <s v="School of the Arts and Design"/>
    <x v="6"/>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n v="6"/>
    <s v="Malawi"/>
    <s v="University of Malawi"/>
    <s v="Nursing"/>
    <s v="Medical and Surgical Nursing"/>
    <x v="4"/>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n v="6"/>
    <s v="Nigeria"/>
    <s v="University of the Witwatersrand"/>
    <s v="Demography and Population Studies"/>
    <s v="Dept of Demography and Population studies"/>
    <x v="3"/>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n v="6"/>
    <s v="Rwanda"/>
    <s v="University of Rwanda"/>
    <s v="Public Health"/>
    <s v="Community Health"/>
    <x v="3"/>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n v="6"/>
    <s v="Nigeria"/>
    <s v="University of Ibadan"/>
    <s v="EPIDEMIOLOGY"/>
    <s v="EPIDEMIOLOGY AND MEDICAL STATISTICS"/>
    <x v="0"/>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n v="6"/>
    <s v="South Africa"/>
    <s v="University of the Witwatersrand"/>
    <s v="Audiology"/>
    <s v="Speech Pathology and Audiology"/>
    <x v="3"/>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n v="6"/>
    <s v="Uganda"/>
    <s v="Makerere University"/>
    <s v="Botany"/>
    <s v="Plant Sciences, Microbiology &amp; Biotechnology"/>
    <x v="9"/>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n v="6"/>
    <s v="Nigeria"/>
    <s v="Obafemi Awolowo University"/>
    <s v="DEMOGRAPHY AND SOCIAL STATISTICS"/>
    <s v="DEMOGRAPHY AND SOCIAL STATISTICS"/>
    <x v="7"/>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n v="6"/>
    <s v="Malawi"/>
    <s v="University of Malawi"/>
    <s v="Biomedical research"/>
    <s v="Wits Research institute for Malaria (WRIM)"/>
    <x v="3"/>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n v="6"/>
    <s v="Uganda"/>
    <s v="Makerere University"/>
    <s v="PUBLIC HEALTH"/>
    <s v="Epidemiology &amp; Biostatistics"/>
    <x v="9"/>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n v="6"/>
    <s v="Nigeria"/>
    <s v="University of Ibadan"/>
    <s v="Sociology"/>
    <s v="Sociology"/>
    <x v="0"/>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n v="6"/>
    <s v="Nigeria"/>
    <s v="Obafemi Awolowo University"/>
    <s v="Sociology and Anthropology"/>
    <s v="Sociology and Anthropology"/>
    <x v="7"/>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n v="6"/>
    <s v="Malawi"/>
    <s v="University of Malawi"/>
    <s v="Engineering"/>
    <s v="Environmental Health"/>
    <x v="4"/>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n v="6"/>
    <s v="Nigeria"/>
    <s v="University of Ibadan"/>
    <s v="Environmental Health"/>
    <s v="Environmental Health Sciences"/>
    <x v="0"/>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n v="6"/>
    <s v="Nigeria"/>
    <s v="Obafemi Awolowo University"/>
    <s v="Public Health"/>
    <s v="Community Health"/>
    <x v="7"/>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n v="6"/>
    <s v="Rwanda"/>
    <s v="University of Rwanda"/>
    <s v="Midwifery"/>
    <s v="Nursing Education"/>
    <x v="3"/>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n v="6"/>
    <s v="Kenya"/>
    <s v="University of Nairobi"/>
    <s v="COMMUNITY HEALTH"/>
    <s v="COMMUNITY HEALTH NURSING"/>
    <x v="6"/>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n v="6"/>
    <s v="South Africa"/>
    <s v="University of the Witwatersrand"/>
    <s v="Clinical Medicine"/>
    <s v="Wits Reproductive Health &amp; HIV Institute"/>
    <x v="3"/>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n v="6"/>
    <s v="Nigeria"/>
    <s v="Obafemi Awolowo University"/>
    <s v="Nursing"/>
    <s v="Nursing Science"/>
    <x v="7"/>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n v="6"/>
    <s v="Kenya"/>
    <s v="University of Nairobi"/>
    <s v="Restorative and Preventive dentistry"/>
    <s v="Conservative and Prosthetic Dentistry"/>
    <x v="6"/>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n v="6"/>
    <s v="Nigeria"/>
    <s v="University of Ibadan"/>
    <s v="Public Health"/>
    <m/>
    <x v="3"/>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n v="6"/>
    <s v="South Africa"/>
    <s v="University of the Witwatersrand"/>
    <s v="Oral Health"/>
    <s v="Public Health"/>
    <x v="3"/>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n v="6"/>
    <s v="Tanzania"/>
    <s v="Ifakara Health Institute"/>
    <s v="Molecular genetics"/>
    <s v="Molecular biology and biotechnology"/>
    <x v="1"/>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n v="6"/>
    <s v="Kenya"/>
    <s v="Moi University"/>
    <s v="Biostatistics"/>
    <s v="Public and Population Health"/>
    <x v="3"/>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n v="7"/>
    <s v="South Africa"/>
    <s v="University of the Witwatersrand"/>
    <s v="Medical Education"/>
    <s v="School of Public Health"/>
    <x v="3"/>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n v="7"/>
    <s v="Uganda"/>
    <s v="Makerere University"/>
    <s v="Sociology"/>
    <s v="Sociology and Social Anthropology"/>
    <x v="3"/>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n v="7"/>
    <s v="Nigeria"/>
    <s v="Obafemi Awolowo University"/>
    <s v="Nursing"/>
    <s v="Department of Nursing Science"/>
    <x v="7"/>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n v="7"/>
    <s v="Malawi"/>
    <s v="University of Malawi"/>
    <s v="Medical Anthropology"/>
    <s v="Public and Population Health"/>
    <x v="3"/>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n v="7"/>
    <s v="Rwanda"/>
    <s v="University of Rwanda"/>
    <s v="Environmental Sciences"/>
    <s v="Environmental Studies"/>
    <x v="9"/>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n v="7"/>
    <s v="Kenya"/>
    <s v="University of Nairobi"/>
    <s v="Clinical Psychology"/>
    <s v="Department of Psychiatry"/>
    <x v="6"/>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n v="7"/>
    <s v="Nigeria"/>
    <s v="University of Ibadan"/>
    <s v="Public Health"/>
    <s v="Community Medicine"/>
    <x v="0"/>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n v="7"/>
    <s v="Malawi"/>
    <s v="University of Malawi"/>
    <s v="Public Health"/>
    <s v="Public Health"/>
    <x v="3"/>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n v="7"/>
    <s v="Malawi"/>
    <s v="University of Malawi"/>
    <s v="Exercise Science"/>
    <s v="Physiotherapy"/>
    <x v="4"/>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n v="7"/>
    <s v="Kenya"/>
    <s v="University of Nairobi"/>
    <s v="Internal Medicine"/>
    <s v="Clinical Medicine and Therapeutics"/>
    <x v="6"/>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n v="7"/>
    <s v="Kenya"/>
    <s v="Moi University"/>
    <s v="Management Science"/>
    <s v="Management Science, School of Business and Economics"/>
    <x v="2"/>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n v="7"/>
    <s v="Nigeria"/>
    <s v="University of Ibadan"/>
    <s v="Dentistry"/>
    <s v="Department of Periodontology and Community Dentistry"/>
    <x v="0"/>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n v="7"/>
    <s v="Nigeria"/>
    <s v="Obafemi Awolowo University"/>
    <s v="Demography and Social Statistics"/>
    <s v="Demography and Social Statistics"/>
    <x v="7"/>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n v="7"/>
    <s v="Kenya"/>
    <s v="APHRC"/>
    <s v="Social Sciences"/>
    <s v="Research Capacity Strengthening Division"/>
    <x v="3"/>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n v="7"/>
    <s v="South Africa"/>
    <s v="University of the Witwatersrand"/>
    <s v="Epidemiology and Biostatistics"/>
    <s v="Public Health"/>
    <x v="3"/>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n v="7"/>
    <s v="Kenya"/>
    <s v="University of Nairobi"/>
    <s v="EPIDEMIOLOGY/ BIOSTATISTICS"/>
    <s v="SCHOOL OF PUBLIC HEALTH"/>
    <x v="3"/>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n v="7"/>
    <s v="Tanzania"/>
    <s v="Ifakara Health Institute"/>
    <s v="Public Health"/>
    <s v="Public Health"/>
    <x v="3"/>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n v="7"/>
    <s v="Malawi"/>
    <s v="University of Malawi"/>
    <s v="Medicine"/>
    <s v="Family Medicine"/>
    <x v="3"/>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n v="7"/>
    <s v="Rwanda"/>
    <s v="University of Rwanda"/>
    <s v="Nursing"/>
    <s v="Nursing"/>
    <x v="3"/>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n v="7"/>
    <s v="Rwanda"/>
    <s v="University of Rwanda"/>
    <s v="Public Health"/>
    <s v="Public Health"/>
    <x v="3"/>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n v="7"/>
    <s v="Nigeria"/>
    <s v="Obafemi Awolowo University"/>
    <s v="DEMOGRAPHY AND SOCIAL STATISTICS"/>
    <s v="DEPARTMENT OF DEMOGRAPHY AND SOCIAL STATISTICS"/>
    <x v="7"/>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n v="7"/>
    <s v="Nigeria"/>
    <s v="University of Ibadan"/>
    <s v="Community Medicine"/>
    <s v="Medicine"/>
    <x v="0"/>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n v="7"/>
    <s v="Nigeria"/>
    <s v="Obafemi Awolowo University"/>
    <s v="SOCIOLOGY"/>
    <s v="SOCIOLOGY AND ANTHROPOLOGY"/>
    <x v="7"/>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n v="7"/>
    <s v="Nigeria"/>
    <s v="University of Ibadan"/>
    <s v="Ophthalmologist"/>
    <s v="Department of Ophthalmology"/>
    <x v="0"/>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n v="7"/>
    <s v="Uganda"/>
    <s v="Makerere University"/>
    <s v="Epidemiology"/>
    <s v="Epidemiology and Biostatistics"/>
    <x v="6"/>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n v="7"/>
    <s v="South Africa"/>
    <s v="University of the Witwatersrand"/>
    <s v="PHYSIOTHERAPY"/>
    <s v="PHYSIOTHERAPY"/>
    <x v="3"/>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n v="7"/>
    <s v="Rwanda"/>
    <s v="University of Rwanda"/>
    <s v="Immunology and Clinical microbiology"/>
    <s v="Microbiology"/>
    <x v="9"/>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n v="8"/>
    <s v="South Africa"/>
    <s v="University of the Witwatersrand"/>
    <s v="Public Health"/>
    <s v="Monitoring &amp; Evaluation"/>
    <x v="3"/>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n v="8"/>
    <s v="Nigeria"/>
    <s v="Obafemi Awolowo University"/>
    <s v="Public Health"/>
    <s v="Community Health"/>
    <x v="3"/>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n v="8"/>
    <s v="Rwanda"/>
    <s v="University of Rwanda"/>
    <s v="Applied Human Nutrition"/>
    <s v="Food Science, Nutrition and Technology"/>
    <x v="5"/>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n v="8"/>
    <s v="Rwanda"/>
    <s v="University of Rwanda"/>
    <s v="Dentistry"/>
    <s v="Oral  maxillofacial surgery and pathology"/>
    <x v="3"/>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n v="8"/>
    <s v="Nigeria"/>
    <s v="Obafemi Awolowo University"/>
    <s v="Demography and Social Statistics"/>
    <s v="Demography and Social Statistics"/>
    <x v="7"/>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n v="8"/>
    <s v="Uganda"/>
    <s v="Makerere University"/>
    <s v="Public Health"/>
    <s v="Health Policy, Planning and Management"/>
    <x v="9"/>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n v="8"/>
    <s v="Kenya"/>
    <s v="University of Nairobi"/>
    <s v="Pharmacy"/>
    <m/>
    <x v="3"/>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n v="8"/>
    <s v="Kenya"/>
    <s v="University of Nairobi"/>
    <s v="Veterinary Microbiology"/>
    <s v="Veterinary Pathology, Microbiology and Parasitology"/>
    <x v="6"/>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n v="8"/>
    <s v="South Africa"/>
    <s v="University of the Witwatersrand"/>
    <s v="Clinical Medicine"/>
    <m/>
    <x v="3"/>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n v="8"/>
    <s v="Nigeria"/>
    <s v="University of Ibadan"/>
    <s v="Nursing"/>
    <s v="Nursing"/>
    <x v="0"/>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n v="8"/>
    <s v="Uganda"/>
    <s v="Makerere University"/>
    <s v="One Health"/>
    <s v="Biosecurity, Ecosystems and Veterinary Public Health"/>
    <x v="6"/>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n v="8"/>
    <s v="Rwanda"/>
    <s v="University of Rwanda"/>
    <s v="Chemistry"/>
    <s v="Biomedical Laboratory Sciences"/>
    <x v="6"/>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n v="8"/>
    <s v="Kenya"/>
    <s v="University of Nairobi"/>
    <s v="Veterinary Medicine"/>
    <s v="Clinical Studies"/>
    <x v="6"/>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n v="8"/>
    <s v="Malawi"/>
    <s v="University of Malawi"/>
    <s v="Mathematical Sciences"/>
    <s v="Mathematics and Statistics"/>
    <x v="4"/>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n v="8"/>
    <s v="Nigeria"/>
    <s v="Obafemi Awolowo University"/>
    <s v="Public Health"/>
    <s v="Centre for Health Policy"/>
    <x v="3"/>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n v="8"/>
    <s v="Nigeria"/>
    <s v="University of Ibadan"/>
    <s v="Public Health"/>
    <s v="Health Policy &amp; Management"/>
    <x v="3"/>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n v="8"/>
    <s v="South Africa"/>
    <s v="University of the Witwatersrand"/>
    <s v="Occupational Therapy"/>
    <s v="Public Health"/>
    <x v="3"/>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n v="8"/>
    <s v="Kenya"/>
    <s v="University of Nairobi"/>
    <s v="Medical Microbiology"/>
    <s v="Medical Microbiology"/>
    <x v="6"/>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n v="8"/>
    <s v="Nigeria"/>
    <s v="Obafemi Awolowo University"/>
    <s v="Nursing"/>
    <s v="Department of Nursing Sciences"/>
    <x v="3"/>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n v="8"/>
    <s v="Rwanda"/>
    <s v="University of Rwanda"/>
    <s v="Onco-Plastic surgery"/>
    <s v="Surgery"/>
    <x v="5"/>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n v="8"/>
    <s v="Nigeria"/>
    <s v="University of Ibadan"/>
    <s v="Neuroscience"/>
    <s v="School of Anatomical Sciences"/>
    <x v="3"/>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n v="8"/>
    <s v="Malawi"/>
    <s v="University of Malawi"/>
    <s v="Internal Medicine"/>
    <s v="Oncology/Medicine"/>
    <x v="4"/>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n v="8"/>
    <s v="Uganda"/>
    <s v="Makerere University"/>
    <s v="Public Health"/>
    <s v="Community Health and Behavioural Sciences"/>
    <x v="8"/>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n v="8"/>
    <s v="Nigeria"/>
    <s v="University of Ibadan"/>
    <s v="Public Health"/>
    <s v="Community Medicine"/>
    <x v="0"/>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n v="8"/>
    <s v="Kenya"/>
    <s v="Moi University"/>
    <s v="Health Communication"/>
    <s v="Development Communication"/>
    <x v="3"/>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n v="8"/>
    <s v="Kenya"/>
    <s v="Moi University"/>
    <s v="Environmental Planning and Managementt"/>
    <s v="Geography and Environmental Studies"/>
    <x v="6"/>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n v="9"/>
    <s v="Malawi"/>
    <s v="University of Malawi"/>
    <s v="Maternal Health"/>
    <s v="Public Health Department"/>
    <x v="4"/>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n v="9"/>
    <s v="Nigeria"/>
    <s v="Obafemi Awolowo University"/>
    <s v="Public Health"/>
    <s v="Public Health"/>
    <x v="3"/>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n v="9"/>
    <s v="South Africa"/>
    <s v="University of the Witwatersrand"/>
    <s v="Speech Pathology"/>
    <s v="Speech Pathology"/>
    <x v="3"/>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n v="9"/>
    <s v="Rwanda"/>
    <s v="University of Rwanda"/>
    <s v="Environmental Health Sciences "/>
    <s v="Environmental Health Sciences "/>
    <x v="5"/>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n v="9"/>
    <s v="Rwanda"/>
    <s v="University of Rwanda"/>
    <s v="Nursing"/>
    <s v="Midwifery"/>
    <x v="3"/>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n v="9"/>
    <s v="Kenya"/>
    <s v="University of Nairobi"/>
    <s v="Tropical and Infectious Diseases"/>
    <s v="Clinical Medicine and therapeutics"/>
    <x v="6"/>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n v="9"/>
    <s v="Rwanda"/>
    <s v="University of Rwanda"/>
    <s v="Biostatistics"/>
    <s v="Applied Statistics"/>
    <x v="5"/>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n v="9"/>
    <s v="Uganda"/>
    <s v="Makerere University"/>
    <s v="Environmental Health"/>
    <s v="Disease Control and Environmental Health"/>
    <x v="9"/>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n v="9"/>
    <s v="Kenya"/>
    <s v="University of Nairobi"/>
    <s v="Dentistry"/>
    <s v="Conservative and Prosthetic Dentisry"/>
    <x v="3"/>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n v="9"/>
    <s v="Rwanda"/>
    <s v="University of Rwanda"/>
    <s v="Biochemistry"/>
    <s v="Clinical Biology"/>
    <x v="5"/>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n v="9"/>
    <s v="Uganda"/>
    <s v="Makerere University"/>
    <s v="Pathobiology"/>
    <s v="Pharmacy, Clinical and Comparative Medicine"/>
    <x v="9"/>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n v="9"/>
    <s v="South Africa"/>
    <s v="University of the Witwatersrand"/>
    <s v="Occupational Therapy"/>
    <s v="Occupational Therapy"/>
    <x v="3"/>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n v="9"/>
    <s v="Nigeria"/>
    <s v="Obafemi Awolowo University"/>
    <s v="Medical doctor"/>
    <s v="Community Health"/>
    <x v="0"/>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n v="9"/>
    <s v="Nigeria"/>
    <s v="University of Ibadan"/>
    <s v="Medical Microbiology"/>
    <s v="Medical Microbiology and Parasitology"/>
    <x v="0"/>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n v="9"/>
    <s v="Nigeria"/>
    <s v="University of Ibadan"/>
    <s v="Zoology"/>
    <s v="Institute for Advanced Medical Research and Training (IAMRAT)"/>
    <x v="0"/>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n v="9"/>
    <s v="South Africa"/>
    <s v="University of the Witwatersrand"/>
    <s v="occupational therapy"/>
    <s v="Occupational therapy"/>
    <x v="3"/>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n v="9"/>
    <s v="Kenya"/>
    <s v="University of Nairobi"/>
    <s v="Chemistry"/>
    <s v="Department of Chemistry"/>
    <x v="6"/>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n v="9"/>
    <s v="Nigeria"/>
    <s v="University of Ibadan"/>
    <s v="Family Medicine "/>
    <s v="Family Medicine "/>
    <x v="3"/>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n v="9"/>
    <s v="Kenya"/>
    <s v="Moi University"/>
    <s v="Immunology"/>
    <s v="Clinical Microbiology and Infectious Diseases"/>
    <x v="3"/>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n v="9"/>
    <s v="Nigeria"/>
    <s v="Obafemi Awolowo University"/>
    <s v="DEMOGRAPHY"/>
    <s v="DEMOGRAPHY AND SOCIAL STATISTICS "/>
    <x v="7"/>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n v="9"/>
    <s v="Tanzania"/>
    <s v="Ifakara Health Institute"/>
    <s v="Public health"/>
    <s v="Biomedical"/>
    <x v="3"/>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n v="9"/>
    <s v="Malawi"/>
    <s v="University of Malawi"/>
    <s v="CLINICAL EPIDEMIOLOGY "/>
    <s v="Training and Research"/>
    <x v="4"/>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n v="9"/>
    <s v="Nigeria"/>
    <s v="University of Ibadan"/>
    <s v="FAMILY MEDICINE"/>
    <s v="COMMUNITY MEDICINE"/>
    <x v="0"/>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n v="9"/>
    <s v="Uganda"/>
    <s v="Makerere University"/>
    <s v="Medical Entomology"/>
    <s v="Disease Control and Environmental Health"/>
    <x v="8"/>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n v="10"/>
    <s v="Rwanda"/>
    <s v="University of Rwanda"/>
    <s v="Nursing"/>
    <s v="Nursing/Midwifery"/>
    <x v="3"/>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0-01-3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e v="#VALUE!"/>
    <s v="DEVELOPMENT OF STRATEGIES FOR HEALTH CARE PROVIDERS TO SUSTAIN RESPECTFUL MATERNITY CARE TO WOMEN IN LABOUR"/>
    <n v="0"/>
    <m/>
    <m/>
    <m/>
    <m/>
    <m/>
    <m/>
    <s v="No"/>
    <m/>
    <m/>
    <m/>
    <m/>
    <m/>
    <m/>
    <m/>
    <m/>
    <n v="3"/>
    <m/>
    <m/>
    <s v="SIDA"/>
  </r>
  <r>
    <n v="226"/>
    <s v="C10/002"/>
    <s v="Aline"/>
    <m/>
    <s v="Uwase"/>
    <x v="1"/>
    <n v="10"/>
    <s v="Rwanda"/>
    <s v="University of Rwanda"/>
    <s v="Public Health"/>
    <s v="Anesthesia"/>
    <x v="3"/>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n v="10"/>
    <s v="Tanzania"/>
    <s v="Ifakara Health Institute"/>
    <s v="Biostatistics"/>
    <s v="Intervention and Clinical Trials Department"/>
    <x v="3"/>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s v="Transition dynamics and treatment outcomes among HIV-positive patients of Ifakara, Tanzania: A comprehensive analysis for optimizing the existing longitudinal cohort data"/>
    <n v="15"/>
    <n v="4"/>
    <m/>
    <m/>
    <m/>
    <m/>
    <m/>
    <s v="No"/>
    <m/>
    <m/>
    <m/>
    <m/>
    <m/>
    <m/>
    <m/>
    <m/>
    <n v="0"/>
    <m/>
    <m/>
    <s v="SIDA"/>
  </r>
  <r>
    <n v="228"/>
    <s v="C10/015"/>
    <s v="Mary"/>
    <s v="Ogbenyi"/>
    <s v="Ugalahi"/>
    <x v="1"/>
    <n v="10"/>
    <s v="Nigeria"/>
    <s v="University of Ibadan"/>
    <s v="Opthamology"/>
    <s v="Ophthalmology"/>
    <x v="0"/>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n v="10"/>
    <s v="Malawi"/>
    <s v="University of Malawi"/>
    <s v="Nursing"/>
    <s v="CHILD HEALTH"/>
    <x v="3"/>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n v="10"/>
    <s v="Kenya"/>
    <s v="Moi University"/>
    <s v="Public Health "/>
    <s v="School of Medicine"/>
    <x v="3"/>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n v="10"/>
    <s v="Nigeria"/>
    <s v="University of Ibadan"/>
    <s v="Environmental health"/>
    <s v="Environmental Health"/>
    <x v="0"/>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n v="10"/>
    <s v="Kenya"/>
    <s v="University of Nairobi"/>
    <s v="Medical Doctor"/>
    <s v="Clinical Medicine and Therapeutics"/>
    <x v="6"/>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n v="10"/>
    <s v="Nigeria"/>
    <s v="Obafemi Awolowo University"/>
    <s v="Neuroscience"/>
    <s v="Paediatrics and Child Health"/>
    <x v="3"/>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n v="10"/>
    <s v="Uganda"/>
    <s v="Makerere University"/>
    <s v="Public Health"/>
    <s v="Disease Control and Environmental Health"/>
    <x v="9"/>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n v="10"/>
    <s v="Nigeria"/>
    <s v="Obafemi Awolowo University"/>
    <s v="Obstertrics and reproductive health "/>
    <s v="Department of Obstetrics, Gynaecology &amp; Perinatology."/>
    <x v="0"/>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m/>
    <m/>
    <m/>
    <x v="2"/>
    <m/>
    <m/>
    <m/>
    <n v="7"/>
    <n v="8"/>
    <m/>
    <m/>
    <m/>
    <m/>
    <m/>
    <s v="No"/>
    <m/>
    <m/>
    <m/>
    <m/>
    <m/>
    <m/>
    <m/>
    <m/>
    <n v="2"/>
    <m/>
    <m/>
    <s v="SIDA"/>
  </r>
  <r>
    <n v="236"/>
    <s v="C10/012"/>
    <s v="James"/>
    <m/>
    <s v="Muleme"/>
    <x v="0"/>
    <n v="10"/>
    <s v="Uganda"/>
    <s v="Makerere University"/>
    <s v="Veterinary Medicine"/>
    <s v="Disease Control and Environmental Health "/>
    <x v="9"/>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n v="10"/>
    <s v="Zimbabwe"/>
    <s v="University of the Witwatersrand"/>
    <s v="Public Health"/>
    <s v="Wits Reproductive Health and HIV Institute (Implementation Science)"/>
    <x v="3"/>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n v="10"/>
    <s v="Zimbabwe"/>
    <s v="University of the Witwatersrand"/>
    <s v="Demography"/>
    <s v="Demography and Population studies"/>
    <x v="3"/>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n v="10"/>
    <s v="Nigeria"/>
    <s v="University of Ibadan"/>
    <s v="Dentistry"/>
    <s v="RESTORATIVE DENTISTRY"/>
    <x v="0"/>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n v="10"/>
    <s v="South Africa"/>
    <s v="University of the Witwatersrand"/>
    <s v="HIV Prevention and Treatment"/>
    <s v="Perinatal HIV Research Unit"/>
    <x v="3"/>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n v="10"/>
    <s v="Malawi"/>
    <s v="University of Malawi"/>
    <s v="Rehabilitation and Therapy"/>
    <s v="Physiotherapy"/>
    <x v="3"/>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n v="10"/>
    <s v="Nigeria"/>
    <s v="University of Ibadan"/>
    <s v="Nuclear Medicine/Radiology"/>
    <s v="RADIATION ONCOLOGY"/>
    <x v="6"/>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n v="10"/>
    <s v="Rwanda"/>
    <s v="University of Rwanda"/>
    <s v="Orthopedics"/>
    <s v="Surgery"/>
    <x v="5"/>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n v="10"/>
    <s v="Malawi"/>
    <s v="University of Malawi"/>
    <s v="Library and Information Science"/>
    <s v="Library"/>
    <x v="3"/>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n v="10"/>
    <s v="Rwanda"/>
    <s v="University of Rwanda"/>
    <s v="Dentistry"/>
    <s v="Preventive and Community Dentistry"/>
    <x v="3"/>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n v="10"/>
    <s v="Kenya"/>
    <s v="University of Nairobi"/>
    <s v="Tropical and Infectious Diseases"/>
    <s v="Institute of tropical and infectious diseases/ PMTCT- Under OBS/ GYN department"/>
    <x v="6"/>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n v="10"/>
    <s v="South Africa"/>
    <s v="University of the Witwatersrand"/>
    <s v="Rehabilitation and Therapy"/>
    <s v="physiotherapy"/>
    <x v="3"/>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n v="10"/>
    <s v="Nigeria"/>
    <s v="Obafemi Awolowo University"/>
    <s v="Nutrition"/>
    <s v="Community Health"/>
    <x v="0"/>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n v="10"/>
    <s v="Nigeria"/>
    <s v="Obafemi Awolowo University"/>
    <s v="Occupational Health and Industrial Hygiene"/>
    <s v="Community Health"/>
    <x v="3"/>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r>
    <n v="250"/>
    <s v="C11/001"/>
    <s v="Adeola"/>
    <s v="Temitope"/>
    <s v="Williams"/>
    <x v="1"/>
    <n v="11"/>
    <s v="Nigeria"/>
    <s v="University of Ibadan"/>
    <s v="Paediatric Dentistry"/>
    <s v="Child Oral Health"/>
    <x v="0"/>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m/>
    <m/>
    <m/>
    <m/>
    <m/>
    <m/>
    <m/>
    <m/>
    <m/>
    <m/>
    <m/>
    <m/>
    <m/>
    <m/>
    <m/>
    <m/>
    <s v="0000-0003-1915-2138"/>
    <m/>
    <d v="2025-03-03T00:00:00"/>
    <m/>
    <m/>
    <m/>
    <m/>
    <m/>
    <m/>
    <m/>
    <s v="Development and acceptability of an integrated oral health intervention among Adolescents Living with Mental Health Conditions (ALMHC) in Ibadan, Nigeria"/>
    <m/>
    <m/>
    <m/>
    <m/>
    <m/>
    <m/>
    <m/>
    <m/>
    <x v="2"/>
    <m/>
    <m/>
    <m/>
    <n v="7"/>
    <m/>
    <m/>
    <m/>
    <m/>
    <m/>
    <m/>
    <m/>
    <m/>
    <m/>
    <m/>
    <m/>
    <m/>
    <m/>
    <m/>
    <m/>
    <n v="2"/>
    <m/>
    <m/>
    <s v="SIDA"/>
  </r>
  <r>
    <n v="251"/>
    <s v="C11/002"/>
    <s v="Amina"/>
    <s v="Hassan"/>
    <s v="Hussein"/>
    <x v="1"/>
    <n v="11"/>
    <s v="Somalia"/>
    <s v="Somali National University"/>
    <s v="Maternal and Reproductive health"/>
    <s v="School of Public health"/>
    <x v="8"/>
    <m/>
    <m/>
    <s v="Married"/>
    <m/>
    <m/>
    <s v="ahusien@cartafrica.org"/>
    <s v="dramiina12@gmail.com"/>
    <s v="+252615506933"/>
    <s v="Master in Public Health (2023 )"/>
    <d v="1991-01-01T00:00:00"/>
    <s v="Reproductive and maternal health in Somalia"/>
    <s v="Field based"/>
    <m/>
    <m/>
    <m/>
    <d v="2025-07-31T00:00:00"/>
    <d v="2025-03-03T00:00:00"/>
    <m/>
    <m/>
    <m/>
    <m/>
    <m/>
    <m/>
    <m/>
    <m/>
    <m/>
    <m/>
    <m/>
    <m/>
    <m/>
    <m/>
    <m/>
    <m/>
    <m/>
    <s v="0009-0006-9247-6453"/>
    <m/>
    <d v="2025-03-03T00:00:00"/>
    <m/>
    <m/>
    <m/>
    <m/>
    <m/>
    <m/>
    <m/>
    <m/>
    <m/>
    <m/>
    <m/>
    <m/>
    <m/>
    <m/>
    <m/>
    <m/>
    <x v="2"/>
    <m/>
    <m/>
    <m/>
    <n v="0"/>
    <m/>
    <m/>
    <m/>
    <m/>
    <m/>
    <m/>
    <m/>
    <m/>
    <m/>
    <m/>
    <m/>
    <m/>
    <m/>
    <m/>
    <m/>
    <n v="1"/>
    <m/>
    <m/>
    <s v="SIDA"/>
  </r>
  <r>
    <n v="252"/>
    <s v="C11/003"/>
    <s v="Christabellah"/>
    <m/>
    <s v="Namugenyi"/>
    <x v="1"/>
    <n v="11"/>
    <s v="Uganda"/>
    <s v="Makerere University"/>
    <s v="Public Health"/>
    <s v="Department of Planning and Applied Statistics"/>
    <x v="9"/>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m/>
    <m/>
    <m/>
    <m/>
    <m/>
    <m/>
    <m/>
    <m/>
    <m/>
    <m/>
    <m/>
    <m/>
    <m/>
    <m/>
    <m/>
    <m/>
    <s v="0000-0003-2534-5526"/>
    <m/>
    <d v="2025-03-03T00:00:00"/>
    <m/>
    <m/>
    <m/>
    <m/>
    <m/>
    <m/>
    <m/>
    <s v="Assessing service delivery and dual control outcomes of HIV and hypertension PLHIV with hypertension in South-Central Uganda"/>
    <m/>
    <m/>
    <m/>
    <m/>
    <m/>
    <m/>
    <m/>
    <m/>
    <x v="2"/>
    <m/>
    <e v="#VALUE!"/>
    <m/>
    <n v="8"/>
    <m/>
    <m/>
    <m/>
    <m/>
    <m/>
    <m/>
    <m/>
    <m/>
    <m/>
    <m/>
    <m/>
    <m/>
    <m/>
    <m/>
    <m/>
    <n v="2"/>
    <m/>
    <m/>
    <s v="SIDA"/>
  </r>
  <r>
    <n v="253"/>
    <s v="C11/004"/>
    <s v="Cyril"/>
    <s v="Tamuka"/>
    <s v="Chironda"/>
    <x v="0"/>
    <n v="11"/>
    <s v="Zimbabwe"/>
    <s v="AGINCOURT"/>
    <s v="Health Data Science"/>
    <s v="Agincourt Research Center"/>
    <x v="3"/>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m/>
    <m/>
    <m/>
    <m/>
    <m/>
    <m/>
    <m/>
    <m/>
    <m/>
    <m/>
    <m/>
    <m/>
    <m/>
    <m/>
    <m/>
    <m/>
    <s v="0000-0002-0412-1059"/>
    <m/>
    <d v="2025-03-03T00:00:00"/>
    <m/>
    <m/>
    <m/>
    <m/>
    <m/>
    <m/>
    <m/>
    <m/>
    <m/>
    <m/>
    <m/>
    <m/>
    <m/>
    <m/>
    <m/>
    <m/>
    <x v="2"/>
    <m/>
    <m/>
    <m/>
    <n v="2"/>
    <m/>
    <m/>
    <m/>
    <m/>
    <m/>
    <m/>
    <m/>
    <m/>
    <m/>
    <m/>
    <m/>
    <m/>
    <m/>
    <m/>
    <m/>
    <n v="1"/>
    <m/>
    <m/>
    <s v="SIDA"/>
  </r>
  <r>
    <n v="254"/>
    <s v="C11/005"/>
    <s v="Elizabeth"/>
    <s v="Oluwatoyin"/>
    <s v="Abe"/>
    <x v="1"/>
    <n v="11"/>
    <s v="Nigeria"/>
    <s v="University of Ibadan"/>
    <s v="Dentistry"/>
    <s v="Oral Pathology/ Oral Medicine"/>
    <x v="0"/>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m/>
    <m/>
    <m/>
    <m/>
    <m/>
    <m/>
    <m/>
    <m/>
    <m/>
    <m/>
    <m/>
    <m/>
    <m/>
    <m/>
    <m/>
    <m/>
    <s v="0000-0001-6632-9026"/>
    <m/>
    <d v="2025-03-03T00:00:00"/>
    <m/>
    <m/>
    <m/>
    <m/>
    <m/>
    <m/>
    <m/>
    <s v="Characterization of Oral Microbiome and Salivary Biomarkers Related to Periodontal Diseases and Pregnancy Outcomes among Pregnant and Postpartum Women in Ibadan "/>
    <m/>
    <m/>
    <m/>
    <m/>
    <m/>
    <m/>
    <m/>
    <m/>
    <x v="2"/>
    <m/>
    <m/>
    <m/>
    <n v="8"/>
    <m/>
    <m/>
    <m/>
    <m/>
    <m/>
    <m/>
    <m/>
    <m/>
    <m/>
    <m/>
    <m/>
    <m/>
    <m/>
    <m/>
    <m/>
    <n v="3"/>
    <m/>
    <m/>
    <s v="SIDA"/>
  </r>
  <r>
    <n v="255"/>
    <s v="C11/006"/>
    <s v="Fanuel"/>
    <s v="Meckson"/>
    <s v="Bickton"/>
    <x v="0"/>
    <n v="11"/>
    <s v="Malawi"/>
    <s v="University of Malawi"/>
    <s v="Physiotherapy"/>
    <s v="Department of Rehabilitation Sciences "/>
    <x v="8"/>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m/>
    <m/>
    <m/>
    <m/>
    <m/>
    <m/>
    <m/>
    <m/>
    <m/>
    <m/>
    <m/>
    <m/>
    <m/>
    <m/>
    <m/>
    <m/>
    <s v="0000-0002-0925-909X"/>
    <m/>
    <d v="2025-03-03T00:00:00"/>
    <m/>
    <m/>
    <m/>
    <m/>
    <m/>
    <m/>
    <m/>
    <s v="Development of the International Classification of Functioning, Disability, and Health Core Sets for Adults Living with Multimorbidity in Malawi"/>
    <m/>
    <m/>
    <m/>
    <m/>
    <m/>
    <m/>
    <m/>
    <m/>
    <x v="2"/>
    <m/>
    <m/>
    <m/>
    <n v="15"/>
    <m/>
    <m/>
    <m/>
    <m/>
    <m/>
    <m/>
    <m/>
    <m/>
    <m/>
    <m/>
    <m/>
    <m/>
    <m/>
    <m/>
    <m/>
    <n v="0"/>
    <m/>
    <m/>
    <s v="SIDA"/>
  </r>
  <r>
    <n v="256"/>
    <s v="C11/007"/>
    <s v="Funmilola"/>
    <s v="Olanike"/>
    <s v="Wuraola"/>
    <x v="1"/>
    <n v="11"/>
    <s v="Nigeria"/>
    <s v="Obafemi Awolowo University"/>
    <s v="Breast Surgical Oncology"/>
    <s v="Surgery"/>
    <x v="8"/>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m/>
    <m/>
    <m/>
    <m/>
    <m/>
    <m/>
    <m/>
    <m/>
    <m/>
    <m/>
    <m/>
    <m/>
    <m/>
    <m/>
    <m/>
    <m/>
    <s v="0000-0003-3315-990x"/>
    <m/>
    <d v="2025-03-03T00:00:00"/>
    <m/>
    <m/>
    <m/>
    <m/>
    <m/>
    <m/>
    <m/>
    <m/>
    <m/>
    <m/>
    <m/>
    <m/>
    <m/>
    <m/>
    <m/>
    <m/>
    <x v="2"/>
    <m/>
    <m/>
    <m/>
    <n v="40"/>
    <m/>
    <m/>
    <m/>
    <m/>
    <m/>
    <m/>
    <m/>
    <m/>
    <m/>
    <m/>
    <m/>
    <m/>
    <m/>
    <m/>
    <m/>
    <n v="1"/>
    <m/>
    <m/>
    <s v="SIDA"/>
  </r>
  <r>
    <n v="257"/>
    <s v="C11/008"/>
    <s v="Gallad"/>
    <s v="Dahir"/>
    <s v="Hassan"/>
    <x v="0"/>
    <n v="11"/>
    <s v="Somalia"/>
    <s v="Somali National University"/>
    <s v="Public Health "/>
    <s v="Department of Public Health "/>
    <x v="8"/>
    <m/>
    <m/>
    <s v="Married"/>
    <m/>
    <m/>
    <s v="ghassan@cartafrica.org"/>
    <m/>
    <s v=""/>
    <s v="Public Health (2017)"/>
    <d v="1988-01-01T00:00:00"/>
    <s v="Vaccine preventable disease surveillance"/>
    <s v="Field based"/>
    <m/>
    <m/>
    <m/>
    <d v="2025-04-15T00:00:00"/>
    <d v="2025-03-03T00:00:00"/>
    <m/>
    <m/>
    <m/>
    <m/>
    <m/>
    <m/>
    <m/>
    <m/>
    <m/>
    <m/>
    <m/>
    <m/>
    <m/>
    <m/>
    <m/>
    <m/>
    <m/>
    <s v="0000-0002-8569-8748"/>
    <m/>
    <d v="2025-03-03T00:00:00"/>
    <m/>
    <m/>
    <m/>
    <m/>
    <m/>
    <m/>
    <m/>
    <s v="Effect of Integrating Community Health Workers and Community Pharmacies into Measles and Cholera Disease Surveillance among Internally Displaced Populations in Mogadishu, Somalia"/>
    <m/>
    <m/>
    <m/>
    <m/>
    <m/>
    <m/>
    <m/>
    <m/>
    <x v="2"/>
    <m/>
    <m/>
    <m/>
    <n v="8"/>
    <m/>
    <m/>
    <m/>
    <m/>
    <m/>
    <m/>
    <m/>
    <m/>
    <m/>
    <m/>
    <m/>
    <m/>
    <m/>
    <m/>
    <m/>
    <n v="1"/>
    <m/>
    <m/>
    <s v="SIDA"/>
  </r>
  <r>
    <n v="258"/>
    <s v="C11/009"/>
    <s v="Justine "/>
    <m/>
    <s v="Okello"/>
    <x v="0"/>
    <n v="11"/>
    <s v="Uganda"/>
    <s v="Makerere University"/>
    <s v="Preventive Medicine, Laboratory diagnostics, Epidemiology, Biostatistics, Research methods, Food safety and One Health"/>
    <s v="Department of Biosecurity, Ecosystems and Veterinary Public Health"/>
    <x v="9"/>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m/>
    <m/>
    <m/>
    <m/>
    <m/>
    <m/>
    <m/>
    <m/>
    <m/>
    <m/>
    <m/>
    <m/>
    <m/>
    <m/>
    <m/>
    <m/>
    <s v="0000-0001-6218-8318"/>
    <m/>
    <d v="2025-03-03T00:00:00"/>
    <m/>
    <m/>
    <m/>
    <m/>
    <m/>
    <m/>
    <m/>
    <m/>
    <m/>
    <m/>
    <m/>
    <m/>
    <m/>
    <m/>
    <m/>
    <m/>
    <x v="2"/>
    <m/>
    <m/>
    <m/>
    <n v="10"/>
    <m/>
    <m/>
    <m/>
    <m/>
    <m/>
    <m/>
    <m/>
    <m/>
    <m/>
    <m/>
    <m/>
    <m/>
    <m/>
    <m/>
    <m/>
    <n v="0"/>
    <m/>
    <m/>
    <s v="SIDA"/>
  </r>
  <r>
    <n v="259"/>
    <s v="C11/010"/>
    <s v="Lydiah"/>
    <s v="Wanjiru"/>
    <s v="Njihia"/>
    <x v="1"/>
    <n v="11"/>
    <s v="Kenya"/>
    <s v="University of Nairobi"/>
    <s v="PhD Pathobiology (Virology Option)"/>
    <s v="Department of Veterinary Pathology, Microbiology and Parasitology"/>
    <x v="6"/>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m/>
    <m/>
    <m/>
    <m/>
    <m/>
    <m/>
    <m/>
    <m/>
    <m/>
    <m/>
    <m/>
    <m/>
    <m/>
    <m/>
    <m/>
    <m/>
    <s v="0009-0007-0633-3294"/>
    <m/>
    <d v="2025-03-03T00:00:00"/>
    <m/>
    <m/>
    <m/>
    <m/>
    <m/>
    <m/>
    <m/>
    <m/>
    <m/>
    <m/>
    <m/>
    <m/>
    <m/>
    <m/>
    <m/>
    <m/>
    <x v="2"/>
    <m/>
    <m/>
    <m/>
    <n v="1"/>
    <m/>
    <m/>
    <m/>
    <m/>
    <m/>
    <m/>
    <m/>
    <m/>
    <m/>
    <m/>
    <m/>
    <m/>
    <m/>
    <m/>
    <m/>
    <n v="1"/>
    <m/>
    <m/>
    <s v="SIDA"/>
  </r>
  <r>
    <n v="260"/>
    <s v="C11/011"/>
    <s v="Mary"/>
    <s v="Nigandi"/>
    <s v="Kubo"/>
    <x v="1"/>
    <n v="11"/>
    <s v="Kenya"/>
    <s v="University of Nairobi"/>
    <s v="Internal Medicine"/>
    <s v="Department of Clinical Medicine &amp; Therapeutics"/>
    <x v="8"/>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m/>
    <m/>
    <m/>
    <m/>
    <m/>
    <m/>
    <m/>
    <m/>
    <m/>
    <m/>
    <m/>
    <m/>
    <m/>
    <m/>
    <m/>
    <m/>
    <s v="0000-0002-0708-605X"/>
    <m/>
    <d v="2025-03-03T00:00:00"/>
    <m/>
    <m/>
    <m/>
    <m/>
    <m/>
    <m/>
    <m/>
    <m/>
    <m/>
    <m/>
    <m/>
    <m/>
    <m/>
    <m/>
    <m/>
    <m/>
    <x v="2"/>
    <m/>
    <m/>
    <m/>
    <n v="10"/>
    <m/>
    <m/>
    <m/>
    <m/>
    <m/>
    <m/>
    <m/>
    <m/>
    <m/>
    <m/>
    <m/>
    <m/>
    <m/>
    <m/>
    <m/>
    <n v="2"/>
    <m/>
    <m/>
    <s v="SIDA"/>
  </r>
  <r>
    <n v="261"/>
    <s v="C11/012"/>
    <s v="Miles-Dei"/>
    <s v="Benedict"/>
    <s v="Olufeagba"/>
    <x v="0"/>
    <n v="11"/>
    <s v="Nigeria"/>
    <s v="University of Ibadan"/>
    <s v="Genetics and Molecular Sciences"/>
    <s v="Institute of Child Health"/>
    <x v="0"/>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m/>
    <m/>
    <m/>
    <m/>
    <m/>
    <m/>
    <m/>
    <m/>
    <m/>
    <m/>
    <m/>
    <m/>
    <m/>
    <m/>
    <m/>
    <m/>
    <s v="0000-0003-0065-5990"/>
    <m/>
    <d v="2025-03-03T00:00:00"/>
    <m/>
    <m/>
    <m/>
    <m/>
    <m/>
    <m/>
    <m/>
    <m/>
    <m/>
    <m/>
    <m/>
    <m/>
    <m/>
    <m/>
    <m/>
    <m/>
    <x v="2"/>
    <m/>
    <m/>
    <m/>
    <n v="2"/>
    <m/>
    <m/>
    <m/>
    <m/>
    <m/>
    <m/>
    <m/>
    <m/>
    <m/>
    <m/>
    <m/>
    <m/>
    <m/>
    <m/>
    <m/>
    <n v="2"/>
    <m/>
    <m/>
    <s v="SIDA"/>
  </r>
  <r>
    <n v="262"/>
    <s v="C11/013"/>
    <s v="Molly"/>
    <s v="Mercy"/>
    <s v="Jerono"/>
    <x v="1"/>
    <n v="11"/>
    <s v="Kenya"/>
    <s v="Moi University"/>
    <s v="Economics"/>
    <s v="Research and Sponsored Projects Office (RSPO)-AMPATH "/>
    <x v="2"/>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m/>
    <m/>
    <m/>
    <m/>
    <m/>
    <m/>
    <m/>
    <m/>
    <m/>
    <m/>
    <m/>
    <m/>
    <m/>
    <m/>
    <m/>
    <m/>
    <s v="0000-0003-4763-0344"/>
    <m/>
    <d v="2025-03-03T00:00:00"/>
    <m/>
    <m/>
    <m/>
    <m/>
    <m/>
    <m/>
    <m/>
    <s v="Evaluation of socioeconomic drivers in reducing sexual violence against children in western kenya"/>
    <m/>
    <m/>
    <m/>
    <m/>
    <m/>
    <m/>
    <m/>
    <m/>
    <x v="2"/>
    <m/>
    <m/>
    <m/>
    <n v="1"/>
    <m/>
    <m/>
    <m/>
    <m/>
    <m/>
    <m/>
    <m/>
    <m/>
    <m/>
    <m/>
    <m/>
    <m/>
    <m/>
    <m/>
    <m/>
    <n v="1"/>
    <m/>
    <m/>
    <s v="OAK"/>
  </r>
  <r>
    <n v="263"/>
    <s v="C11/014"/>
    <s v="Razak"/>
    <s v="Lewis"/>
    <s v="Mussa"/>
    <x v="0"/>
    <n v="11"/>
    <s v="Malawi"/>
    <s v="University of Malawi"/>
    <s v="Social Scientist"/>
    <s v="School of Global and Public Health"/>
    <x v="4"/>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m/>
    <m/>
    <m/>
    <m/>
    <m/>
    <m/>
    <m/>
    <m/>
    <m/>
    <m/>
    <m/>
    <m/>
    <m/>
    <m/>
    <m/>
    <m/>
    <s v="0009-0000-6991-6912"/>
    <m/>
    <d v="2025-03-03T00:00:00"/>
    <m/>
    <m/>
    <m/>
    <m/>
    <m/>
    <m/>
    <m/>
    <m/>
    <m/>
    <m/>
    <m/>
    <m/>
    <m/>
    <m/>
    <m/>
    <m/>
    <x v="2"/>
    <m/>
    <m/>
    <m/>
    <n v="0"/>
    <m/>
    <m/>
    <m/>
    <m/>
    <m/>
    <m/>
    <m/>
    <m/>
    <m/>
    <m/>
    <m/>
    <m/>
    <m/>
    <m/>
    <m/>
    <n v="1"/>
    <m/>
    <m/>
    <s v="OAK"/>
  </r>
  <r>
    <n v="264"/>
    <s v="C11/015"/>
    <s v="Nichodemus"/>
    <s v="Mutinda"/>
    <s v="Kamuti"/>
    <x v="0"/>
    <n v="11"/>
    <s v="Kenya"/>
    <s v="University of Nairobi"/>
    <s v="Veterinary Pathology and Diagnostics "/>
    <s v="Department of Veterinary Pathology, Microbiology and Parasitology"/>
    <x v="6"/>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m/>
    <m/>
    <m/>
    <m/>
    <m/>
    <m/>
    <m/>
    <m/>
    <m/>
    <m/>
    <m/>
    <m/>
    <m/>
    <m/>
    <m/>
    <m/>
    <s v="0000-0001-5741-1271"/>
    <m/>
    <d v="2025-03-03T00:00:00"/>
    <m/>
    <m/>
    <m/>
    <m/>
    <m/>
    <m/>
    <m/>
    <s v="Prevalence pathology and socio-economic impact of myiasis in sheep and goats in kitui county kenya"/>
    <m/>
    <m/>
    <m/>
    <m/>
    <m/>
    <m/>
    <m/>
    <m/>
    <x v="2"/>
    <m/>
    <m/>
    <m/>
    <n v="2"/>
    <m/>
    <m/>
    <m/>
    <m/>
    <m/>
    <m/>
    <m/>
    <m/>
    <m/>
    <m/>
    <m/>
    <m/>
    <m/>
    <m/>
    <m/>
    <n v="1"/>
    <m/>
    <m/>
    <s v="SIDA"/>
  </r>
  <r>
    <n v="265"/>
    <s v="C11/016"/>
    <s v="Ochuko"/>
    <s v="Maureen"/>
    <s v="Orherhe"/>
    <x v="1"/>
    <n v="11"/>
    <s v="Nigeria"/>
    <s v="Obafemi Awolowo University"/>
    <s v="Clinical Pharmacy"/>
    <s v="Department of Clinical Pharmacy and Pharmacy Administration"/>
    <x v="7"/>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m/>
    <m/>
    <m/>
    <m/>
    <m/>
    <m/>
    <m/>
    <m/>
    <m/>
    <m/>
    <m/>
    <m/>
    <m/>
    <m/>
    <m/>
    <m/>
    <s v="0000-0002-3671-9717"/>
    <m/>
    <d v="2025-03-03T00:00:00"/>
    <m/>
    <m/>
    <m/>
    <m/>
    <m/>
    <m/>
    <m/>
    <s v="Pharmacogenetics and Model-Informed Optimisation of Hydroxyurea Therapy in Sickle Cell Disease Patients of Nigerian Descen"/>
    <m/>
    <m/>
    <m/>
    <m/>
    <m/>
    <m/>
    <m/>
    <m/>
    <x v="2"/>
    <m/>
    <m/>
    <m/>
    <n v="6"/>
    <m/>
    <m/>
    <m/>
    <m/>
    <m/>
    <m/>
    <m/>
    <m/>
    <m/>
    <m/>
    <m/>
    <m/>
    <m/>
    <m/>
    <m/>
    <n v="0"/>
    <m/>
    <m/>
    <s v="SIDA"/>
  </r>
  <r>
    <n v="266"/>
    <s v="C11/017"/>
    <s v="Patani"/>
    <s v="George Wills"/>
    <s v="Mhango"/>
    <x v="0"/>
    <n v="11"/>
    <s v="Malawi"/>
    <s v="University of Malawi"/>
    <s v="Public Health"/>
    <s v="Centre for Reproductive Health"/>
    <x v="8"/>
    <m/>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m/>
    <m/>
    <m/>
    <m/>
    <m/>
    <m/>
    <m/>
    <m/>
    <m/>
    <m/>
    <m/>
    <m/>
    <m/>
    <m/>
    <m/>
    <m/>
    <s v="0000-0002-1492-260X"/>
    <m/>
    <d v="2025-03-03T00:00:00"/>
    <m/>
    <m/>
    <m/>
    <m/>
    <m/>
    <m/>
    <m/>
    <m/>
    <m/>
    <m/>
    <m/>
    <m/>
    <m/>
    <m/>
    <m/>
    <m/>
    <x v="2"/>
    <m/>
    <m/>
    <m/>
    <n v="8"/>
    <m/>
    <m/>
    <m/>
    <m/>
    <m/>
    <m/>
    <m/>
    <m/>
    <m/>
    <m/>
    <m/>
    <m/>
    <m/>
    <m/>
    <m/>
    <n v="2"/>
    <m/>
    <m/>
    <s v="SIDA"/>
  </r>
  <r>
    <n v="267"/>
    <s v="C11/018"/>
    <s v="Pierre Celestin"/>
    <m/>
    <s v="Munezero"/>
    <x v="0"/>
    <n v="11"/>
    <s v="Rwanda"/>
    <s v="University of Rwanda"/>
    <s v="Basic Sciences"/>
    <s v="Microbiology and Parasitology"/>
    <x v="8"/>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m/>
    <x v="1"/>
    <m/>
    <m/>
    <m/>
    <n v="8"/>
    <m/>
    <m/>
    <m/>
    <m/>
    <m/>
    <m/>
    <m/>
    <m/>
    <m/>
    <m/>
    <m/>
    <m/>
    <m/>
    <m/>
    <m/>
    <n v="0"/>
    <m/>
    <m/>
    <s v="SIDA"/>
  </r>
  <r>
    <n v="268"/>
    <s v="C11/019"/>
    <s v="Solange"/>
    <m/>
    <s v="Nikwigize"/>
    <x v="1"/>
    <n v="11"/>
    <s v="Rwanda"/>
    <s v="University of Rwanda"/>
    <s v="Public Health"/>
    <s v="Community Health Development "/>
    <x v="8"/>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m/>
    <m/>
    <m/>
    <m/>
    <m/>
    <m/>
    <m/>
    <m/>
    <m/>
    <m/>
    <m/>
    <m/>
    <m/>
    <m/>
    <m/>
    <m/>
    <s v="0009-0008-1667-3046"/>
    <m/>
    <d v="2025-03-03T00:00:00"/>
    <m/>
    <m/>
    <m/>
    <m/>
    <m/>
    <m/>
    <m/>
    <m/>
    <m/>
    <m/>
    <m/>
    <m/>
    <m/>
    <m/>
    <m/>
    <m/>
    <x v="2"/>
    <m/>
    <m/>
    <m/>
    <n v="3"/>
    <m/>
    <m/>
    <m/>
    <m/>
    <m/>
    <m/>
    <m/>
    <m/>
    <m/>
    <m/>
    <m/>
    <m/>
    <m/>
    <m/>
    <m/>
    <n v="1"/>
    <m/>
    <m/>
    <s v="OAK"/>
  </r>
  <r>
    <n v="269"/>
    <s v="C11/020"/>
    <s v="Winifrida"/>
    <s v="Paschal"/>
    <s v="Mponzi"/>
    <x v="1"/>
    <n v="11"/>
    <s v="Tanzania"/>
    <s v="Ifakara Health Institute"/>
    <s v="Social Sciences "/>
    <s v="Environmental Health and Ecological Sciences Department"/>
    <x v="8"/>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m/>
    <m/>
    <m/>
    <m/>
    <m/>
    <m/>
    <m/>
    <m/>
    <m/>
    <m/>
    <m/>
    <m/>
    <m/>
    <m/>
    <m/>
    <m/>
    <s v="0000-0003-0122-0550"/>
    <m/>
    <d v="2025-03-03T00:00:00"/>
    <m/>
    <m/>
    <m/>
    <m/>
    <m/>
    <m/>
    <m/>
    <s v="Village community banking and housing upgrades: A strategy to lower malaria and improve the well-being in Southeastern Tanzania."/>
    <m/>
    <m/>
    <m/>
    <m/>
    <m/>
    <m/>
    <m/>
    <m/>
    <x v="2"/>
    <m/>
    <m/>
    <m/>
    <n v="16"/>
    <m/>
    <m/>
    <m/>
    <m/>
    <m/>
    <m/>
    <m/>
    <m/>
    <m/>
    <m/>
    <m/>
    <m/>
    <m/>
    <m/>
    <m/>
    <n v="3"/>
    <m/>
    <m/>
    <s v="SIDA"/>
  </r>
  <r>
    <n v="270"/>
    <s v="C12/001"/>
    <s v="Alen"/>
    <m/>
    <s v="Kinyina"/>
    <x v="0"/>
    <n v="12"/>
    <s v="Tanzania"/>
    <s v="Ifakara Health Institute"/>
    <s v="Public health"/>
    <m/>
    <x v="8"/>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m/>
    <m/>
    <m/>
    <m/>
    <m/>
    <m/>
    <m/>
    <m/>
    <m/>
    <m/>
    <m/>
    <m/>
    <m/>
    <s v="Program Coordinator"/>
    <m/>
    <m/>
    <m/>
    <m/>
    <s v="0000-0002-9559-2816"/>
    <m/>
    <d v="2026-03-02T00:00:00"/>
    <m/>
    <m/>
    <m/>
    <m/>
    <m/>
    <m/>
    <m/>
    <m/>
    <m/>
    <m/>
    <m/>
    <m/>
    <m/>
    <m/>
    <m/>
    <m/>
    <x v="2"/>
    <m/>
    <m/>
    <m/>
    <n v="10"/>
    <m/>
    <m/>
    <m/>
    <m/>
    <m/>
    <m/>
    <m/>
    <m/>
    <m/>
    <m/>
    <m/>
    <m/>
    <m/>
    <m/>
    <m/>
    <m/>
    <m/>
    <m/>
    <m/>
  </r>
  <r>
    <n v="271"/>
    <s v="C12/002"/>
    <s v="Itumeleng"/>
    <m/>
    <s v="Tsatsi-Mosala"/>
    <x v="1"/>
    <n v="12"/>
    <s v="South Africa"/>
    <s v="University of the Witwatersrand"/>
    <s v="Public Health"/>
    <s v="Public Health "/>
    <x v="8"/>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m/>
    <m/>
    <m/>
    <m/>
    <m/>
    <m/>
    <m/>
    <m/>
    <m/>
    <m/>
    <m/>
    <m/>
    <m/>
    <s v="Lecturer"/>
    <m/>
    <m/>
    <m/>
    <m/>
    <s v="0000-0001-5509-9659"/>
    <m/>
    <d v="2026-03-02T00:00:00"/>
    <m/>
    <m/>
    <m/>
    <m/>
    <m/>
    <m/>
    <m/>
    <m/>
    <m/>
    <m/>
    <m/>
    <m/>
    <m/>
    <m/>
    <m/>
    <m/>
    <x v="2"/>
    <m/>
    <m/>
    <m/>
    <n v="6"/>
    <m/>
    <m/>
    <m/>
    <m/>
    <m/>
    <m/>
    <m/>
    <m/>
    <m/>
    <m/>
    <m/>
    <m/>
    <m/>
    <m/>
    <m/>
    <m/>
    <m/>
    <m/>
    <m/>
  </r>
  <r>
    <n v="272"/>
    <s v="C12/003"/>
    <s v="Qamar"/>
    <s v="Olamide"/>
    <s v="Adeosun"/>
    <x v="0"/>
    <n v="12"/>
    <s v="Nigeria"/>
    <s v="University of Ibadan"/>
    <s v="Sociology"/>
    <s v="Department of Sociology"/>
    <x v="8"/>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m/>
    <m/>
    <m/>
    <m/>
    <m/>
    <m/>
    <m/>
    <m/>
    <m/>
    <m/>
    <m/>
    <m/>
    <m/>
    <s v="Assistant Lecturer"/>
    <m/>
    <m/>
    <m/>
    <m/>
    <s v="0009-0007-8633-996X"/>
    <m/>
    <d v="2026-03-02T00:00:00"/>
    <m/>
    <m/>
    <m/>
    <m/>
    <m/>
    <m/>
    <m/>
    <m/>
    <m/>
    <m/>
    <m/>
    <m/>
    <m/>
    <m/>
    <m/>
    <m/>
    <x v="2"/>
    <m/>
    <m/>
    <m/>
    <n v="1"/>
    <m/>
    <m/>
    <m/>
    <m/>
    <m/>
    <m/>
    <m/>
    <m/>
    <m/>
    <m/>
    <m/>
    <m/>
    <m/>
    <m/>
    <m/>
    <m/>
    <m/>
    <m/>
    <m/>
  </r>
  <r>
    <n v="273"/>
    <s v="C12/004"/>
    <s v="Claudine"/>
    <m/>
    <s v="Nshutiyukuri"/>
    <x v="1"/>
    <n v="12"/>
    <s v="Rwanda"/>
    <s v="University of Rwanda"/>
    <s v="General Nursing and Midwifery"/>
    <s v="General Nursing Sciences"/>
    <x v="8"/>
    <m/>
    <m/>
    <s v="Married"/>
    <m/>
    <m/>
    <s v="cnshutiyukuri@cartafrica.org"/>
    <s v="nshutiyukuric@gmail.com"/>
    <m/>
    <n v="2017"/>
    <d v="1986-01-01T00:00:00"/>
    <s v="A FRAMEWORK FOR THE IMPLEMENTATION OF AI-ENABLED DIGITAL HEALTH TOOLS FOR ENHANCING ADOLESCENTS' SEXUAL AND REPRODUCTIVE HEALTH IN RWANDA"/>
    <s v="Field based"/>
    <m/>
    <m/>
    <m/>
    <m/>
    <m/>
    <m/>
    <m/>
    <m/>
    <m/>
    <m/>
    <m/>
    <m/>
    <m/>
    <m/>
    <m/>
    <m/>
    <m/>
    <s v="Assistant Lecturer"/>
    <m/>
    <m/>
    <m/>
    <m/>
    <s v="0000-0002-5601-0326"/>
    <m/>
    <d v="2026-03-02T00:00:00"/>
    <m/>
    <m/>
    <m/>
    <m/>
    <m/>
    <m/>
    <m/>
    <m/>
    <m/>
    <m/>
    <m/>
    <m/>
    <m/>
    <m/>
    <m/>
    <m/>
    <x v="2"/>
    <m/>
    <m/>
    <m/>
    <n v="4"/>
    <m/>
    <m/>
    <m/>
    <m/>
    <m/>
    <m/>
    <m/>
    <m/>
    <m/>
    <m/>
    <m/>
    <m/>
    <m/>
    <m/>
    <m/>
    <m/>
    <m/>
    <m/>
    <m/>
  </r>
  <r>
    <n v="274"/>
    <s v="C12/005"/>
    <s v="Edna"/>
    <m/>
    <s v="Mandala"/>
    <x v="1"/>
    <n v="12"/>
    <s v="Malawi"/>
    <s v="Kamuzu University of Health Sciences (formerly University of Malawi)"/>
    <s v="Nursing"/>
    <m/>
    <x v="8"/>
    <m/>
    <m/>
    <s v="Single"/>
    <m/>
    <m/>
    <s v="emandala@cartafrica.org"/>
    <s v="emandala@kuhes.ac.mw"/>
    <m/>
    <s v="Master in Public Health (2019)"/>
    <d v="1987-05-08T00:00:00"/>
    <s v="Preventing Antimicrobial resistance in under f five children in Malawi"/>
    <s v="Field based"/>
    <m/>
    <m/>
    <m/>
    <m/>
    <m/>
    <m/>
    <m/>
    <m/>
    <m/>
    <m/>
    <m/>
    <m/>
    <m/>
    <m/>
    <m/>
    <m/>
    <m/>
    <s v="Lecturer"/>
    <m/>
    <m/>
    <m/>
    <m/>
    <s v="0000-0002-0866-0818"/>
    <m/>
    <d v="2026-03-02T00:00:00"/>
    <m/>
    <m/>
    <m/>
    <m/>
    <m/>
    <m/>
    <m/>
    <m/>
    <m/>
    <m/>
    <m/>
    <m/>
    <m/>
    <m/>
    <m/>
    <m/>
    <x v="2"/>
    <m/>
    <m/>
    <m/>
    <n v="4"/>
    <m/>
    <m/>
    <m/>
    <m/>
    <m/>
    <m/>
    <m/>
    <m/>
    <m/>
    <m/>
    <m/>
    <m/>
    <m/>
    <m/>
    <m/>
    <m/>
    <m/>
    <m/>
    <m/>
  </r>
  <r>
    <n v="275"/>
    <s v="C12/006"/>
    <s v="Hellen"/>
    <m/>
    <s v="Butungi"/>
    <x v="1"/>
    <n v="12"/>
    <s v="Uganda"/>
    <s v="Makerere University"/>
    <s v="Microbial genomics"/>
    <s v="Biochemistry and Sports Science"/>
    <x v="8"/>
    <m/>
    <m/>
    <s v="Single"/>
    <m/>
    <m/>
    <s v="hbutungi@cartafrica.org"/>
    <s v="hellen.butungi@mak.ac.ug"/>
    <m/>
    <s v="Master of Science in Bioinformatics (2012)"/>
    <d v="1983-06-29T00:00:00"/>
    <s v="Optimisation of a microbial transglutaminase enzyme system for wound healing"/>
    <s v="Laboratory based"/>
    <m/>
    <m/>
    <m/>
    <m/>
    <m/>
    <m/>
    <m/>
    <m/>
    <m/>
    <m/>
    <m/>
    <m/>
    <m/>
    <m/>
    <m/>
    <m/>
    <m/>
    <s v="Assistant Lecturer"/>
    <m/>
    <m/>
    <m/>
    <m/>
    <s v="0000-0002-1330-1545"/>
    <m/>
    <d v="2026-03-02T00:00:00"/>
    <m/>
    <m/>
    <m/>
    <m/>
    <m/>
    <m/>
    <m/>
    <m/>
    <m/>
    <m/>
    <m/>
    <m/>
    <m/>
    <m/>
    <m/>
    <m/>
    <x v="2"/>
    <m/>
    <m/>
    <m/>
    <n v="5"/>
    <m/>
    <m/>
    <m/>
    <m/>
    <m/>
    <m/>
    <m/>
    <m/>
    <m/>
    <m/>
    <m/>
    <m/>
    <m/>
    <m/>
    <m/>
    <m/>
    <m/>
    <m/>
    <m/>
  </r>
  <r>
    <n v="276"/>
    <s v="C12/006"/>
    <s v="Jean Bosco Henri "/>
    <m/>
    <s v="HITAYEZU "/>
    <x v="0"/>
    <n v="12"/>
    <s v="Rwanda"/>
    <s v="University of Rwanda"/>
    <s v="Nursing and Midwifery: Maternal and new-born health, and reproductive health"/>
    <s v="Midwifery"/>
    <x v="8"/>
    <m/>
    <m/>
    <s v="Married"/>
    <m/>
    <m/>
    <s v="jhitayezu@cartafrica.org_x000a_"/>
    <s v="hitab88@gmail.com"/>
    <m/>
    <n v="2022"/>
    <d v="1988-01-31T00:00:00"/>
    <s v="Integrating trauma-and violence-Informed maternity care for women with previous poor neonatal outcomes in Rwanda"/>
    <s v="Field based"/>
    <m/>
    <m/>
    <m/>
    <m/>
    <m/>
    <m/>
    <m/>
    <m/>
    <m/>
    <m/>
    <m/>
    <m/>
    <m/>
    <m/>
    <m/>
    <m/>
    <m/>
    <s v="Assistant Lecturer "/>
    <m/>
    <m/>
    <m/>
    <m/>
    <s v="0009-0008-5750-7087"/>
    <m/>
    <d v="2026-03-02T00:00:00"/>
    <m/>
    <m/>
    <m/>
    <m/>
    <m/>
    <m/>
    <m/>
    <m/>
    <m/>
    <m/>
    <m/>
    <m/>
    <m/>
    <m/>
    <m/>
    <m/>
    <x v="2"/>
    <m/>
    <m/>
    <m/>
    <n v="15"/>
    <m/>
    <m/>
    <m/>
    <m/>
    <m/>
    <m/>
    <m/>
    <m/>
    <m/>
    <m/>
    <m/>
    <m/>
    <m/>
    <m/>
    <m/>
    <m/>
    <m/>
    <m/>
    <m/>
  </r>
  <r>
    <n v="277"/>
    <s v="C12/008"/>
    <s v="Jean Paul"/>
    <m/>
    <s v="Habimana"/>
    <x v="0"/>
    <n v="12"/>
    <s v="Rwanda"/>
    <s v="University of Rwanda"/>
    <s v="Veterinary medicine "/>
    <s v="School of Medicine and Pharmacy"/>
    <x v="8"/>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m/>
    <m/>
    <m/>
    <m/>
    <m/>
    <m/>
    <m/>
    <m/>
    <m/>
    <m/>
    <m/>
    <m/>
    <m/>
    <s v="Assistant lecturer"/>
    <m/>
    <m/>
    <m/>
    <m/>
    <s v="0000-0001-9420-882X"/>
    <m/>
    <d v="2026-03-02T00:00:00"/>
    <m/>
    <m/>
    <m/>
    <m/>
    <m/>
    <m/>
    <m/>
    <m/>
    <m/>
    <m/>
    <m/>
    <m/>
    <m/>
    <m/>
    <m/>
    <m/>
    <x v="2"/>
    <m/>
    <m/>
    <m/>
    <n v="3"/>
    <m/>
    <m/>
    <m/>
    <m/>
    <m/>
    <m/>
    <m/>
    <m/>
    <m/>
    <m/>
    <m/>
    <m/>
    <m/>
    <m/>
    <m/>
    <m/>
    <m/>
    <m/>
    <m/>
  </r>
  <r>
    <n v="278"/>
    <s v="C12/009"/>
    <s v="Kingsley"/>
    <m/>
    <s v="Kanzoole"/>
    <x v="0"/>
    <n v="12"/>
    <s v="Malawi"/>
    <s v="AGINCOURT"/>
    <s v="Public Health"/>
    <m/>
    <x v="8"/>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m/>
    <m/>
    <m/>
    <m/>
    <m/>
    <m/>
    <m/>
    <m/>
    <m/>
    <m/>
    <m/>
    <m/>
    <m/>
    <s v="Research Assistant "/>
    <m/>
    <m/>
    <m/>
    <m/>
    <s v="0000-0003-1287-9430"/>
    <m/>
    <d v="2026-03-02T00:00:00"/>
    <m/>
    <m/>
    <m/>
    <m/>
    <m/>
    <m/>
    <m/>
    <m/>
    <m/>
    <m/>
    <m/>
    <m/>
    <m/>
    <m/>
    <m/>
    <m/>
    <x v="2"/>
    <m/>
    <m/>
    <m/>
    <n v="4"/>
    <m/>
    <m/>
    <m/>
    <m/>
    <m/>
    <m/>
    <m/>
    <m/>
    <m/>
    <m/>
    <m/>
    <m/>
    <m/>
    <m/>
    <m/>
    <m/>
    <m/>
    <m/>
    <m/>
  </r>
  <r>
    <n v="279"/>
    <s v="C12/010"/>
    <s v="Mphatso"/>
    <s v="Saulos"/>
    <s v="Kantonya"/>
    <x v="0"/>
    <n v="12"/>
    <s v="Malawi"/>
    <s v="Kamuzu University of Health Sciences (formerly University of Malawi)"/>
    <s v="Public Health (Infectious Diseases Pharmacoepidemiology)"/>
    <s v="School of Public and Global health"/>
    <x v="8"/>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m/>
    <m/>
    <m/>
    <m/>
    <m/>
    <m/>
    <m/>
    <m/>
    <m/>
    <m/>
    <m/>
    <m/>
    <m/>
    <s v="Site Investigator"/>
    <m/>
    <m/>
    <m/>
    <m/>
    <s v="0009-0003-7896-3659"/>
    <m/>
    <d v="2026-03-02T00:00:00"/>
    <m/>
    <m/>
    <m/>
    <m/>
    <m/>
    <m/>
    <m/>
    <m/>
    <m/>
    <m/>
    <m/>
    <m/>
    <m/>
    <m/>
    <m/>
    <m/>
    <x v="2"/>
    <m/>
    <m/>
    <m/>
    <n v="2"/>
    <m/>
    <m/>
    <m/>
    <m/>
    <m/>
    <m/>
    <m/>
    <m/>
    <m/>
    <m/>
    <m/>
    <m/>
    <m/>
    <m/>
    <m/>
    <m/>
    <m/>
    <m/>
    <m/>
  </r>
  <r>
    <n v="280"/>
    <s v="C12/011"/>
    <s v="Martha"/>
    <m/>
    <s v="Masamba"/>
    <x v="1"/>
    <n v="12"/>
    <s v="Malawi"/>
    <s v="Kamuzu University of Health Sciences (formerly University of Malawi)"/>
    <s v="Obstetrics and Gynaecology"/>
    <m/>
    <x v="8"/>
    <m/>
    <m/>
    <s v="Married"/>
    <m/>
    <m/>
    <s v="mmasamba@cartafrica.org"/>
    <s v="mmasamba@kuhes.ac.mw"/>
    <m/>
    <n v="2016"/>
    <d v="1983-09-19T00:00:00"/>
    <s v="Assessing Clinical and Health System Gaps in the Diagnosis and treatment of Infertility in Malawi: A Mixed Methods Study "/>
    <s v="Clinical research"/>
    <m/>
    <m/>
    <m/>
    <m/>
    <m/>
    <m/>
    <m/>
    <m/>
    <m/>
    <m/>
    <m/>
    <m/>
    <m/>
    <m/>
    <m/>
    <m/>
    <m/>
    <s v="Lecturer and Head of Obs and Gynae."/>
    <m/>
    <m/>
    <m/>
    <m/>
    <s v="0009-0006-2504-803"/>
    <m/>
    <d v="2026-03-02T00:00:00"/>
    <m/>
    <m/>
    <m/>
    <m/>
    <m/>
    <m/>
    <m/>
    <m/>
    <m/>
    <m/>
    <m/>
    <m/>
    <m/>
    <m/>
    <m/>
    <m/>
    <x v="2"/>
    <m/>
    <m/>
    <m/>
    <n v="8"/>
    <m/>
    <m/>
    <m/>
    <m/>
    <m/>
    <m/>
    <m/>
    <m/>
    <m/>
    <m/>
    <m/>
    <m/>
    <m/>
    <m/>
    <m/>
    <m/>
    <m/>
    <m/>
    <m/>
  </r>
  <r>
    <n v="281"/>
    <s v="C12/012"/>
    <s v="Martha"/>
    <s v="Dorcas"/>
    <s v="Nalweyiso"/>
    <x v="1"/>
    <n v="12"/>
    <s v="Uganda"/>
    <s v="Makerere University"/>
    <s v="Public Health"/>
    <s v="Department of Disease Control and Environmental Health"/>
    <x v="8"/>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m/>
    <m/>
    <m/>
    <m/>
    <m/>
    <m/>
    <m/>
    <m/>
    <m/>
    <m/>
    <m/>
    <m/>
    <m/>
    <s v="Assistant Lecturer"/>
    <m/>
    <m/>
    <m/>
    <m/>
    <s v="0009-0008-4921-4356?lang=en"/>
    <m/>
    <d v="2026-03-02T00:00:00"/>
    <m/>
    <m/>
    <m/>
    <m/>
    <m/>
    <m/>
    <m/>
    <m/>
    <m/>
    <m/>
    <m/>
    <m/>
    <m/>
    <m/>
    <m/>
    <m/>
    <x v="2"/>
    <m/>
    <m/>
    <m/>
    <n v="0"/>
    <m/>
    <m/>
    <m/>
    <m/>
    <m/>
    <m/>
    <m/>
    <m/>
    <m/>
    <m/>
    <m/>
    <m/>
    <m/>
    <m/>
    <m/>
    <m/>
    <m/>
    <m/>
    <m/>
  </r>
  <r>
    <n v="282"/>
    <s v="C12/013"/>
    <s v="Nancy"/>
    <s v="Mugure"/>
    <s v="Waweru"/>
    <x v="1"/>
    <n v="12"/>
    <s v="Kenya"/>
    <s v="University of Nairobi"/>
    <s v="Public Health Engineering"/>
    <s v="Civil Engineering"/>
    <x v="8"/>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m/>
    <m/>
    <m/>
    <m/>
    <m/>
    <m/>
    <m/>
    <m/>
    <m/>
    <m/>
    <m/>
    <m/>
    <m/>
    <s v="Tutorial Fellow"/>
    <m/>
    <m/>
    <m/>
    <m/>
    <s v="0009-0001-0042-9099"/>
    <m/>
    <d v="2026-03-02T00:00:00"/>
    <m/>
    <m/>
    <m/>
    <m/>
    <m/>
    <m/>
    <m/>
    <m/>
    <m/>
    <m/>
    <m/>
    <m/>
    <m/>
    <m/>
    <m/>
    <m/>
    <x v="2"/>
    <m/>
    <m/>
    <m/>
    <n v="1"/>
    <m/>
    <m/>
    <m/>
    <m/>
    <m/>
    <m/>
    <m/>
    <m/>
    <m/>
    <m/>
    <m/>
    <m/>
    <m/>
    <m/>
    <m/>
    <m/>
    <m/>
    <m/>
    <m/>
  </r>
  <r>
    <n v="283"/>
    <s v="C12/014"/>
    <s v="Olamilekan"/>
    <s v="Gabriel"/>
    <s v="Banwo"/>
    <x v="0"/>
    <n v="12"/>
    <s v="Nigeria"/>
    <s v="University of Ibadan"/>
    <s v="Veterinary Medicine"/>
    <s v="Veterinary Medicine"/>
    <x v="8"/>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m/>
    <m/>
    <m/>
    <m/>
    <m/>
    <m/>
    <m/>
    <m/>
    <m/>
    <m/>
    <m/>
    <m/>
    <m/>
    <s v="Lecturer"/>
    <m/>
    <m/>
    <m/>
    <m/>
    <s v="0000-0002-0686-1544"/>
    <m/>
    <d v="2026-03-02T00:00:00"/>
    <m/>
    <m/>
    <m/>
    <m/>
    <m/>
    <m/>
    <m/>
    <m/>
    <m/>
    <m/>
    <m/>
    <m/>
    <m/>
    <m/>
    <m/>
    <m/>
    <x v="2"/>
    <m/>
    <m/>
    <m/>
    <n v="43"/>
    <m/>
    <m/>
    <m/>
    <m/>
    <m/>
    <m/>
    <m/>
    <m/>
    <m/>
    <m/>
    <m/>
    <m/>
    <m/>
    <m/>
    <m/>
    <m/>
    <m/>
    <m/>
    <m/>
  </r>
  <r>
    <n v="284"/>
    <s v="C12/015"/>
    <s v="Olumuyiwa"/>
    <s v="Shola"/>
    <s v="Folayan"/>
    <x v="0"/>
    <n v="12"/>
    <s v="Nigeria"/>
    <s v="University of Ibadan"/>
    <s v="Paediatrics and Child Health"/>
    <m/>
    <x v="8"/>
    <m/>
    <m/>
    <s v="Married"/>
    <m/>
    <m/>
    <s v="ofolayan@cartafrica.org"/>
    <s v="olufolayan19@gmail.com"/>
    <m/>
    <s v="Master in Public Health(2025)"/>
    <m/>
    <s v="Cardiovascular Risk Factors among  Adolescents living in Ibadan North  Local Government Area"/>
    <s v="Clinical research"/>
    <m/>
    <m/>
    <m/>
    <m/>
    <m/>
    <m/>
    <m/>
    <m/>
    <m/>
    <m/>
    <m/>
    <m/>
    <m/>
    <m/>
    <m/>
    <m/>
    <m/>
    <s v="Research Fellow"/>
    <m/>
    <m/>
    <m/>
    <m/>
    <s v="0000-0002-5862-8170"/>
    <m/>
    <d v="2026-03-02T00:00:00"/>
    <m/>
    <m/>
    <m/>
    <m/>
    <m/>
    <m/>
    <m/>
    <m/>
    <m/>
    <m/>
    <m/>
    <m/>
    <m/>
    <m/>
    <m/>
    <m/>
    <x v="2"/>
    <m/>
    <m/>
    <m/>
    <n v="15"/>
    <m/>
    <m/>
    <m/>
    <m/>
    <m/>
    <m/>
    <m/>
    <m/>
    <m/>
    <m/>
    <m/>
    <m/>
    <m/>
    <m/>
    <m/>
    <m/>
    <m/>
    <m/>
    <m/>
  </r>
  <r>
    <n v="285"/>
    <s v="C12/016"/>
    <s v="Olanrewaju"/>
    <s v="Olaniyi"/>
    <s v="Omosehin"/>
    <x v="0"/>
    <n v="12"/>
    <s v="Nigeria"/>
    <s v="University of Ibadan"/>
    <s v="Agricultural Economics"/>
    <s v="Agricultural Economics"/>
    <x v="8"/>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m/>
    <m/>
    <m/>
    <m/>
    <m/>
    <m/>
    <m/>
    <m/>
    <m/>
    <m/>
    <m/>
    <m/>
    <m/>
    <s v="Assistant Lecturer"/>
    <m/>
    <m/>
    <m/>
    <m/>
    <s v="0000-0002-4249-7380"/>
    <m/>
    <d v="2026-03-02T00:00:00"/>
    <m/>
    <m/>
    <m/>
    <m/>
    <m/>
    <m/>
    <m/>
    <m/>
    <m/>
    <m/>
    <m/>
    <m/>
    <m/>
    <m/>
    <m/>
    <m/>
    <x v="2"/>
    <m/>
    <m/>
    <m/>
    <n v="16"/>
    <m/>
    <m/>
    <m/>
    <m/>
    <m/>
    <m/>
    <m/>
    <m/>
    <m/>
    <m/>
    <m/>
    <m/>
    <m/>
    <m/>
    <m/>
    <m/>
    <m/>
    <m/>
    <m/>
  </r>
  <r>
    <n v="286"/>
    <s v="C12/017"/>
    <s v="Patrick"/>
    <m/>
    <s v="Amboka"/>
    <x v="0"/>
    <n v="12"/>
    <s v="Kenya"/>
    <s v="APHRC"/>
    <s v="Public Health"/>
    <m/>
    <x v="8"/>
    <m/>
    <m/>
    <s v="Single"/>
    <m/>
    <m/>
    <s v="pamboka@cartafrica.org"/>
    <s v="pamboka@aphrc.org"/>
    <m/>
    <s v="Master in Public Health (2025)"/>
    <d v="1992-08-08T00:00:00"/>
    <s v="Life-Course Pathways to Cardiovascular Disease Among Older Women in Two Rural Counties in Kenya: A Retrospective Case-Control Study"/>
    <s v="Field based"/>
    <m/>
    <m/>
    <m/>
    <m/>
    <m/>
    <m/>
    <m/>
    <m/>
    <m/>
    <m/>
    <m/>
    <m/>
    <m/>
    <m/>
    <m/>
    <m/>
    <m/>
    <s v="Project Officer"/>
    <m/>
    <m/>
    <m/>
    <m/>
    <s v="0000-0003-4295-3515"/>
    <m/>
    <d v="2026-03-02T00:00:00"/>
    <m/>
    <m/>
    <m/>
    <m/>
    <m/>
    <m/>
    <m/>
    <m/>
    <m/>
    <m/>
    <m/>
    <m/>
    <m/>
    <m/>
    <m/>
    <m/>
    <x v="2"/>
    <m/>
    <m/>
    <m/>
    <n v="12"/>
    <m/>
    <m/>
    <m/>
    <m/>
    <m/>
    <m/>
    <m/>
    <m/>
    <m/>
    <m/>
    <m/>
    <m/>
    <m/>
    <m/>
    <m/>
    <m/>
    <m/>
    <m/>
    <m/>
  </r>
  <r>
    <n v="287"/>
    <s v="C12/018"/>
    <s v="REBECCA CLAIRE"/>
    <m/>
    <s v="LUSOBYA"/>
    <x v="1"/>
    <n v="12"/>
    <s v="Uganda"/>
    <s v="Makerere University"/>
    <s v="OPHTHALMOLOGY"/>
    <s v="OPHTHALMOLOGY"/>
    <x v="8"/>
    <m/>
    <m/>
    <s v="Married"/>
    <m/>
    <m/>
    <s v="rlusobya@cartafrica.org"/>
    <s v="lusobyarebecca@gmail.com"/>
    <m/>
    <n v="2018"/>
    <d v="1987-02-27T00:00:00"/>
    <s v="Using Oculomics And Machine Learning to Predict Preeclampsia Disease Severity and Its Long-Term Sequelae Among Pregnant Women in Uganda."/>
    <s v="Clinical research"/>
    <m/>
    <m/>
    <m/>
    <m/>
    <m/>
    <m/>
    <m/>
    <m/>
    <m/>
    <m/>
    <m/>
    <m/>
    <m/>
    <m/>
    <m/>
    <m/>
    <m/>
    <s v="SENIOR LECTURER"/>
    <m/>
    <m/>
    <m/>
    <m/>
    <s v="0000-0002-7149-703X"/>
    <m/>
    <d v="2026-03-02T00:00:00"/>
    <m/>
    <m/>
    <m/>
    <m/>
    <m/>
    <m/>
    <m/>
    <m/>
    <m/>
    <m/>
    <m/>
    <m/>
    <m/>
    <m/>
    <m/>
    <m/>
    <x v="2"/>
    <m/>
    <m/>
    <m/>
    <n v="18"/>
    <m/>
    <m/>
    <m/>
    <m/>
    <m/>
    <m/>
    <m/>
    <m/>
    <m/>
    <m/>
    <m/>
    <m/>
    <m/>
    <m/>
    <m/>
    <m/>
    <m/>
    <m/>
    <m/>
  </r>
  <r>
    <n v="288"/>
    <s v="C12/019"/>
    <s v="Regina"/>
    <s v="Tikhala"/>
    <s v="Makuluni"/>
    <x v="1"/>
    <n v="12"/>
    <s v="Malawi"/>
    <s v="Kamuzu University of Health Sciences (formerly University of Malawi)"/>
    <s v="Public Health"/>
    <m/>
    <x v="8"/>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m/>
    <m/>
    <m/>
    <m/>
    <m/>
    <m/>
    <m/>
    <m/>
    <m/>
    <m/>
    <m/>
    <m/>
    <m/>
    <s v="Trial Manager"/>
    <m/>
    <m/>
    <m/>
    <m/>
    <s v="0000-0001-9368-5456"/>
    <m/>
    <d v="2026-03-02T00:00:00"/>
    <m/>
    <m/>
    <m/>
    <m/>
    <m/>
    <m/>
    <m/>
    <m/>
    <m/>
    <m/>
    <m/>
    <m/>
    <m/>
    <m/>
    <m/>
    <m/>
    <x v="2"/>
    <m/>
    <m/>
    <m/>
    <n v="10"/>
    <m/>
    <m/>
    <m/>
    <m/>
    <m/>
    <m/>
    <m/>
    <m/>
    <m/>
    <m/>
    <m/>
    <m/>
    <m/>
    <m/>
    <m/>
    <m/>
    <m/>
    <m/>
    <m/>
  </r>
  <r>
    <n v="289"/>
    <s v="C12/020"/>
    <s v="Schadrack"/>
    <m/>
    <s v="HABUMUREMYI"/>
    <x v="0"/>
    <n v="12"/>
    <s v="Rwanda"/>
    <s v="University of Rwanda"/>
    <s v="Human Anatomy"/>
    <s v="Human Anatomy Department"/>
    <x v="8"/>
    <m/>
    <m/>
    <s v="Married"/>
    <m/>
    <m/>
    <s v="shabumuremyi@cartafrica.org"/>
    <s v="habumshadra@gmail.com"/>
    <m/>
    <s v="Master of Science in Clinical Anatomy (2024)"/>
    <d v="1988-01-14T00:00:00"/>
    <s v="The implications of Lumbosacral transitional vertebrae to the lower back pain in Rwanda"/>
    <s v="Laboratory based"/>
    <m/>
    <m/>
    <m/>
    <m/>
    <m/>
    <m/>
    <m/>
    <m/>
    <m/>
    <m/>
    <m/>
    <m/>
    <m/>
    <m/>
    <m/>
    <m/>
    <m/>
    <s v="Laboratory technician"/>
    <m/>
    <m/>
    <m/>
    <m/>
    <s v="0009-0006-7309-306X"/>
    <m/>
    <d v="2026-03-02T00:00:00"/>
    <m/>
    <m/>
    <m/>
    <m/>
    <m/>
    <m/>
    <m/>
    <m/>
    <m/>
    <m/>
    <m/>
    <m/>
    <m/>
    <m/>
    <m/>
    <m/>
    <x v="2"/>
    <m/>
    <m/>
    <m/>
    <n v="10"/>
    <m/>
    <m/>
    <m/>
    <m/>
    <m/>
    <m/>
    <m/>
    <m/>
    <m/>
    <m/>
    <m/>
    <m/>
    <m/>
    <m/>
    <m/>
    <m/>
    <m/>
    <m/>
    <m/>
  </r>
  <r>
    <n v="290"/>
    <s v="C12/021"/>
    <s v="Tabitha"/>
    <s v="Jepkurgat"/>
    <s v="Chepkwony"/>
    <x v="1"/>
    <n v="12"/>
    <s v="Kenya"/>
    <s v="Moi University"/>
    <s v="Public health/Laboratory Sciences"/>
    <s v="Public Health"/>
    <x v="8"/>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m/>
    <m/>
    <m/>
    <m/>
    <m/>
    <m/>
    <m/>
    <m/>
    <m/>
    <m/>
    <m/>
    <m/>
    <m/>
    <s v="Research coordinator"/>
    <m/>
    <m/>
    <m/>
    <m/>
    <s v="0009-0001-5539-2975"/>
    <m/>
    <d v="2026-03-02T00:00:00"/>
    <m/>
    <m/>
    <m/>
    <m/>
    <m/>
    <m/>
    <m/>
    <m/>
    <m/>
    <m/>
    <m/>
    <m/>
    <m/>
    <m/>
    <m/>
    <m/>
    <x v="2"/>
    <m/>
    <m/>
    <m/>
    <n v="15"/>
    <m/>
    <m/>
    <m/>
    <m/>
    <m/>
    <m/>
    <m/>
    <m/>
    <m/>
    <m/>
    <m/>
    <m/>
    <m/>
    <m/>
    <m/>
    <m/>
    <m/>
    <m/>
    <m/>
  </r>
  <r>
    <n v="291"/>
    <s v="C12/022"/>
    <s v="WALTER"/>
    <m/>
    <s v="OKELLO"/>
    <x v="0"/>
    <n v="12"/>
    <s v="Uganda"/>
    <s v="Makerere University"/>
    <s v="Laboratory Sciences"/>
    <s v="Biosecurity, Ecosystems and Veterinary Public Health"/>
    <x v="8"/>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m/>
    <m/>
    <m/>
    <m/>
    <m/>
    <m/>
    <m/>
    <m/>
    <m/>
    <m/>
    <m/>
    <m/>
    <m/>
    <s v="Technician"/>
    <m/>
    <m/>
    <m/>
    <m/>
    <s v="0000-0002-7621-4844"/>
    <m/>
    <d v="2026-03-02T00:00:00"/>
    <m/>
    <m/>
    <m/>
    <m/>
    <m/>
    <m/>
    <m/>
    <m/>
    <m/>
    <m/>
    <m/>
    <m/>
    <m/>
    <m/>
    <m/>
    <m/>
    <x v="2"/>
    <m/>
    <m/>
    <m/>
    <n v="2"/>
    <m/>
    <m/>
    <m/>
    <m/>
    <m/>
    <m/>
    <m/>
    <m/>
    <m/>
    <m/>
    <m/>
    <m/>
    <m/>
    <m/>
    <m/>
    <m/>
    <m/>
    <m/>
    <m/>
  </r>
  <r>
    <m/>
    <m/>
    <m/>
    <m/>
    <m/>
    <x v="2"/>
    <m/>
    <m/>
    <m/>
    <m/>
    <m/>
    <x v="8"/>
    <m/>
    <m/>
    <m/>
    <m/>
    <m/>
    <m/>
    <m/>
    <m/>
    <m/>
    <m/>
    <m/>
    <m/>
    <m/>
    <m/>
    <m/>
    <m/>
    <m/>
    <m/>
    <m/>
    <m/>
    <m/>
    <m/>
    <m/>
    <m/>
    <m/>
    <m/>
    <m/>
    <m/>
    <m/>
    <m/>
    <m/>
    <m/>
    <m/>
    <m/>
    <m/>
    <m/>
    <m/>
    <m/>
    <m/>
    <m/>
    <m/>
    <m/>
    <m/>
    <m/>
    <m/>
    <m/>
    <m/>
    <m/>
    <m/>
    <m/>
    <m/>
    <m/>
    <m/>
    <x v="3"/>
    <m/>
    <m/>
    <m/>
    <m/>
    <m/>
    <m/>
    <m/>
    <m/>
    <m/>
    <m/>
    <m/>
    <m/>
    <m/>
    <m/>
    <m/>
    <m/>
    <m/>
    <m/>
    <m/>
    <m/>
    <m/>
    <m/>
    <m/>
  </r>
</pivotCacheRecords>
</file>

<file path=xl/pivotCache/pivotCacheRecords3.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87">
  <r>
    <n v="1"/>
    <s v="C1/001"/>
    <s v="Babatunde"/>
    <s v="Olubayo"/>
    <s v="Adedokun"/>
    <x v="0"/>
    <x v="0"/>
    <x v="0"/>
    <x v="0"/>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x v="0"/>
    <x v="0"/>
    <n v="70"/>
    <n v="62"/>
    <m/>
    <n v="20"/>
    <n v="29"/>
    <n v="26"/>
    <n v="2"/>
    <n v="3"/>
    <n v="0"/>
    <n v="0"/>
    <s v="No"/>
    <s v="No"/>
    <m/>
    <m/>
    <m/>
    <m/>
    <s v="No"/>
    <m/>
    <m/>
    <n v="0"/>
    <n v="1"/>
    <m/>
    <s v="NF"/>
  </r>
  <r>
    <n v="2"/>
    <s v="C1/002"/>
    <s v="Celine"/>
    <m/>
    <s v="Niwemahoro"/>
    <x v="1"/>
    <x v="0"/>
    <x v="1"/>
    <x v="1"/>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x v="1"/>
    <x v="0"/>
    <n v="79"/>
    <n v="71"/>
    <s v="Premarital pregnancies and experiences in antenatal care health seeking behavior in Huye District, Rwanda"/>
    <n v="0"/>
    <n v="0"/>
    <n v="0"/>
    <n v="0"/>
    <n v="0"/>
    <n v="0"/>
    <n v="0"/>
    <s v="No"/>
    <s v="No"/>
    <m/>
    <m/>
    <m/>
    <m/>
    <s v="No"/>
    <m/>
    <m/>
    <n v="2"/>
    <n v="2"/>
    <n v="0"/>
    <s v="NF"/>
  </r>
  <r>
    <n v="3"/>
    <s v="C1/003"/>
    <s v="Caroline"/>
    <s v="Sultan"/>
    <s v="Sambai"/>
    <x v="1"/>
    <x v="0"/>
    <x v="2"/>
    <x v="2"/>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x v="2"/>
    <x v="0"/>
    <n v="36"/>
    <n v="28"/>
    <m/>
    <n v="0"/>
    <n v="1"/>
    <n v="1"/>
    <n v="2"/>
    <n v="0"/>
    <n v="0"/>
    <n v="0"/>
    <s v="JAS 2, 2011"/>
    <s v="No"/>
    <m/>
    <m/>
    <m/>
    <m/>
    <s v="No"/>
    <m/>
    <m/>
    <s v="NF"/>
    <s v="NF"/>
    <m/>
    <s v="NF"/>
  </r>
  <r>
    <n v="4"/>
    <s v="C1/004"/>
    <s v="Dieudonne"/>
    <m/>
    <s v="Uwizeye"/>
    <x v="0"/>
    <x v="0"/>
    <x v="1"/>
    <x v="1"/>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x v="3"/>
    <x v="0"/>
    <n v="56"/>
    <n v="48"/>
    <m/>
    <n v="0"/>
    <n v="2"/>
    <n v="7"/>
    <n v="2"/>
    <n v="0"/>
    <n v="0"/>
    <n v="0"/>
    <s v="No"/>
    <s v="No"/>
    <m/>
    <m/>
    <m/>
    <m/>
    <s v="Yes"/>
    <m/>
    <m/>
    <n v="1"/>
    <n v="3"/>
    <m/>
    <s v="NF"/>
  </r>
  <r>
    <n v="5"/>
    <s v="C1/005"/>
    <s v="Wells"/>
    <m/>
    <s v="Utembe"/>
    <x v="0"/>
    <x v="0"/>
    <x v="3"/>
    <x v="3"/>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x v="4"/>
    <x v="0"/>
    <n v="63"/>
    <n v="55"/>
    <m/>
    <n v="0"/>
    <n v="5"/>
    <n v="15"/>
    <n v="4"/>
    <n v="0"/>
    <n v="0"/>
    <n v="0"/>
    <s v="No"/>
    <s v="No"/>
    <m/>
    <m/>
    <m/>
    <m/>
    <s v="No"/>
    <m/>
    <m/>
    <s v="NF"/>
    <s v="NF"/>
    <m/>
    <s v="NF"/>
  </r>
  <r>
    <n v="6"/>
    <s v="C1/006"/>
    <s v="Victoria"/>
    <s v="Mathew"/>
    <s v="Mwakalinga Chuma"/>
    <x v="1"/>
    <x v="0"/>
    <x v="4"/>
    <x v="4"/>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x v="5"/>
    <x v="0"/>
    <n v="81"/>
    <n v="73"/>
    <m/>
    <s v="NF"/>
    <n v="4"/>
    <n v="1"/>
    <n v="0"/>
    <n v="0"/>
    <n v="0"/>
    <n v="1"/>
    <s v="JAS 1, 2011"/>
    <s v="No"/>
    <m/>
    <m/>
    <m/>
    <m/>
    <s v="No"/>
    <m/>
    <m/>
    <n v="3"/>
    <n v="3"/>
    <m/>
    <s v="NF"/>
  </r>
  <r>
    <n v="7"/>
    <s v="C1/007"/>
    <s v="Esnat"/>
    <s v="Dorothy"/>
    <s v="Chirwa"/>
    <x v="1"/>
    <x v="0"/>
    <x v="3"/>
    <x v="3"/>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x v="6"/>
    <x v="0"/>
    <n v="67"/>
    <n v="59"/>
    <m/>
    <n v="1"/>
    <n v="7"/>
    <n v="47"/>
    <n v="3"/>
    <n v="0"/>
    <n v="0"/>
    <n v="0"/>
    <s v="No"/>
    <s v="No"/>
    <m/>
    <m/>
    <m/>
    <m/>
    <s v="No"/>
    <m/>
    <m/>
    <n v="2"/>
    <n v="2"/>
    <m/>
    <s v="NF"/>
  </r>
  <r>
    <n v="8"/>
    <s v="C1/008"/>
    <s v="Taofeek"/>
    <s v="Oluwole"/>
    <s v="Awotidebe"/>
    <x v="0"/>
    <x v="0"/>
    <x v="0"/>
    <x v="5"/>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x v="7"/>
    <x v="0"/>
    <n v="56"/>
    <n v="48"/>
    <m/>
    <n v="5"/>
    <n v="12"/>
    <n v="10"/>
    <n v="6"/>
    <n v="4"/>
    <n v="2"/>
    <n v="0"/>
    <s v="No"/>
    <s v="No"/>
    <m/>
    <m/>
    <m/>
    <m/>
    <s v="No"/>
    <m/>
    <m/>
    <s v="NF"/>
    <s v="NF"/>
    <m/>
    <s v="NF"/>
  </r>
  <r>
    <n v="9"/>
    <s v="C1/009"/>
    <s v="Fresier"/>
    <m/>
    <s v="Maseko"/>
    <x v="0"/>
    <x v="0"/>
    <x v="3"/>
    <x v="3"/>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x v="8"/>
    <x v="0"/>
    <n v="65"/>
    <n v="57"/>
    <m/>
    <n v="7"/>
    <n v="6"/>
    <n v="1"/>
    <n v="3"/>
    <n v="1"/>
    <n v="0"/>
    <n v="0"/>
    <s v="No"/>
    <s v="No"/>
    <m/>
    <m/>
    <m/>
    <m/>
    <s v="No"/>
    <m/>
    <m/>
    <s v="NF"/>
    <s v="NF"/>
    <m/>
    <s v="NF"/>
  </r>
  <r>
    <n v="10"/>
    <s v="C1/010"/>
    <s v="François"/>
    <m/>
    <s v="Niragire"/>
    <x v="0"/>
    <x v="0"/>
    <x v="1"/>
    <x v="1"/>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x v="9"/>
    <x v="0"/>
    <n v="76"/>
    <n v="68"/>
    <s v="Spatial modelling of the relationship between HIV prevalence and determinants of child_x000a_mortality in Rwanda"/>
    <n v="0"/>
    <n v="4"/>
    <n v="9"/>
    <n v="1"/>
    <n v="4"/>
    <n v="0"/>
    <n v="0"/>
    <s v="No"/>
    <s v="No"/>
    <m/>
    <m/>
    <m/>
    <m/>
    <s v="No"/>
    <m/>
    <m/>
    <n v="3"/>
    <n v="4"/>
    <m/>
    <s v="NF"/>
  </r>
  <r>
    <n v="11"/>
    <s v="C1/011"/>
    <s v="Joshua"/>
    <s v="Odunayo"/>
    <s v="Akinyemi"/>
    <x v="0"/>
    <x v="0"/>
    <x v="0"/>
    <x v="0"/>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x v="10"/>
    <x v="0"/>
    <n v="35"/>
    <n v="27"/>
    <s v="Levels, Trends and Differentials in Under-five Mortality in _x000a_Nigeria (1990-2008)"/>
    <n v="18"/>
    <n v="14"/>
    <n v="117"/>
    <n v="4"/>
    <n v="2"/>
    <n v="7"/>
    <n v="6"/>
    <s v="No"/>
    <s v="No"/>
    <m/>
    <m/>
    <m/>
    <m/>
    <s v="No"/>
    <m/>
    <m/>
    <n v="0"/>
    <n v="2"/>
    <m/>
    <s v="NF"/>
  </r>
  <r>
    <n v="12"/>
    <s v="C1/012"/>
    <s v="Mphatso"/>
    <s v="Steve Wilbes"/>
    <s v="Kamndaya"/>
    <x v="0"/>
    <x v="0"/>
    <x v="3"/>
    <x v="3"/>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x v="11"/>
    <x v="0"/>
    <n v="60"/>
    <n v="52"/>
    <m/>
    <n v="0"/>
    <n v="5"/>
    <n v="10"/>
    <n v="5"/>
    <n v="0"/>
    <n v="0"/>
    <n v="0"/>
    <s v="No"/>
    <s v="No"/>
    <m/>
    <m/>
    <m/>
    <m/>
    <s v="No"/>
    <m/>
    <m/>
    <n v="1"/>
    <n v="2"/>
    <m/>
    <s v="NF"/>
  </r>
  <r>
    <n v="13"/>
    <s v="C1/013"/>
    <s v="Esther"/>
    <s v="Clyde"/>
    <s v="Nabakwe"/>
    <x v="1"/>
    <x v="0"/>
    <x v="2"/>
    <x v="2"/>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x v="12"/>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x v="5"/>
    <x v="6"/>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x v="13"/>
    <x v="0"/>
    <n v="32"/>
    <n v="24"/>
    <m/>
    <n v="0"/>
    <n v="2"/>
    <n v="56"/>
    <n v="4"/>
    <n v="6"/>
    <n v="11"/>
    <n v="7"/>
    <s v="No"/>
    <s v="No"/>
    <m/>
    <m/>
    <m/>
    <m/>
    <s v="No"/>
    <m/>
    <m/>
    <n v="0"/>
    <n v="0"/>
    <m/>
    <s v="NF"/>
  </r>
  <r>
    <n v="15"/>
    <s v="C1/015"/>
    <s v="Kennedy"/>
    <s v="S.Naviava"/>
    <s v="Otwombe"/>
    <x v="0"/>
    <x v="0"/>
    <x v="5"/>
    <x v="6"/>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x v="14"/>
    <x v="0"/>
    <n v="88"/>
    <n v="80"/>
    <m/>
    <n v="8"/>
    <n v="45"/>
    <n v="55"/>
    <n v="5"/>
    <n v="2"/>
    <n v="0"/>
    <n v="0"/>
    <s v="No"/>
    <s v="No"/>
    <m/>
    <m/>
    <m/>
    <m/>
    <s v="No"/>
    <m/>
    <m/>
    <n v="2"/>
    <n v="2"/>
    <m/>
    <s v="NF"/>
  </r>
  <r>
    <n v="16"/>
    <s v="C1/016"/>
    <s v="Peter"/>
    <s v="Suriwakenda"/>
    <s v="Nyasulu"/>
    <x v="0"/>
    <x v="0"/>
    <x v="3"/>
    <x v="6"/>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x v="15"/>
    <x v="0"/>
    <n v="42"/>
    <n v="34"/>
    <m/>
    <n v="3"/>
    <n v="10"/>
    <n v="77"/>
    <n v="4"/>
    <n v="10"/>
    <n v="6"/>
    <n v="9"/>
    <s v="No"/>
    <s v="No"/>
    <m/>
    <m/>
    <m/>
    <m/>
    <s v="No"/>
    <m/>
    <m/>
    <s v="NF"/>
    <s v="NF"/>
    <m/>
    <s v="NF"/>
  </r>
  <r>
    <n v="17"/>
    <s v="C1/017"/>
    <s v="Rose"/>
    <s v="Okoyo"/>
    <s v="Opiyo"/>
    <x v="1"/>
    <x v="0"/>
    <x v="2"/>
    <x v="7"/>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x v="16"/>
    <x v="0"/>
    <n v="54"/>
    <n v="46"/>
    <s v="Effect of fish oil Omega- 3 fatty acids on reduction of depressive symptoms among HIV - seropositive pregnant women"/>
    <m/>
    <n v="3"/>
    <n v="8"/>
    <n v="1"/>
    <n v="1"/>
    <n v="1"/>
    <n v="0"/>
    <s v="No"/>
    <s v="No"/>
    <m/>
    <m/>
    <m/>
    <m/>
    <s v="No"/>
    <m/>
    <m/>
    <n v="2"/>
    <n v="2"/>
    <m/>
    <s v="NF"/>
  </r>
  <r>
    <n v="18"/>
    <s v="C1/018"/>
    <s v="Sunday"/>
    <s v="Adepoju"/>
    <s v="Adedini"/>
    <x v="0"/>
    <x v="0"/>
    <x v="0"/>
    <x v="5"/>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x v="17"/>
    <x v="0"/>
    <n v="24"/>
    <n v="16"/>
    <m/>
    <s v="NF"/>
    <n v="4"/>
    <n v="43"/>
    <n v="6"/>
    <n v="4"/>
    <n v="6"/>
    <n v="6"/>
    <s v="No"/>
    <s v="No"/>
    <m/>
    <m/>
    <m/>
    <m/>
    <s v="No"/>
    <m/>
    <m/>
    <n v="3"/>
    <n v="3"/>
    <m/>
    <s v="NF"/>
  </r>
  <r>
    <n v="19"/>
    <s v="C1/019"/>
    <s v="Sulaimon"/>
    <s v="Taiwo"/>
    <s v="Adedokun"/>
    <x v="0"/>
    <x v="0"/>
    <x v="0"/>
    <x v="5"/>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x v="18"/>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x v="0"/>
    <x v="8"/>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x v="5"/>
    <x v="0"/>
    <n v="81"/>
    <n v="73"/>
    <m/>
    <n v="1"/>
    <n v="8"/>
    <n v="3"/>
    <n v="0"/>
    <n v="0"/>
    <n v="0"/>
    <n v="0"/>
    <s v="No"/>
    <s v="No"/>
    <m/>
    <m/>
    <m/>
    <m/>
    <s v="No"/>
    <m/>
    <m/>
    <s v="NF"/>
    <s v="NF"/>
    <m/>
    <s v="NF"/>
  </r>
  <r>
    <n v="22"/>
    <s v="C1/022"/>
    <s v="Theresa"/>
    <s v="Njeri"/>
    <s v="Kinyari"/>
    <x v="1"/>
    <x v="0"/>
    <x v="2"/>
    <x v="7"/>
    <m/>
    <m/>
    <m/>
    <m/>
    <s v="NF"/>
    <s v="NF"/>
    <s v="NF"/>
    <s v="NF"/>
    <m/>
    <m/>
    <m/>
    <m/>
    <m/>
    <m/>
    <m/>
    <m/>
    <m/>
    <m/>
    <m/>
    <d v="2011-03-01T00:00:00"/>
    <d v="2011-11-18T00:00:00"/>
    <m/>
    <m/>
    <m/>
    <n v="0"/>
    <m/>
    <m/>
    <m/>
    <m/>
    <m/>
    <m/>
    <m/>
    <m/>
    <m/>
    <m/>
    <m/>
    <m/>
    <m/>
    <m/>
    <d v="2011-04-01T00:00:00"/>
    <m/>
    <m/>
    <m/>
    <m/>
    <m/>
    <m/>
    <m/>
    <m/>
    <m/>
    <m/>
    <m/>
    <m/>
    <m/>
    <m/>
    <m/>
    <x v="19"/>
    <x v="1"/>
    <s v="Terminated"/>
    <m/>
    <m/>
    <m/>
    <m/>
    <m/>
    <m/>
    <m/>
    <m/>
    <m/>
    <s v="No"/>
    <s v=""/>
    <m/>
    <m/>
    <m/>
    <m/>
    <m/>
    <m/>
    <m/>
    <m/>
    <m/>
    <m/>
    <s v="NF"/>
  </r>
  <r>
    <n v="23"/>
    <s v="C1/023"/>
    <s v="Peter "/>
    <s v="Mwamba "/>
    <s v="Maturi"/>
    <x v="0"/>
    <x v="0"/>
    <x v="2"/>
    <x v="7"/>
    <m/>
    <m/>
    <s v="University of Nairobi"/>
    <s v="Yes"/>
    <s v="NF"/>
    <s v="NF"/>
    <s v="NF"/>
    <s v="NF"/>
    <m/>
    <m/>
    <m/>
    <m/>
    <m/>
    <m/>
    <m/>
    <m/>
    <m/>
    <m/>
    <m/>
    <d v="2011-03-01T00:00:00"/>
    <d v="2016-08-31T00:00:00"/>
    <m/>
    <m/>
    <m/>
    <n v="0"/>
    <m/>
    <m/>
    <m/>
    <m/>
    <m/>
    <m/>
    <m/>
    <m/>
    <m/>
    <m/>
    <m/>
    <m/>
    <m/>
    <m/>
    <d v="2011-04-01T00:00:00"/>
    <m/>
    <m/>
    <m/>
    <m/>
    <m/>
    <m/>
    <m/>
    <m/>
    <m/>
    <m/>
    <m/>
    <m/>
    <m/>
    <m/>
    <m/>
    <x v="19"/>
    <x v="1"/>
    <s v="Terminated"/>
    <m/>
    <m/>
    <m/>
    <m/>
    <m/>
    <m/>
    <m/>
    <m/>
    <m/>
    <s v="No"/>
    <s v=""/>
    <m/>
    <m/>
    <m/>
    <m/>
    <m/>
    <m/>
    <m/>
    <m/>
    <m/>
    <m/>
    <s v="NF"/>
  </r>
  <r>
    <n v="24"/>
    <s v="C1/024"/>
    <s v="Jaclkline"/>
    <s v="Halima"/>
    <s v="Mgumia"/>
    <x v="1"/>
    <x v="0"/>
    <x v="4"/>
    <x v="9"/>
    <m/>
    <m/>
    <m/>
    <m/>
    <s v="NF"/>
    <s v="NF"/>
    <s v="NF"/>
    <s v="NF"/>
    <m/>
    <m/>
    <m/>
    <m/>
    <m/>
    <m/>
    <m/>
    <m/>
    <m/>
    <m/>
    <m/>
    <d v="2011-03-01T00:00:00"/>
    <d v="2012-12-31T00:00:00"/>
    <m/>
    <m/>
    <m/>
    <n v="0"/>
    <m/>
    <m/>
    <m/>
    <m/>
    <m/>
    <m/>
    <m/>
    <m/>
    <m/>
    <m/>
    <m/>
    <m/>
    <m/>
    <m/>
    <d v="2011-04-01T00:00:00"/>
    <m/>
    <m/>
    <m/>
    <m/>
    <m/>
    <m/>
    <m/>
    <m/>
    <m/>
    <m/>
    <m/>
    <m/>
    <m/>
    <m/>
    <m/>
    <x v="19"/>
    <x v="1"/>
    <s v="Terminated"/>
    <m/>
    <m/>
    <m/>
    <m/>
    <m/>
    <m/>
    <m/>
    <m/>
    <m/>
    <s v="No"/>
    <m/>
    <m/>
    <m/>
    <m/>
    <m/>
    <m/>
    <m/>
    <m/>
    <m/>
    <m/>
    <m/>
    <s v="NF"/>
  </r>
  <r>
    <n v="26"/>
    <s v="C2/001"/>
    <s v="Adebolajo"/>
    <m/>
    <s v="Adeyemo"/>
    <x v="0"/>
    <x v="1"/>
    <x v="0"/>
    <x v="0"/>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x v="20"/>
    <x v="0"/>
    <n v="139"/>
    <n v="131"/>
    <m/>
    <n v="1"/>
    <n v="14"/>
    <n v="0"/>
    <n v="1"/>
    <n v="0"/>
    <n v="0"/>
    <n v="0"/>
    <s v="No"/>
    <n v="0"/>
    <m/>
    <m/>
    <m/>
    <m/>
    <s v="No"/>
    <m/>
    <m/>
    <n v="2"/>
    <s v="NF"/>
    <m/>
    <s v="NF"/>
  </r>
  <r>
    <n v="27"/>
    <s v="C2/002"/>
    <s v="Alinane Linda"/>
    <m/>
    <s v="Nyondo-Mipando"/>
    <x v="1"/>
    <x v="1"/>
    <x v="3"/>
    <x v="3"/>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x v="11"/>
    <x v="0"/>
    <n v="49"/>
    <n v="41"/>
    <m/>
    <n v="0"/>
    <n v="4"/>
    <n v="36"/>
    <n v="1"/>
    <n v="0"/>
    <n v="1"/>
    <n v="1"/>
    <s v="No"/>
    <n v="0"/>
    <m/>
    <m/>
    <m/>
    <m/>
    <s v="No"/>
    <m/>
    <m/>
    <n v="2"/>
    <n v="2"/>
    <m/>
    <s v="FF"/>
  </r>
  <r>
    <n v="28"/>
    <s v="C2/003"/>
    <s v="Austin"/>
    <s v="Henderson"/>
    <s v="Mtethiwa"/>
    <x v="0"/>
    <x v="1"/>
    <x v="3"/>
    <x v="3"/>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x v="21"/>
    <x v="0"/>
    <n v="57"/>
    <n v="49"/>
    <m/>
    <n v="2"/>
    <n v="1"/>
    <n v="9"/>
    <n v="1"/>
    <n v="1"/>
    <n v="0"/>
    <n v="0"/>
    <s v="No"/>
    <n v="0"/>
    <m/>
    <m/>
    <m/>
    <m/>
    <s v="No"/>
    <m/>
    <m/>
    <s v="NF"/>
    <s v="NF"/>
    <m/>
    <s v="CARNEGIE 2"/>
  </r>
  <r>
    <n v="29"/>
    <s v="C2/004"/>
    <s v="Diana"/>
    <s v="-"/>
    <s v="Menya"/>
    <x v="1"/>
    <x v="1"/>
    <x v="2"/>
    <x v="2"/>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x v="21"/>
    <x v="0"/>
    <n v="57"/>
    <n v="49"/>
    <s v="Behavioral, Nutritional and Environmental Factors_x000a_associated with Esophageal Cancer in western Kenya"/>
    <n v="8"/>
    <n v="19"/>
    <n v="43"/>
    <n v="2"/>
    <n v="2"/>
    <n v="1"/>
    <n v="0"/>
    <s v="No"/>
    <n v="0"/>
    <m/>
    <m/>
    <m/>
    <m/>
    <s v="No"/>
    <m/>
    <m/>
    <n v="2"/>
    <n v="2"/>
    <n v="2"/>
    <s v="NF"/>
  </r>
  <r>
    <n v="30"/>
    <s v="C2/005"/>
    <s v="Evaline"/>
    <m/>
    <s v="Mcharo"/>
    <x v="1"/>
    <x v="1"/>
    <x v="4"/>
    <x v="9"/>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x v="22"/>
    <x v="0"/>
    <n v="58"/>
    <n v="50"/>
    <m/>
    <s v="NF"/>
    <n v="0"/>
    <n v="1"/>
    <n v="0"/>
    <n v="0"/>
    <n v="0"/>
    <n v="1"/>
    <s v="No"/>
    <n v="0"/>
    <m/>
    <m/>
    <m/>
    <m/>
    <s v="No"/>
    <m/>
    <m/>
    <s v="NF"/>
    <s v="NF"/>
    <m/>
    <s v="WT"/>
  </r>
  <r>
    <n v="31"/>
    <s v="C2/006"/>
    <s v="Stephen"/>
    <s v="Ojiambo"/>
    <s v="Wandera"/>
    <x v="0"/>
    <x v="1"/>
    <x v="6"/>
    <x v="10"/>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x v="11"/>
    <x v="0"/>
    <n v="49"/>
    <n v="41"/>
    <s v="Disaparities in health and access to healthcare among older persons in Uganda"/>
    <n v="0"/>
    <n v="10"/>
    <n v="16"/>
    <n v="6"/>
    <n v="2"/>
    <n v="2"/>
    <n v="0"/>
    <s v="No"/>
    <n v="0"/>
    <m/>
    <m/>
    <m/>
    <m/>
    <s v="No"/>
    <m/>
    <m/>
    <n v="2"/>
    <n v="3"/>
    <m/>
    <s v="WT"/>
  </r>
  <r>
    <n v="32"/>
    <s v="C2/007"/>
    <s v="Adeniyi"/>
    <s v="Francis"/>
    <s v="Fagbamigbe"/>
    <x v="0"/>
    <x v="1"/>
    <x v="0"/>
    <x v="0"/>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x v="2"/>
    <x v="0"/>
    <n v="25"/>
    <n v="17"/>
    <m/>
    <n v="6"/>
    <n v="6"/>
    <n v="93"/>
    <n v="8"/>
    <n v="4"/>
    <n v="18"/>
    <n v="4"/>
    <s v="No"/>
    <n v="0"/>
    <m/>
    <m/>
    <m/>
    <m/>
    <s v="No"/>
    <m/>
    <m/>
    <s v="NF"/>
    <n v="2"/>
    <m/>
    <s v="MAC"/>
  </r>
  <r>
    <n v="33"/>
    <s v="C2/008"/>
    <s v="Tumwine"/>
    <m/>
    <s v="Gabriel"/>
    <x v="0"/>
    <x v="1"/>
    <x v="6"/>
    <x v="10"/>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x v="19"/>
    <x v="2"/>
    <m/>
    <m/>
    <m/>
    <n v="1"/>
    <n v="9"/>
    <n v="0"/>
    <n v="1"/>
    <n v="0"/>
    <n v="0"/>
    <n v="0"/>
    <s v="No"/>
    <n v="0"/>
    <m/>
    <m/>
    <m/>
    <m/>
    <s v="No"/>
    <m/>
    <m/>
    <n v="3"/>
    <s v="NF"/>
    <m/>
    <s v="CARNEGIE 2"/>
  </r>
  <r>
    <n v="34"/>
    <s v="C2/009"/>
    <s v="Herbert"/>
    <s v="Hudson"/>
    <s v="Longwe"/>
    <x v="0"/>
    <x v="1"/>
    <x v="3"/>
    <x v="3"/>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x v="23"/>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x v="2"/>
    <x v="11"/>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x v="24"/>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x v="2"/>
    <x v="7"/>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x v="22"/>
    <x v="0"/>
    <n v="58"/>
    <n v="50"/>
    <m/>
    <n v="1"/>
    <n v="6"/>
    <n v="6"/>
    <n v="0"/>
    <n v="0"/>
    <n v="0"/>
    <n v="0"/>
    <s v="No"/>
    <n v="0"/>
    <m/>
    <m/>
    <m/>
    <m/>
    <s v="No"/>
    <m/>
    <m/>
    <s v="NF"/>
    <s v="NF"/>
    <m/>
    <s v="WT"/>
  </r>
  <r>
    <n v="37"/>
    <s v="C2/012"/>
    <s v="Mary"/>
    <s v="Oluwafunke"/>
    <s v="Obiyan"/>
    <x v="1"/>
    <x v="1"/>
    <x v="0"/>
    <x v="5"/>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x v="2"/>
    <x v="0"/>
    <n v="25"/>
    <n v="17"/>
    <m/>
    <n v="1"/>
    <n v="0"/>
    <n v="12"/>
    <n v="1"/>
    <n v="0"/>
    <n v="1"/>
    <n v="0"/>
    <s v="GW, 2016"/>
    <n v="0"/>
    <m/>
    <m/>
    <m/>
    <m/>
    <s v="No"/>
    <m/>
    <m/>
    <n v="2"/>
    <n v="3"/>
    <m/>
    <s v="WT"/>
  </r>
  <r>
    <n v="38"/>
    <s v="C2/013"/>
    <s v="Abiodun"/>
    <s v="Olufunke"/>
    <s v="Oluwatoba"/>
    <x v="1"/>
    <x v="1"/>
    <x v="0"/>
    <x v="0"/>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x v="25"/>
    <x v="0"/>
    <n v="93"/>
    <n v="85"/>
    <m/>
    <n v="4"/>
    <n v="0"/>
    <n v="0"/>
    <n v="0"/>
    <n v="0"/>
    <n v="0"/>
    <n v="0"/>
    <s v="No"/>
    <n v="0"/>
    <m/>
    <m/>
    <m/>
    <m/>
    <s v="No"/>
    <m/>
    <m/>
    <n v="3"/>
    <n v="3"/>
    <m/>
    <s v="NF"/>
  </r>
  <r>
    <n v="39"/>
    <s v="C2/014"/>
    <s v="Peter"/>
    <s v="Mpasho"/>
    <s v="Mwamtobe"/>
    <x v="0"/>
    <x v="1"/>
    <x v="3"/>
    <x v="3"/>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x v="26"/>
    <x v="0"/>
    <n v="37"/>
    <n v="29"/>
    <m/>
    <n v="0"/>
    <n v="2"/>
    <n v="6"/>
    <n v="1"/>
    <n v="0"/>
    <n v="1"/>
    <n v="0"/>
    <s v="No"/>
    <n v="0"/>
    <m/>
    <m/>
    <m/>
    <m/>
    <s v="No"/>
    <m/>
    <m/>
    <n v="5"/>
    <n v="6"/>
    <m/>
    <s v="NF"/>
  </r>
  <r>
    <n v="40"/>
    <s v="C2/015"/>
    <s v="Siphesihle"/>
    <s v="Primrose Theodora"/>
    <s v="Mtshali"/>
    <x v="1"/>
    <x v="1"/>
    <x v="5"/>
    <x v="6"/>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x v="19"/>
    <x v="1"/>
    <m/>
    <m/>
    <m/>
    <n v="1"/>
    <n v="0"/>
    <n v="0"/>
    <n v="0"/>
    <n v="0"/>
    <n v="0"/>
    <n v="0"/>
    <s v="No"/>
    <n v="0"/>
    <m/>
    <m/>
    <m/>
    <m/>
    <s v="No"/>
    <m/>
    <m/>
    <n v="1"/>
    <s v="NF"/>
    <m/>
    <s v="NF"/>
  </r>
  <r>
    <n v="41"/>
    <s v="C2/016"/>
    <s v="Nalugo"/>
    <s v="Scovia"/>
    <s v="Mbalinda"/>
    <x v="1"/>
    <x v="1"/>
    <x v="6"/>
    <x v="10"/>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x v="27"/>
    <x v="0"/>
    <n v="71"/>
    <n v="63"/>
    <m/>
    <n v="6"/>
    <n v="20"/>
    <n v="18"/>
    <n v="5"/>
    <n v="0"/>
    <n v="0"/>
    <n v="0"/>
    <s v="JAS 2, 2012"/>
    <n v="0"/>
    <m/>
    <m/>
    <m/>
    <m/>
    <s v="No"/>
    <m/>
    <m/>
    <n v="3"/>
    <n v="3"/>
    <m/>
    <s v="NF"/>
  </r>
  <r>
    <n v="42"/>
    <s v="C2/017"/>
    <s v="Nakubulwa"/>
    <m/>
    <s v="Sarah"/>
    <x v="1"/>
    <x v="1"/>
    <x v="6"/>
    <x v="10"/>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x v="0"/>
    <x v="0"/>
    <n v="59"/>
    <n v="51"/>
    <m/>
    <s v="NF"/>
    <n v="2"/>
    <n v="0"/>
    <n v="1"/>
    <n v="0"/>
    <n v="0"/>
    <n v="0"/>
    <s v="No"/>
    <n v="0"/>
    <m/>
    <m/>
    <m/>
    <m/>
    <s v="No"/>
    <m/>
    <m/>
    <s v="NF"/>
    <s v="NF"/>
    <m/>
    <s v="NF"/>
  </r>
  <r>
    <n v="43"/>
    <s v="C2/018"/>
    <s v="Simbaharshe"/>
    <m/>
    <s v="Takuva"/>
    <x v="0"/>
    <x v="1"/>
    <x v="5"/>
    <x v="6"/>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x v="19"/>
    <x v="1"/>
    <m/>
    <m/>
    <m/>
    <n v="1"/>
    <n v="31"/>
    <n v="0"/>
    <n v="7"/>
    <n v="3"/>
    <n v="0"/>
    <n v="0"/>
    <s v="No"/>
    <n v="0"/>
    <m/>
    <m/>
    <m/>
    <m/>
    <s v="No"/>
    <m/>
    <m/>
    <s v="NF"/>
    <s v="NF"/>
    <m/>
    <s v="NF"/>
  </r>
  <r>
    <n v="44"/>
    <s v="C2/019"/>
    <s v="Gloria"/>
    <s v="Susan"/>
    <s v="Omosa - Momanyi"/>
    <x v="1"/>
    <x v="1"/>
    <x v="2"/>
    <x v="7"/>
    <m/>
    <m/>
    <s v="University of the Witwatersrand"/>
    <s v="No"/>
    <s v="NF"/>
    <s v="NF"/>
    <s v="NF"/>
    <s v="NF"/>
    <m/>
    <m/>
    <m/>
    <m/>
    <m/>
    <m/>
    <m/>
    <m/>
    <m/>
    <n v="4"/>
    <m/>
    <d v="2012-03-01T00:00:00"/>
    <d v="2016-10-19T00:00:00"/>
    <m/>
    <m/>
    <m/>
    <n v="0"/>
    <m/>
    <m/>
    <m/>
    <m/>
    <m/>
    <m/>
    <m/>
    <m/>
    <m/>
    <m/>
    <m/>
    <m/>
    <m/>
    <m/>
    <d v="2012-03-01T00:00:00"/>
    <m/>
    <m/>
    <m/>
    <m/>
    <m/>
    <m/>
    <m/>
    <m/>
    <m/>
    <m/>
    <m/>
    <m/>
    <m/>
    <m/>
    <m/>
    <x v="19"/>
    <x v="1"/>
    <s v="Terminated"/>
    <m/>
    <m/>
    <m/>
    <m/>
    <m/>
    <m/>
    <m/>
    <m/>
    <m/>
    <s v="No"/>
    <m/>
    <m/>
    <m/>
    <m/>
    <m/>
    <m/>
    <m/>
    <m/>
    <m/>
    <m/>
    <m/>
    <s v="WT"/>
  </r>
  <r>
    <n v="45"/>
    <s v="C2/020"/>
    <s v="Phanuel"/>
    <s v="Humphrey Jacob"/>
    <s v="Shao"/>
    <x v="0"/>
    <x v="1"/>
    <x v="4"/>
    <x v="4"/>
    <m/>
    <s v="TB Clinic"/>
    <s v="University of Dar es Salaam"/>
    <s v="No"/>
    <s v="NF"/>
    <s v="NF"/>
    <s v="NF"/>
    <s v="NF"/>
    <s v="hshao@cartafrica.org"/>
    <s v="humphreyshao@gmail.com"/>
    <m/>
    <m/>
    <m/>
    <m/>
    <m/>
    <m/>
    <m/>
    <n v="22.5"/>
    <m/>
    <d v="2012-03-01T00:00:00"/>
    <d v="2016-01-11T00:00:00"/>
    <m/>
    <m/>
    <m/>
    <n v="0"/>
    <m/>
    <m/>
    <m/>
    <m/>
    <m/>
    <m/>
    <m/>
    <m/>
    <m/>
    <m/>
    <m/>
    <m/>
    <m/>
    <m/>
    <d v="2012-03-01T00:00:00"/>
    <m/>
    <m/>
    <m/>
    <m/>
    <m/>
    <m/>
    <m/>
    <m/>
    <m/>
    <m/>
    <m/>
    <m/>
    <m/>
    <m/>
    <m/>
    <x v="19"/>
    <x v="1"/>
    <s v="Terminated"/>
    <m/>
    <m/>
    <m/>
    <m/>
    <m/>
    <m/>
    <m/>
    <m/>
    <m/>
    <s v="No"/>
    <m/>
    <m/>
    <m/>
    <m/>
    <m/>
    <m/>
    <m/>
    <m/>
    <m/>
    <m/>
    <m/>
    <s v="NF"/>
  </r>
  <r>
    <n v="47"/>
    <s v="C3/001"/>
    <s v="Adefolarin"/>
    <s v="Olufolake"/>
    <s v="Adeyinka"/>
    <x v="1"/>
    <x v="2"/>
    <x v="0"/>
    <x v="0"/>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x v="28"/>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x v="2"/>
    <x v="7"/>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x v="29"/>
    <x v="0"/>
    <n v="82"/>
    <n v="74"/>
    <m/>
    <n v="2"/>
    <n v="1"/>
    <n v="1"/>
    <n v="0"/>
    <n v="0"/>
    <n v="0"/>
    <n v="0"/>
    <s v="No"/>
    <n v="0"/>
    <m/>
    <m/>
    <m/>
    <m/>
    <s v="No"/>
    <m/>
    <m/>
    <n v="1"/>
    <n v="4"/>
    <m/>
    <s v="WT"/>
  </r>
  <r>
    <n v="49"/>
    <s v="C3/003"/>
    <s v="Anne"/>
    <s v="Majuma"/>
    <s v="Khisa"/>
    <x v="1"/>
    <x v="2"/>
    <x v="2"/>
    <x v="7"/>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x v="22"/>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x v="0"/>
    <x v="0"/>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x v="30"/>
    <x v="0"/>
    <n v="52"/>
    <n v="44"/>
    <m/>
    <n v="0"/>
    <n v="18"/>
    <n v="17"/>
    <n v="11"/>
    <n v="1"/>
    <n v="0"/>
    <n v="0"/>
    <s v="No"/>
    <n v="0"/>
    <m/>
    <m/>
    <m/>
    <m/>
    <s v="No"/>
    <m/>
    <m/>
    <n v="0"/>
    <n v="0"/>
    <m/>
    <s v="MAC"/>
  </r>
  <r>
    <n v="51"/>
    <s v="C3/005"/>
    <s v="Kato"/>
    <s v="Charles"/>
    <s v="Drago "/>
    <x v="0"/>
    <x v="2"/>
    <x v="6"/>
    <x v="10"/>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x v="11"/>
    <x v="0"/>
    <n v="37"/>
    <n v="29"/>
    <m/>
    <n v="0"/>
    <n v="6"/>
    <n v="31"/>
    <n v="0"/>
    <n v="1"/>
    <n v="0"/>
    <n v="0"/>
    <s v="No"/>
    <n v="0"/>
    <m/>
    <m/>
    <m/>
    <m/>
    <s v="No"/>
    <m/>
    <m/>
    <n v="1"/>
    <n v="2"/>
    <m/>
    <s v="SIDA"/>
  </r>
  <r>
    <n v="52"/>
    <s v="C3/006"/>
    <s v="Charles "/>
    <s v="Masulani"/>
    <s v="Mwale"/>
    <x v="0"/>
    <x v="2"/>
    <x v="1"/>
    <x v="1"/>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x v="31"/>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x v="0"/>
    <x v="0"/>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x v="32"/>
    <x v="0"/>
    <n v="54"/>
    <n v="46"/>
    <m/>
    <n v="0"/>
    <n v="3"/>
    <n v="4"/>
    <n v="2"/>
    <n v="0"/>
    <n v="0"/>
    <n v="0"/>
    <s v="No"/>
    <n v="0"/>
    <m/>
    <m/>
    <m/>
    <m/>
    <s v="No"/>
    <m/>
    <m/>
    <m/>
    <n v="1"/>
    <m/>
    <s v="MAC"/>
  </r>
  <r>
    <n v="54"/>
    <s v="C3/008"/>
    <s v="Tonney"/>
    <s v="Stophen"/>
    <s v="Nyirenda"/>
    <x v="0"/>
    <x v="2"/>
    <x v="3"/>
    <x v="3"/>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x v="33"/>
    <x v="0"/>
    <n v="28"/>
    <n v="20"/>
    <m/>
    <n v="1"/>
    <n v="1"/>
    <n v="15"/>
    <n v="2"/>
    <n v="0"/>
    <n v="2"/>
    <n v="0"/>
    <s v="No"/>
    <n v="0"/>
    <m/>
    <m/>
    <m/>
    <m/>
    <s v="No"/>
    <m/>
    <m/>
    <s v="NF"/>
    <s v="NF"/>
    <m/>
    <s v="SIDA"/>
  </r>
  <r>
    <n v="55"/>
    <s v="C3/009"/>
    <s v="Evangeline"/>
    <s v="Wawira"/>
    <s v="Njiru"/>
    <x v="1"/>
    <x v="2"/>
    <x v="2"/>
    <x v="2"/>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x v="19"/>
    <x v="2"/>
    <m/>
    <m/>
    <m/>
    <n v="0"/>
    <n v="7"/>
    <n v="0"/>
    <n v="0"/>
    <n v="0"/>
    <n v="0"/>
    <n v="0"/>
    <s v="No"/>
    <n v="0"/>
    <m/>
    <m/>
    <m/>
    <m/>
    <s v="No"/>
    <m/>
    <m/>
    <n v="3"/>
    <s v="NF"/>
    <m/>
    <s v="SIDA"/>
  </r>
  <r>
    <n v="56"/>
    <s v="C3/010"/>
    <s v="Samanta"/>
    <s v="Tresha"/>
    <s v="Lalla-Edward"/>
    <x v="1"/>
    <x v="2"/>
    <x v="5"/>
    <x v="6"/>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x v="34"/>
    <x v="0"/>
    <n v="65"/>
    <n v="57"/>
    <s v="A process evaluation of newly implementing South African Roadside wellness clinics for truck drivers"/>
    <n v="0"/>
    <n v="5"/>
    <n v="31"/>
    <n v="1"/>
    <n v="0"/>
    <n v="0"/>
    <n v="0"/>
    <s v="No"/>
    <n v="0"/>
    <m/>
    <m/>
    <m/>
    <m/>
    <s v="No"/>
    <m/>
    <m/>
    <n v="1"/>
    <n v="2"/>
    <m/>
    <s v="FF"/>
  </r>
  <r>
    <n v="57"/>
    <s v="C3/011"/>
    <s v="Emmanuel"/>
    <m/>
    <s v="Shema"/>
    <x v="0"/>
    <x v="2"/>
    <x v="1"/>
    <x v="1"/>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x v="19"/>
    <x v="2"/>
    <m/>
    <m/>
    <m/>
    <n v="0"/>
    <n v="0"/>
    <n v="0"/>
    <n v="0"/>
    <n v="0"/>
    <n v="0"/>
    <n v="0"/>
    <s v="No"/>
    <n v="0"/>
    <m/>
    <m/>
    <m/>
    <m/>
    <s v="No"/>
    <m/>
    <m/>
    <n v="4"/>
    <n v="5"/>
    <m/>
    <s v="FF"/>
  </r>
  <r>
    <n v="58"/>
    <s v="C3/012"/>
    <s v="Fredrick"/>
    <s v="Okoth"/>
    <s v="Okaka"/>
    <x v="0"/>
    <x v="2"/>
    <x v="2"/>
    <x v="2"/>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x v="35"/>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x v="0"/>
    <x v="5"/>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x v="36"/>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x v="2"/>
    <x v="2"/>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x v="37"/>
    <x v="0"/>
    <n v="50"/>
    <n v="42"/>
    <m/>
    <n v="3"/>
    <n v="3"/>
    <n v="10"/>
    <n v="4"/>
    <n v="1"/>
    <n v="0"/>
    <n v="0"/>
    <s v="No"/>
    <n v="0"/>
    <m/>
    <m/>
    <m/>
    <m/>
    <s v="No"/>
    <m/>
    <m/>
    <n v="3"/>
    <n v="3"/>
    <m/>
    <s v="SIDA"/>
  </r>
  <r>
    <n v="61"/>
    <s v="C3/015"/>
    <s v="Ojo"/>
    <s v="Melvin"/>
    <s v="Agunbiade"/>
    <x v="0"/>
    <x v="2"/>
    <x v="0"/>
    <x v="5"/>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x v="38"/>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x v="6"/>
    <x v="10"/>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x v="39"/>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x v="5"/>
    <x v="6"/>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x v="19"/>
    <x v="1"/>
    <m/>
    <m/>
    <m/>
    <n v="1"/>
    <n v="13"/>
    <n v="0"/>
    <n v="0"/>
    <n v="0"/>
    <n v="0"/>
    <n v="0"/>
    <s v="No"/>
    <n v="0"/>
    <m/>
    <m/>
    <m/>
    <m/>
    <s v="No"/>
    <m/>
    <m/>
    <s v="NF"/>
    <s v="NF"/>
    <m/>
    <s v="NF"/>
  </r>
  <r>
    <n v="64"/>
    <s v="C3/018"/>
    <s v="Olufunmilayo"/>
    <s v="Olufunmilola"/>
    <s v="Banjo"/>
    <x v="1"/>
    <x v="2"/>
    <x v="0"/>
    <x v="5"/>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x v="40"/>
    <x v="0"/>
    <n v="27"/>
    <n v="19"/>
    <m/>
    <n v="1"/>
    <n v="0"/>
    <n v="12"/>
    <n v="0"/>
    <n v="0"/>
    <n v="1"/>
    <n v="1"/>
    <s v="JAS 1, 2013"/>
    <n v="0"/>
    <m/>
    <m/>
    <m/>
    <m/>
    <s v="No"/>
    <m/>
    <m/>
    <n v="5"/>
    <n v="5"/>
    <m/>
    <s v="WT"/>
  </r>
  <r>
    <n v="65"/>
    <s v="C3/019"/>
    <s v="Obasola"/>
    <s v="Ireti"/>
    <s v="Oluwaseun"/>
    <x v="1"/>
    <x v="2"/>
    <x v="0"/>
    <x v="0"/>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x v="41"/>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x v="4"/>
    <x v="9"/>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x v="42"/>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x v="2"/>
    <x v="2"/>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x v="19"/>
    <x v="2"/>
    <m/>
    <m/>
    <m/>
    <n v="0"/>
    <n v="0"/>
    <n v="0"/>
    <n v="0"/>
    <n v="0"/>
    <n v="0"/>
    <n v="0"/>
    <s v="JAS 4, 2017"/>
    <n v="0"/>
    <m/>
    <m/>
    <m/>
    <m/>
    <s v="No"/>
    <m/>
    <m/>
    <s v="NF"/>
    <s v="NF"/>
    <m/>
    <s v="SIDA"/>
  </r>
  <r>
    <n v="68"/>
    <s v="C3/022"/>
    <s v="Save"/>
    <m/>
    <s v="Kumwenda"/>
    <x v="0"/>
    <x v="2"/>
    <x v="3"/>
    <x v="3"/>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x v="43"/>
    <x v="0"/>
    <n v="74"/>
    <n v="66"/>
    <m/>
    <n v="1"/>
    <n v="16"/>
    <n v="5"/>
    <n v="5"/>
    <n v="1"/>
    <n v="0"/>
    <n v="0"/>
    <s v="No"/>
    <n v="0"/>
    <m/>
    <m/>
    <m/>
    <m/>
    <s v="No"/>
    <m/>
    <m/>
    <n v="1"/>
    <n v="3"/>
    <m/>
    <s v="SIDA"/>
  </r>
  <r>
    <n v="70"/>
    <s v="C3/024"/>
    <s v="Steven"/>
    <m/>
    <s v="Pentz"/>
    <x v="0"/>
    <x v="2"/>
    <x v="5"/>
    <x v="6"/>
    <m/>
    <m/>
    <s v="University of the Witwatersrand"/>
    <s v="No"/>
    <s v="NF"/>
    <s v="NF"/>
    <s v="NF"/>
    <s v="NF"/>
    <m/>
    <m/>
    <m/>
    <m/>
    <m/>
    <m/>
    <m/>
    <m/>
    <m/>
    <m/>
    <m/>
    <d v="2013-03-01T00:00:00"/>
    <d v="2014-12-31T00:00:00"/>
    <m/>
    <m/>
    <m/>
    <n v="0"/>
    <m/>
    <m/>
    <m/>
    <m/>
    <m/>
    <m/>
    <m/>
    <m/>
    <m/>
    <m/>
    <m/>
    <m/>
    <m/>
    <m/>
    <d v="2013-03-01T00:00:00"/>
    <m/>
    <m/>
    <m/>
    <m/>
    <m/>
    <m/>
    <m/>
    <m/>
    <m/>
    <m/>
    <m/>
    <m/>
    <m/>
    <m/>
    <m/>
    <x v="19"/>
    <x v="1"/>
    <s v="Terminated"/>
    <m/>
    <m/>
    <m/>
    <m/>
    <m/>
    <m/>
    <m/>
    <m/>
    <m/>
    <s v="No"/>
    <m/>
    <m/>
    <m/>
    <m/>
    <m/>
    <m/>
    <m/>
    <m/>
    <m/>
    <m/>
    <m/>
    <s v="NF"/>
  </r>
  <r>
    <n v="71"/>
    <s v="C4/001"/>
    <s v="Ayodele"/>
    <s v="John"/>
    <s v="Alonge"/>
    <x v="0"/>
    <x v="3"/>
    <x v="0"/>
    <x v="0"/>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x v="44"/>
    <x v="0"/>
    <n v="46"/>
    <n v="38"/>
    <m/>
    <n v="2"/>
    <n v="0"/>
    <n v="2"/>
    <n v="3"/>
    <n v="1"/>
    <n v="0"/>
    <n v="1"/>
    <s v="No"/>
    <n v="0"/>
    <m/>
    <m/>
    <m/>
    <m/>
    <s v="No"/>
    <m/>
    <m/>
    <n v="2"/>
    <n v="3"/>
    <n v="2"/>
    <s v="FF"/>
  </r>
  <r>
    <n v="72"/>
    <s v="C4/002"/>
    <s v="Admire"/>
    <s v="Takuranhamo"/>
    <s v="Chikandiwa"/>
    <x v="0"/>
    <x v="3"/>
    <x v="5"/>
    <x v="6"/>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x v="45"/>
    <x v="0"/>
    <n v="69"/>
    <n v="61"/>
    <m/>
    <n v="1"/>
    <n v="17"/>
    <n v="11"/>
    <n v="4"/>
    <n v="0"/>
    <n v="0"/>
    <n v="0"/>
    <s v="No"/>
    <n v="0"/>
    <m/>
    <m/>
    <m/>
    <m/>
    <s v="No"/>
    <m/>
    <m/>
    <n v="1"/>
    <s v="NF"/>
    <m/>
    <s v="SIDA"/>
  </r>
  <r>
    <n v="73"/>
    <s v="C4/003"/>
    <s v="Andrew"/>
    <s v="-"/>
    <s v="Tamale"/>
    <x v="0"/>
    <x v="3"/>
    <x v="6"/>
    <x v="10"/>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x v="46"/>
    <x v="0"/>
    <n v="37"/>
    <n v="29"/>
    <m/>
    <n v="1"/>
    <n v="4"/>
    <n v="8"/>
    <n v="1"/>
    <n v="0"/>
    <n v="0"/>
    <n v="0"/>
    <s v="No"/>
    <n v="0"/>
    <m/>
    <m/>
    <m/>
    <m/>
    <s v="No"/>
    <m/>
    <m/>
    <n v="3"/>
    <n v="4"/>
    <m/>
    <s v="SIDA"/>
  </r>
  <r>
    <n v="74"/>
    <s v="C4/004"/>
    <s v="Boladale"/>
    <s v="Moyosore"/>
    <s v="Mapayi"/>
    <x v="1"/>
    <x v="3"/>
    <x v="0"/>
    <x v="5"/>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x v="41"/>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x v="0"/>
    <x v="0"/>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x v="47"/>
    <x v="0"/>
    <n v="85"/>
    <n v="77"/>
    <m/>
    <n v="14"/>
    <n v="17"/>
    <n v="2"/>
    <n v="5"/>
    <n v="5"/>
    <n v="0"/>
    <n v="0"/>
    <s v="No"/>
    <n v="0"/>
    <m/>
    <m/>
    <m/>
    <m/>
    <s v="No"/>
    <m/>
    <m/>
    <n v="2"/>
    <n v="2"/>
    <m/>
    <s v="WT"/>
  </r>
  <r>
    <n v="76"/>
    <s v="C4/006"/>
    <s v="Chrispus"/>
    <s v="-"/>
    <s v="Mayora"/>
    <x v="0"/>
    <x v="3"/>
    <x v="6"/>
    <x v="10"/>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x v="48"/>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x v="2"/>
    <x v="2"/>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x v="49"/>
    <x v="0"/>
    <n v="91"/>
    <n v="83"/>
    <m/>
    <n v="0"/>
    <n v="0"/>
    <n v="0"/>
    <n v="0"/>
    <n v="0"/>
    <n v="0"/>
    <n v="0"/>
    <s v="JAS 3, 2016"/>
    <n v="0"/>
    <m/>
    <m/>
    <m/>
    <m/>
    <s v="No"/>
    <m/>
    <m/>
    <n v="1"/>
    <n v="2"/>
    <m/>
    <s v="SIDA"/>
  </r>
  <r>
    <n v="78"/>
    <s v="C4/008"/>
    <s v="Dieter"/>
    <m/>
    <s v="Hartmann"/>
    <x v="0"/>
    <x v="3"/>
    <x v="5"/>
    <x v="6"/>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x v="50"/>
    <x v="0"/>
    <n v="98"/>
    <n v="90"/>
    <s v="Demand management in healthcare service delivery: The case for failure demand"/>
    <n v="4"/>
    <n v="5"/>
    <n v="0"/>
    <n v="2"/>
    <n v="3"/>
    <n v="0"/>
    <n v="0"/>
    <s v="No"/>
    <n v="0"/>
    <m/>
    <m/>
    <m/>
    <m/>
    <s v="No"/>
    <m/>
    <m/>
    <n v="0"/>
    <n v="1"/>
    <m/>
    <s v="SIDA"/>
  </r>
  <r>
    <n v="79"/>
    <s v="C4/009"/>
    <s v="Winnie"/>
    <s v="Chepkurui"/>
    <s v="Mutai"/>
    <x v="1"/>
    <x v="3"/>
    <x v="2"/>
    <x v="7"/>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x v="51"/>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x v="3"/>
    <x v="3"/>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x v="52"/>
    <x v="0"/>
    <n v="94"/>
    <n v="86"/>
    <m/>
    <n v="0"/>
    <n v="6"/>
    <n v="0"/>
    <n v="1"/>
    <n v="0"/>
    <n v="0"/>
    <n v="0"/>
    <s v="No"/>
    <n v="0"/>
    <m/>
    <m/>
    <m/>
    <m/>
    <s v="No"/>
    <m/>
    <m/>
    <n v="0"/>
    <n v="1"/>
    <m/>
    <s v="FF"/>
  </r>
  <r>
    <n v="81"/>
    <s v="C4/011"/>
    <s v="Flavia"/>
    <s v="Kiweewa"/>
    <s v="Matovu"/>
    <x v="1"/>
    <x v="3"/>
    <x v="6"/>
    <x v="10"/>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x v="53"/>
    <x v="0"/>
    <n v="93"/>
    <n v="85"/>
    <m/>
    <n v="1"/>
    <n v="15"/>
    <n v="6"/>
    <n v="1"/>
    <n v="1"/>
    <n v="0"/>
    <n v="0"/>
    <s v="No"/>
    <n v="0"/>
    <m/>
    <m/>
    <m/>
    <m/>
    <s v="No"/>
    <m/>
    <m/>
    <s v="NF"/>
    <s v="NF"/>
    <m/>
    <s v="WT"/>
  </r>
  <r>
    <n v="82"/>
    <s v="C4/012"/>
    <s v="Grace"/>
    <s v="Wambura"/>
    <s v="Mbuthia"/>
    <x v="1"/>
    <x v="3"/>
    <x v="2"/>
    <x v="2"/>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x v="54"/>
    <x v="0"/>
    <n v="51"/>
    <n v="43"/>
    <s v="Treatment pathways perceptions and stigma among tuberculosis _x000a_patients in West- Pokot County Kenya"/>
    <n v="2"/>
    <n v="3"/>
    <n v="5"/>
    <n v="6"/>
    <n v="1"/>
    <n v="0"/>
    <n v="0"/>
    <s v="No"/>
    <n v="0"/>
    <m/>
    <m/>
    <m/>
    <m/>
    <s v="No"/>
    <m/>
    <m/>
    <n v="2"/>
    <n v="3"/>
    <m/>
    <s v="WT"/>
  </r>
  <r>
    <n v="83"/>
    <s v="C4/013"/>
    <s v="Henry"/>
    <m/>
    <s v="Zakumumpa"/>
    <x v="0"/>
    <x v="3"/>
    <x v="6"/>
    <x v="10"/>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x v="55"/>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x v="4"/>
    <x v="4"/>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x v="56"/>
    <x v="0"/>
    <n v="70"/>
    <n v="62"/>
    <m/>
    <n v="1"/>
    <n v="5"/>
    <n v="3"/>
    <n v="2"/>
    <n v="0"/>
    <n v="0"/>
    <n v="0"/>
    <s v="JAS 3, 2016"/>
    <n v="0"/>
    <m/>
    <m/>
    <m/>
    <m/>
    <s v="No"/>
    <m/>
    <m/>
    <n v="1"/>
    <n v="2"/>
    <m/>
    <s v="SIDA"/>
  </r>
  <r>
    <n v="85"/>
    <s v="C4/015"/>
    <s v="Magutah"/>
    <s v="Joel"/>
    <s v="Karani"/>
    <x v="0"/>
    <x v="3"/>
    <x v="2"/>
    <x v="2"/>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x v="57"/>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x v="2"/>
    <x v="2"/>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x v="19"/>
    <x v="2"/>
    <m/>
    <m/>
    <m/>
    <n v="2"/>
    <n v="3"/>
    <n v="0"/>
    <n v="3"/>
    <n v="0"/>
    <n v="0"/>
    <n v="0"/>
    <s v="No"/>
    <n v="0"/>
    <m/>
    <m/>
    <m/>
    <m/>
    <s v="No"/>
    <m/>
    <m/>
    <s v="NF"/>
    <s v="NF"/>
    <m/>
    <s v="CARNEGIE"/>
  </r>
  <r>
    <n v="87"/>
    <s v="C4/017"/>
    <s v="Kaitesi"/>
    <s v="Batamuliza"/>
    <s v="Mukara"/>
    <x v="1"/>
    <x v="3"/>
    <x v="1"/>
    <x v="1"/>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x v="58"/>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x v="3"/>
    <x v="3"/>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x v="19"/>
    <x v="1"/>
    <s v="Terminated"/>
    <m/>
    <m/>
    <n v="0"/>
    <n v="2"/>
    <n v="0"/>
    <n v="1"/>
    <n v="0"/>
    <n v="0"/>
    <n v="0"/>
    <s v="No"/>
    <n v="0"/>
    <m/>
    <m/>
    <m/>
    <m/>
    <s v="No"/>
    <m/>
    <m/>
    <s v="NF"/>
    <s v="NF"/>
    <m/>
    <s v="SIDA"/>
  </r>
  <r>
    <n v="89"/>
    <s v="C4/019"/>
    <s v="Mohamed"/>
    <s v="Kassim"/>
    <s v="Ally"/>
    <x v="0"/>
    <x v="3"/>
    <x v="4"/>
    <x v="9"/>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x v="59"/>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x v="2"/>
    <x v="11"/>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x v="60"/>
    <x v="0"/>
    <n v="65"/>
    <n v="57"/>
    <m/>
    <n v="2"/>
    <n v="17"/>
    <n v="6"/>
    <n v="3"/>
    <n v="1"/>
    <n v="0"/>
    <n v="0"/>
    <s v="No"/>
    <n v="0"/>
    <m/>
    <m/>
    <m/>
    <m/>
    <s v="No"/>
    <m/>
    <m/>
    <n v="3"/>
    <n v="3"/>
    <m/>
    <s v="SIDA"/>
  </r>
  <r>
    <n v="91"/>
    <s v="C4/021"/>
    <s v="Modupe"/>
    <s v="Oladunni"/>
    <s v="Taiwo"/>
    <x v="1"/>
    <x v="3"/>
    <x v="0"/>
    <x v="5"/>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x v="11"/>
    <x v="0"/>
    <n v="25"/>
    <n v="17"/>
    <m/>
    <n v="3"/>
    <n v="0"/>
    <n v="2"/>
    <n v="0"/>
    <n v="0"/>
    <n v="0"/>
    <n v="0"/>
    <s v="No"/>
    <n v="0"/>
    <m/>
    <m/>
    <m/>
    <m/>
    <s v="No"/>
    <m/>
    <m/>
    <n v="1"/>
    <n v="1"/>
    <m/>
    <s v="SIDA"/>
  </r>
  <r>
    <n v="92"/>
    <s v="C4/022"/>
    <s v="Nkosiyazi"/>
    <s v="-"/>
    <s v="Dube"/>
    <x v="0"/>
    <x v="3"/>
    <x v="5"/>
    <x v="6"/>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x v="14"/>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x v="2"/>
    <x v="7"/>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x v="61"/>
    <x v="0"/>
    <n v="103"/>
    <n v="95"/>
    <m/>
    <n v="0"/>
    <n v="1"/>
    <n v="0"/>
    <n v="1"/>
    <n v="0"/>
    <n v="0"/>
    <n v="0"/>
    <s v="No"/>
    <n v="0"/>
    <m/>
    <m/>
    <m/>
    <m/>
    <s v="No"/>
    <m/>
    <m/>
    <n v="2"/>
    <n v="3"/>
    <m/>
    <s v="SIDA"/>
  </r>
  <r>
    <n v="94"/>
    <s v="C4/024"/>
    <s v="Respicius"/>
    <s v="Shombusho"/>
    <s v="Damian"/>
    <x v="0"/>
    <x v="3"/>
    <x v="4"/>
    <x v="9"/>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x v="62"/>
    <x v="0"/>
    <n v="57"/>
    <n v="49"/>
    <s v="Community empowerment and accountability in Rural Primary Health Care: The case of Kasulu District in Tanzania"/>
    <n v="0"/>
    <n v="0"/>
    <n v="3"/>
    <n v="2"/>
    <n v="0"/>
    <n v="0"/>
    <n v="0"/>
    <s v="No"/>
    <n v="0"/>
    <m/>
    <m/>
    <m/>
    <m/>
    <s v="No"/>
    <m/>
    <m/>
    <n v="2"/>
    <n v="2"/>
    <m/>
    <s v="WT"/>
  </r>
  <r>
    <n v="95"/>
    <s v="C4/025"/>
    <s v="Sunday"/>
    <s v="Joseph"/>
    <s v="Ayamolowo"/>
    <x v="0"/>
    <x v="3"/>
    <x v="0"/>
    <x v="5"/>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x v="63"/>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x v="0"/>
    <x v="0"/>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x v="64"/>
    <x v="0"/>
    <n v="81"/>
    <n v="72"/>
    <s v="Scale up of community-based injectable contaceptives in Gombe, Nigeria"/>
    <n v="5"/>
    <n v="17"/>
    <n v="16"/>
    <n v="0"/>
    <n v="2"/>
    <n v="0"/>
    <n v="0"/>
    <s v="No"/>
    <n v="0"/>
    <m/>
    <m/>
    <m/>
    <m/>
    <s v="No"/>
    <m/>
    <m/>
    <n v="3"/>
    <n v="3"/>
    <m/>
    <s v="CARNEGIE"/>
  </r>
  <r>
    <n v="97"/>
    <s v="C4/027"/>
    <s v="Sara"/>
    <s v="Jewett"/>
    <s v="Nieuwoudt"/>
    <x v="1"/>
    <x v="3"/>
    <x v="5"/>
    <x v="6"/>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x v="65"/>
    <x v="0"/>
    <n v="65"/>
    <n v="57"/>
    <m/>
    <n v="0"/>
    <n v="2"/>
    <n v="2"/>
    <n v="2"/>
    <n v="1"/>
    <n v="0"/>
    <n v="0"/>
    <s v="No"/>
    <n v="365"/>
    <m/>
    <m/>
    <m/>
    <m/>
    <s v="Yes"/>
    <m/>
    <m/>
    <n v="1"/>
    <n v="1"/>
    <m/>
    <s v="WT"/>
  </r>
  <r>
    <n v="98"/>
    <s v="C5/001"/>
    <s v="Cheikh Mbacké"/>
    <m/>
    <s v="Faye"/>
    <x v="0"/>
    <x v="4"/>
    <x v="7"/>
    <x v="11"/>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x v="66"/>
    <x v="0"/>
    <n v="52"/>
    <n v="44"/>
    <m/>
    <n v="4"/>
    <n v="2"/>
    <n v="19"/>
    <n v="1"/>
    <n v="1"/>
    <n v="0"/>
    <n v="0"/>
    <s v="No"/>
    <n v="0"/>
    <m/>
    <m/>
    <m/>
    <m/>
    <s v="No"/>
    <m/>
    <m/>
    <n v="3"/>
    <n v="3"/>
    <m/>
    <s v="SIDA"/>
  </r>
  <r>
    <n v="99"/>
    <s v="C5/002"/>
    <s v="Celestin"/>
    <m/>
    <s v="Ndikumana"/>
    <x v="0"/>
    <x v="4"/>
    <x v="1"/>
    <x v="1"/>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x v="56"/>
    <x v="0"/>
    <n v="58"/>
    <n v="50"/>
    <m/>
    <n v="0"/>
    <n v="1"/>
    <n v="2"/>
    <n v="2"/>
    <n v="0"/>
    <n v="0"/>
    <n v="0"/>
    <s v="No"/>
    <n v="0"/>
    <m/>
    <m/>
    <m/>
    <m/>
    <s v="No"/>
    <m/>
    <m/>
    <n v="1"/>
    <n v="3"/>
    <m/>
    <s v="SIDA"/>
  </r>
  <r>
    <n v="100"/>
    <s v="C5/003"/>
    <s v="Esther"/>
    <s v="Kikelomo"/>
    <s v="Afolabi"/>
    <x v="1"/>
    <x v="4"/>
    <x v="0"/>
    <x v="5"/>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x v="67"/>
    <x v="0"/>
    <n v="39"/>
    <n v="31"/>
    <m/>
    <n v="0"/>
    <n v="0"/>
    <n v="3"/>
    <n v="0"/>
    <n v="0"/>
    <n v="0"/>
    <n v="0"/>
    <s v="No"/>
    <n v="0"/>
    <m/>
    <m/>
    <m/>
    <m/>
    <s v="No"/>
    <m/>
    <m/>
    <n v="3"/>
    <n v="3"/>
    <m/>
    <s v="SIDA"/>
  </r>
  <r>
    <n v="101"/>
    <s v="C5/004"/>
    <s v="Yolanda"/>
    <s v="Malele"/>
    <s v="Kolisa"/>
    <x v="1"/>
    <x v="4"/>
    <x v="5"/>
    <x v="6"/>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x v="68"/>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x v="0"/>
    <x v="0"/>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x v="69"/>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x v="4"/>
    <x v="4"/>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x v="56"/>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x v="2"/>
    <x v="7"/>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x v="19"/>
    <x v="2"/>
    <m/>
    <m/>
    <m/>
    <n v="0"/>
    <n v="0"/>
    <n v="0"/>
    <n v="0"/>
    <n v="0"/>
    <n v="0"/>
    <n v="0"/>
    <s v="No"/>
    <n v="0"/>
    <m/>
    <m/>
    <m/>
    <m/>
    <s v="No"/>
    <m/>
    <m/>
    <n v="2"/>
    <s v="NF"/>
    <m/>
    <s v="SIDA/DAAD"/>
  </r>
  <r>
    <n v="105"/>
    <s v="C5/008"/>
    <s v="Folusho"/>
    <s v="Mubowale"/>
    <s v="Balogun"/>
    <x v="1"/>
    <x v="4"/>
    <x v="0"/>
    <x v="0"/>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x v="70"/>
    <x v="0"/>
    <n v="59"/>
    <n v="51"/>
    <m/>
    <n v="0"/>
    <n v="7"/>
    <n v="7"/>
    <n v="6"/>
    <n v="3"/>
    <n v="0"/>
    <n v="0"/>
    <s v="JAS 1 &amp;2, 2015"/>
    <n v="0"/>
    <m/>
    <m/>
    <m/>
    <m/>
    <s v="No"/>
    <m/>
    <m/>
    <n v="3"/>
    <n v="3"/>
    <m/>
    <s v="SIDA/DAAD"/>
  </r>
  <r>
    <n v="106"/>
    <s v="C5/009"/>
    <s v="Felix"/>
    <m/>
    <s v="Khuluza"/>
    <x v="0"/>
    <x v="4"/>
    <x v="3"/>
    <x v="3"/>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x v="71"/>
    <x v="0"/>
    <n v="46"/>
    <n v="38"/>
    <s v="Quality, availability and affordability of antimalarial and antibiotic medicines in Malawi"/>
    <n v="1"/>
    <n v="3"/>
    <n v="13"/>
    <n v="2"/>
    <n v="0"/>
    <n v="0"/>
    <n v="0"/>
    <s v="No"/>
    <n v="0"/>
    <m/>
    <m/>
    <m/>
    <m/>
    <s v="No"/>
    <m/>
    <m/>
    <n v="1"/>
    <n v="3"/>
    <n v="3"/>
    <s v="SIDA"/>
  </r>
  <r>
    <n v="107"/>
    <s v="C5/010"/>
    <s v="Fred"/>
    <m/>
    <s v="Maniragba"/>
    <x v="0"/>
    <x v="4"/>
    <x v="6"/>
    <x v="10"/>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x v="72"/>
    <x v="0"/>
    <n v="53"/>
    <n v="45"/>
    <m/>
    <n v="0"/>
    <n v="2"/>
    <n v="3"/>
    <n v="1"/>
    <n v="0"/>
    <n v="0"/>
    <n v="0"/>
    <s v="No"/>
    <n v="0"/>
    <m/>
    <m/>
    <m/>
    <m/>
    <s v="No"/>
    <m/>
    <m/>
    <n v="1"/>
    <n v="3"/>
    <m/>
    <s v="SIDA"/>
  </r>
  <r>
    <n v="108"/>
    <s v="C5/011"/>
    <s v="Hellen"/>
    <s v="Jepngetich"/>
    <s v="Jepngetich"/>
    <x v="1"/>
    <x v="4"/>
    <x v="2"/>
    <x v="2"/>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x v="73"/>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x v="2"/>
    <x v="2"/>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x v="19"/>
    <x v="2"/>
    <m/>
    <m/>
    <m/>
    <m/>
    <n v="2"/>
    <n v="0"/>
    <n v="2"/>
    <n v="0"/>
    <n v="0"/>
    <n v="0"/>
    <s v="No"/>
    <n v="0"/>
    <m/>
    <m/>
    <m/>
    <m/>
    <s v="Yes"/>
    <m/>
    <m/>
    <s v="NF"/>
    <s v="NF"/>
    <m/>
    <s v="SIDA"/>
  </r>
  <r>
    <n v="110"/>
    <s v="C5/013"/>
    <s v="Ikeola"/>
    <s v="Adejoke"/>
    <s v="Adeoye"/>
    <x v="1"/>
    <x v="4"/>
    <x v="0"/>
    <x v="0"/>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x v="74"/>
    <x v="0"/>
    <n v="78"/>
    <n v="70"/>
    <m/>
    <n v="5"/>
    <n v="10"/>
    <n v="4"/>
    <n v="1"/>
    <n v="3"/>
    <n v="1"/>
    <n v="0"/>
    <s v="No"/>
    <n v="0"/>
    <m/>
    <d v="2017-03-01T00:00:00"/>
    <d v="2018-02-01T00:00:00"/>
    <n v="12"/>
    <s v="No"/>
    <m/>
    <m/>
    <n v="3"/>
    <n v="3"/>
    <m/>
    <s v="SIDA"/>
  </r>
  <r>
    <n v="111"/>
    <s v="C5/014"/>
    <s v="Justine"/>
    <s v="Nnakate"/>
    <s v="Bukenya"/>
    <x v="1"/>
    <x v="4"/>
    <x v="6"/>
    <x v="10"/>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x v="58"/>
    <x v="0"/>
    <n v="75"/>
    <n v="67"/>
    <s v="Pregnancy Planning and utilization of Maternal Health Services by Female Sex workers in Uganda"/>
    <n v="10"/>
    <n v="27"/>
    <n v="7"/>
    <n v="1"/>
    <n v="0"/>
    <n v="0"/>
    <n v="0"/>
    <s v="No"/>
    <n v="0"/>
    <m/>
    <m/>
    <m/>
    <m/>
    <s v="No"/>
    <m/>
    <m/>
    <n v="4"/>
    <n v="4"/>
    <m/>
    <s v="SIDA"/>
  </r>
  <r>
    <n v="112"/>
    <s v="C5/015"/>
    <s v="Jeanette"/>
    <m/>
    <s v="Dawa"/>
    <x v="1"/>
    <x v="4"/>
    <x v="2"/>
    <x v="7"/>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x v="75"/>
    <x v="0"/>
    <n v="69"/>
    <n v="61"/>
    <s v="Modelling the health and economic impact of the influenza vaccine in Kenya"/>
    <n v="0"/>
    <n v="6"/>
    <n v="8"/>
    <n v="1"/>
    <n v="0"/>
    <n v="0"/>
    <n v="0"/>
    <s v="No"/>
    <n v="0"/>
    <m/>
    <m/>
    <m/>
    <m/>
    <s v="No"/>
    <m/>
    <m/>
    <n v="0"/>
    <n v="0"/>
    <m/>
    <s v="CARNEGIE/DAAD"/>
  </r>
  <r>
    <n v="113"/>
    <s v="C5/016"/>
    <s v="Jepchirchir"/>
    <m/>
    <s v="Kiplagat"/>
    <x v="1"/>
    <x v="4"/>
    <x v="2"/>
    <x v="2"/>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x v="76"/>
    <x v="0"/>
    <n v="56"/>
    <n v="48"/>
    <m/>
    <n v="3"/>
    <n v="8"/>
    <n v="4"/>
    <n v="2"/>
    <n v="0"/>
    <n v="0"/>
    <n v="0"/>
    <s v="No"/>
    <n v="0"/>
    <m/>
    <m/>
    <m/>
    <m/>
    <s v="No"/>
    <m/>
    <m/>
    <n v="1"/>
    <n v="2"/>
    <m/>
    <s v="SIDA"/>
  </r>
  <r>
    <n v="114"/>
    <s v="C5/017"/>
    <s v="Kikelomo"/>
    <s v="Abayowa"/>
    <s v="Mbada"/>
    <x v="1"/>
    <x v="4"/>
    <x v="0"/>
    <x v="5"/>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x v="77"/>
    <x v="0"/>
    <n v="42"/>
    <n v="34"/>
    <m/>
    <n v="1"/>
    <n v="0"/>
    <n v="1"/>
    <n v="6"/>
    <n v="0"/>
    <n v="0"/>
    <n v="0"/>
    <s v="JAS 1, 2015 &amp; JAS 4, 2019"/>
    <n v="0"/>
    <m/>
    <m/>
    <m/>
    <m/>
    <s v="No"/>
    <m/>
    <m/>
    <n v="2"/>
    <n v="4"/>
    <m/>
    <s v="SIDA"/>
  </r>
  <r>
    <n v="115"/>
    <s v="C5/018"/>
    <s v="Lester"/>
    <m/>
    <s v="Kapanda"/>
    <x v="0"/>
    <x v="4"/>
    <x v="3"/>
    <x v="3"/>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x v="78"/>
    <x v="0"/>
    <n v="61"/>
    <n v="53"/>
    <m/>
    <n v="0"/>
    <n v="3"/>
    <n v="1"/>
    <n v="0"/>
    <n v="0"/>
    <n v="0"/>
    <n v="0"/>
    <s v="No"/>
    <n v="0"/>
    <m/>
    <m/>
    <m/>
    <m/>
    <s v="No"/>
    <m/>
    <m/>
    <n v="2"/>
    <n v="2"/>
    <m/>
    <s v="SIDA"/>
  </r>
  <r>
    <n v="116"/>
    <s v="C5/019"/>
    <s v="Maria"/>
    <s v="Chifuniro"/>
    <s v="Chikalipo"/>
    <x v="1"/>
    <x v="4"/>
    <x v="3"/>
    <x v="3"/>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x v="45"/>
    <x v="0"/>
    <n v="57"/>
    <n v="49"/>
    <m/>
    <n v="0"/>
    <n v="4"/>
    <n v="2"/>
    <n v="2"/>
    <n v="0"/>
    <n v="0"/>
    <n v="0"/>
    <s v="No"/>
    <n v="0"/>
    <m/>
    <m/>
    <m/>
    <m/>
    <s v="No"/>
    <m/>
    <m/>
    <s v="NF"/>
    <s v="NF"/>
    <m/>
    <s v="SIDA"/>
  </r>
  <r>
    <n v="117"/>
    <s v="C5/020"/>
    <s v="Nomathemba"/>
    <s v="Chiwoneso"/>
    <s v="Chandiwana"/>
    <x v="1"/>
    <x v="4"/>
    <x v="5"/>
    <x v="6"/>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x v="19"/>
    <x v="1"/>
    <m/>
    <m/>
    <m/>
    <n v="0"/>
    <n v="0"/>
    <n v="14"/>
    <n v="0"/>
    <n v="0"/>
    <n v="0"/>
    <n v="0"/>
    <s v="JAS 4, 2018"/>
    <n v="0"/>
    <m/>
    <m/>
    <m/>
    <m/>
    <s v="No"/>
    <m/>
    <m/>
    <s v="NF"/>
    <s v="NF"/>
    <m/>
    <s v="SIDA"/>
  </r>
  <r>
    <n v="118"/>
    <s v="C5/021"/>
    <s v="Oyewale"/>
    <s v="Mayowa"/>
    <s v="Morakinyo"/>
    <x v="0"/>
    <x v="4"/>
    <x v="0"/>
    <x v="0"/>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x v="79"/>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x v="6"/>
    <x v="10"/>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x v="19"/>
    <x v="1"/>
    <s v="Terminated"/>
    <m/>
    <m/>
    <m/>
    <n v="2"/>
    <n v="0"/>
    <n v="0"/>
    <n v="0"/>
    <n v="0"/>
    <n v="0"/>
    <s v="No"/>
    <n v="0"/>
    <m/>
    <m/>
    <m/>
    <m/>
    <s v="No"/>
    <m/>
    <m/>
    <s v="NF"/>
    <s v="NF"/>
    <m/>
    <s v="SIDA"/>
  </r>
  <r>
    <n v="120"/>
    <s v="C5/023"/>
    <s v="Gift"/>
    <m/>
    <s v="Khangamwa"/>
    <x v="0"/>
    <x v="4"/>
    <x v="3"/>
    <x v="3"/>
    <m/>
    <m/>
    <s v="University of the Malawi"/>
    <s v="Yes"/>
    <s v="NF"/>
    <s v="NF"/>
    <s v="NF"/>
    <s v="NF"/>
    <m/>
    <m/>
    <m/>
    <m/>
    <m/>
    <m/>
    <m/>
    <m/>
    <m/>
    <m/>
    <m/>
    <d v="2015-03-01T00:00:00"/>
    <d v="2017-12-31T00:00:00"/>
    <m/>
    <m/>
    <m/>
    <n v="0"/>
    <m/>
    <m/>
    <m/>
    <m/>
    <m/>
    <m/>
    <m/>
    <m/>
    <m/>
    <m/>
    <m/>
    <s v=""/>
    <m/>
    <d v="2017-07-05T00:00:00"/>
    <d v="2015-03-02T00:00:00"/>
    <m/>
    <m/>
    <m/>
    <m/>
    <m/>
    <m/>
    <m/>
    <m/>
    <m/>
    <m/>
    <m/>
    <m/>
    <m/>
    <m/>
    <m/>
    <x v="19"/>
    <x v="1"/>
    <s v="Terminated"/>
    <m/>
    <m/>
    <m/>
    <m/>
    <m/>
    <m/>
    <m/>
    <m/>
    <m/>
    <s v="No"/>
    <m/>
    <m/>
    <m/>
    <m/>
    <m/>
    <m/>
    <m/>
    <m/>
    <m/>
    <m/>
    <m/>
    <s v="SIDA"/>
  </r>
  <r>
    <n v="121"/>
    <s v="C5/024"/>
    <s v="Masoud"/>
    <s v="Hussein"/>
    <s v="Mahundi"/>
    <x v="0"/>
    <x v="4"/>
    <x v="4"/>
    <x v="9"/>
    <m/>
    <m/>
    <s v="University of Dar es Salaam"/>
    <s v="Yes"/>
    <s v="NF"/>
    <s v="NF"/>
    <s v="NF"/>
    <s v="NF"/>
    <m/>
    <m/>
    <m/>
    <m/>
    <m/>
    <m/>
    <m/>
    <m/>
    <m/>
    <m/>
    <m/>
    <d v="2015-03-01T00:00:00"/>
    <d v="2018-08-30T00:00:00"/>
    <m/>
    <m/>
    <m/>
    <n v="0"/>
    <m/>
    <m/>
    <m/>
    <m/>
    <m/>
    <m/>
    <m/>
    <m/>
    <m/>
    <m/>
    <m/>
    <s v=""/>
    <m/>
    <m/>
    <d v="2015-03-02T00:00:00"/>
    <m/>
    <m/>
    <m/>
    <m/>
    <m/>
    <m/>
    <m/>
    <m/>
    <m/>
    <m/>
    <m/>
    <m/>
    <m/>
    <m/>
    <m/>
    <x v="19"/>
    <x v="1"/>
    <s v="Terminated"/>
    <m/>
    <m/>
    <m/>
    <m/>
    <m/>
    <m/>
    <m/>
    <m/>
    <m/>
    <s v="No"/>
    <m/>
    <m/>
    <m/>
    <m/>
    <m/>
    <m/>
    <m/>
    <m/>
    <m/>
    <m/>
    <m/>
    <s v="SIDA"/>
  </r>
  <r>
    <n v="122"/>
    <s v="C5/025"/>
    <s v="Callen"/>
    <s v="Kwamboka"/>
    <s v="Onyambu"/>
    <x v="1"/>
    <x v="4"/>
    <x v="2"/>
    <x v="7"/>
    <m/>
    <m/>
    <s v="University of Nairobi"/>
    <s v="Yes"/>
    <s v="NF"/>
    <s v="NF"/>
    <s v="NF"/>
    <s v="NF"/>
    <m/>
    <m/>
    <m/>
    <m/>
    <m/>
    <m/>
    <m/>
    <m/>
    <m/>
    <m/>
    <m/>
    <d v="2015-03-01T00:00:00"/>
    <d v="2018-08-30T00:00:00"/>
    <m/>
    <m/>
    <m/>
    <n v="0"/>
    <m/>
    <m/>
    <m/>
    <m/>
    <m/>
    <m/>
    <m/>
    <m/>
    <m/>
    <m/>
    <m/>
    <s v=""/>
    <m/>
    <d v="2017-07-05T00:00:00"/>
    <d v="2015-03-02T00:00:00"/>
    <m/>
    <m/>
    <m/>
    <m/>
    <m/>
    <m/>
    <m/>
    <m/>
    <m/>
    <m/>
    <m/>
    <m/>
    <m/>
    <m/>
    <m/>
    <x v="19"/>
    <x v="1"/>
    <s v="Terminated"/>
    <m/>
    <m/>
    <m/>
    <m/>
    <m/>
    <m/>
    <m/>
    <m/>
    <m/>
    <s v="No"/>
    <m/>
    <m/>
    <m/>
    <m/>
    <m/>
    <m/>
    <m/>
    <m/>
    <m/>
    <m/>
    <m/>
    <s v="SIDA"/>
  </r>
  <r>
    <n v="123"/>
    <s v="C6/001"/>
    <s v="Beatrice"/>
    <s v="Waitherero"/>
    <s v="Maina"/>
    <x v="1"/>
    <x v="5"/>
    <x v="2"/>
    <x v="11"/>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x v="8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x v="2"/>
    <x v="7"/>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x v="81"/>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x v="3"/>
    <x v="3"/>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x v="82"/>
    <x v="0"/>
    <n v="115"/>
    <n v="106"/>
    <m/>
    <m/>
    <n v="2"/>
    <n v="0"/>
    <n v="1"/>
    <n v="0"/>
    <n v="0"/>
    <n v="0"/>
    <s v="No"/>
    <n v="0"/>
    <m/>
    <m/>
    <m/>
    <m/>
    <s v="No"/>
    <m/>
    <m/>
    <m/>
    <m/>
    <m/>
    <s v="WT-DELTAS"/>
  </r>
  <r>
    <n v="126"/>
    <s v="C6/004"/>
    <s v="Oluwaseyi"/>
    <s v="Dolapo"/>
    <s v="Somefun"/>
    <x v="1"/>
    <x v="5"/>
    <x v="0"/>
    <x v="6"/>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x v="83"/>
    <x v="0"/>
    <n v="45"/>
    <n v="36"/>
    <m/>
    <n v="2"/>
    <n v="14"/>
    <n v="7"/>
    <n v="2"/>
    <n v="3"/>
    <n v="0"/>
    <n v="0"/>
    <s v="No"/>
    <n v="0"/>
    <m/>
    <d v="2022-12-01T00:00:00"/>
    <d v="2023-02-28T00:00:00"/>
    <n v="3"/>
    <s v="No"/>
    <m/>
    <m/>
    <n v="0"/>
    <n v="0"/>
    <n v="3"/>
    <s v="SIDA"/>
  </r>
  <r>
    <n v="127"/>
    <s v="C6/005"/>
    <s v="Valens"/>
    <m/>
    <s v="Mbarushimana"/>
    <x v="0"/>
    <x v="5"/>
    <x v="1"/>
    <x v="1"/>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x v="84"/>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x v="0"/>
    <x v="0"/>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x v="85"/>
    <x v="0"/>
    <n v="61"/>
    <n v="53"/>
    <m/>
    <n v="4"/>
    <n v="2"/>
    <n v="0"/>
    <n v="0"/>
    <n v="1"/>
    <n v="0"/>
    <n v="0"/>
    <s v="No"/>
    <n v="0"/>
    <m/>
    <d v="2020-03-17T00:00:00"/>
    <d v="2021-02-15T00:00:00"/>
    <n v="11"/>
    <s v="No"/>
    <m/>
    <m/>
    <n v="2"/>
    <n v="2"/>
    <m/>
    <s v="WT -DELTAS"/>
  </r>
  <r>
    <n v="129"/>
    <s v="C6/007"/>
    <s v="Nomfundo"/>
    <s v="Nzuza"/>
    <s v="Moroe"/>
    <x v="1"/>
    <x v="5"/>
    <x v="5"/>
    <x v="6"/>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x v="86"/>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x v="6"/>
    <x v="10"/>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x v="87"/>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x v="0"/>
    <x v="5"/>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x v="88"/>
    <x v="0"/>
    <n v="40"/>
    <n v="32"/>
    <m/>
    <n v="2"/>
    <n v="3"/>
    <n v="0"/>
    <n v="0"/>
    <n v="0"/>
    <n v="0"/>
    <n v="0"/>
    <s v="No"/>
    <n v="0"/>
    <m/>
    <m/>
    <m/>
    <m/>
    <s v="No"/>
    <m/>
    <m/>
    <n v="1"/>
    <n v="2"/>
    <m/>
    <s v="SIDA"/>
  </r>
  <r>
    <n v="132"/>
    <s v="C6/010"/>
    <s v="Justin"/>
    <m/>
    <s v="Kumala"/>
    <x v="0"/>
    <x v="5"/>
    <x v="3"/>
    <x v="3"/>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x v="89"/>
    <x v="0"/>
    <n v="105"/>
    <n v="97"/>
    <s v="The effect of insecticide resistance on Malaria vector control in Chikwawa, Southern Malawi"/>
    <n v="0"/>
    <n v="2"/>
    <n v="0"/>
    <n v="0"/>
    <n v="0"/>
    <n v="0"/>
    <n v="0"/>
    <s v="No"/>
    <n v="0"/>
    <m/>
    <m/>
    <m/>
    <m/>
    <s v="No"/>
    <m/>
    <m/>
    <n v="0"/>
    <s v="NF"/>
    <m/>
    <s v="WT-DELTAS"/>
  </r>
  <r>
    <n v="133"/>
    <s v="C6/011"/>
    <s v="Joan"/>
    <s v="Nankya"/>
    <s v="Mutyoba"/>
    <x v="1"/>
    <x v="5"/>
    <x v="6"/>
    <x v="10"/>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x v="87"/>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x v="0"/>
    <x v="0"/>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x v="90"/>
    <x v="0"/>
    <n v="39"/>
    <n v="30"/>
    <m/>
    <n v="1"/>
    <n v="3"/>
    <n v="14"/>
    <n v="1"/>
    <n v="0"/>
    <n v="0"/>
    <n v="0"/>
    <s v="No"/>
    <n v="0"/>
    <m/>
    <m/>
    <m/>
    <m/>
    <s v="No"/>
    <m/>
    <m/>
    <n v="0"/>
    <n v="0"/>
    <m/>
    <s v="SIDA"/>
  </r>
  <r>
    <n v="135"/>
    <s v="C6/013"/>
    <s v="Taofeek"/>
    <s v="Kolawole"/>
    <s v="Aliyu"/>
    <x v="0"/>
    <x v="5"/>
    <x v="0"/>
    <x v="5"/>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x v="91"/>
    <x v="0"/>
    <n v="42"/>
    <n v="33"/>
    <m/>
    <n v="0"/>
    <n v="0"/>
    <n v="0"/>
    <n v="0"/>
    <n v="0"/>
    <n v="0"/>
    <n v="0"/>
    <s v="No"/>
    <n v="0"/>
    <m/>
    <m/>
    <m/>
    <m/>
    <s v="No"/>
    <m/>
    <m/>
    <n v="2"/>
    <n v="2"/>
    <m/>
    <s v="WT-DELTAS"/>
  </r>
  <r>
    <n v="136"/>
    <s v="C6/014"/>
    <s v="Khumbo"/>
    <s v="Michael"/>
    <s v="Kalulu"/>
    <x v="0"/>
    <x v="5"/>
    <x v="3"/>
    <x v="3"/>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x v="92"/>
    <x v="0"/>
    <n v="50"/>
    <n v="42"/>
    <m/>
    <n v="3"/>
    <n v="2"/>
    <n v="2"/>
    <n v="1"/>
    <n v="0"/>
    <n v="0"/>
    <n v="0"/>
    <s v="No"/>
    <n v="0"/>
    <m/>
    <m/>
    <m/>
    <m/>
    <s v="No"/>
    <m/>
    <m/>
    <n v="2"/>
    <n v="2"/>
    <m/>
    <s v="WT-DELTAS"/>
  </r>
  <r>
    <n v="137"/>
    <s v="C6/015"/>
    <s v="Mumuni"/>
    <m/>
    <s v="Adejumo"/>
    <x v="0"/>
    <x v="5"/>
    <x v="0"/>
    <x v="0"/>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x v="93"/>
    <x v="0"/>
    <n v="67"/>
    <n v="59"/>
    <m/>
    <n v="2"/>
    <n v="4"/>
    <n v="0"/>
    <n v="1"/>
    <n v="1"/>
    <n v="0"/>
    <n v="0"/>
    <s v="No"/>
    <n v="0"/>
    <m/>
    <m/>
    <m/>
    <m/>
    <s v="No"/>
    <m/>
    <m/>
    <n v="1"/>
    <n v="2"/>
    <m/>
    <s v="WT-DELTAS"/>
  </r>
  <r>
    <n v="138"/>
    <s v="C6/016"/>
    <s v="Macellina"/>
    <s v="Yinyinade"/>
    <s v="Ijadunola"/>
    <x v="1"/>
    <x v="5"/>
    <x v="0"/>
    <x v="5"/>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x v="94"/>
    <x v="0"/>
    <n v="46"/>
    <n v="38"/>
    <m/>
    <n v="11"/>
    <n v="7"/>
    <n v="5"/>
    <n v="0"/>
    <n v="1"/>
    <n v="0"/>
    <n v="0"/>
    <s v="No"/>
    <n v="0"/>
    <m/>
    <m/>
    <m/>
    <m/>
    <s v="No"/>
    <m/>
    <m/>
    <n v="3"/>
    <n v="3"/>
    <m/>
    <s v="WT-DELTAS"/>
  </r>
  <r>
    <n v="139"/>
    <s v="C6/017"/>
    <s v="Marie Chantal"/>
    <m/>
    <s v="Uwimana"/>
    <x v="1"/>
    <x v="5"/>
    <x v="1"/>
    <x v="1"/>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x v="95"/>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x v="2"/>
    <x v="7"/>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x v="29"/>
    <x v="0"/>
    <n v="46"/>
    <n v="38"/>
    <m/>
    <n v="11"/>
    <n v="3"/>
    <n v="5"/>
    <n v="2"/>
    <n v="0"/>
    <n v="0"/>
    <n v="0"/>
    <s v="No"/>
    <n v="0"/>
    <m/>
    <m/>
    <m/>
    <m/>
    <s v="No"/>
    <m/>
    <m/>
    <n v="3"/>
    <n v="3"/>
    <m/>
    <s v="SIDA"/>
  </r>
  <r>
    <n v="141"/>
    <s v="C6/019"/>
    <s v="Makhosazane"/>
    <s v="Nomhle"/>
    <s v="Khoza"/>
    <x v="1"/>
    <x v="5"/>
    <x v="5"/>
    <x v="6"/>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x v="96"/>
    <x v="0"/>
    <n v="76"/>
    <n v="67"/>
    <s v="Exploring the social consequences of cash transfers on adolescent recipients and their relationships"/>
    <n v="0"/>
    <n v="18"/>
    <n v="0"/>
    <n v="1"/>
    <n v="0"/>
    <n v="0"/>
    <n v="0"/>
    <s v="No"/>
    <n v="0"/>
    <m/>
    <m/>
    <m/>
    <m/>
    <s v="No"/>
    <m/>
    <m/>
    <n v="3"/>
    <n v="3"/>
    <m/>
    <s v="SIDA"/>
  </r>
  <r>
    <n v="142"/>
    <s v="C6/020"/>
    <s v="Aanuoluwapo"/>
    <s v="Omobolanle"/>
    <s v="Olajubu"/>
    <x v="1"/>
    <x v="5"/>
    <x v="0"/>
    <x v="5"/>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x v="97"/>
    <x v="0"/>
    <n v="29"/>
    <n v="20"/>
    <m/>
    <n v="2"/>
    <n v="1"/>
    <n v="8"/>
    <n v="3"/>
    <n v="0"/>
    <n v="0"/>
    <n v="0"/>
    <s v="No"/>
    <n v="0"/>
    <m/>
    <m/>
    <m/>
    <m/>
    <s v="No"/>
    <m/>
    <m/>
    <n v="1"/>
    <n v="1"/>
    <m/>
    <s v="SIDA"/>
  </r>
  <r>
    <n v="143"/>
    <s v="C6/021"/>
    <s v="Olivia"/>
    <s v="Millicent Awino"/>
    <s v="Osiro"/>
    <x v="1"/>
    <x v="5"/>
    <x v="2"/>
    <x v="7"/>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x v="98"/>
    <x v="0"/>
    <n v="45"/>
    <n v="37"/>
    <m/>
    <n v="2"/>
    <n v="2"/>
    <n v="2"/>
    <n v="4"/>
    <n v="0"/>
    <n v="0"/>
    <n v="0"/>
    <s v="JAS 1, 2016"/>
    <n v="0"/>
    <m/>
    <m/>
    <m/>
    <m/>
    <s v="No"/>
    <m/>
    <m/>
    <n v="2"/>
    <n v="2"/>
    <m/>
    <s v="SIDA/DAAD"/>
  </r>
  <r>
    <n v="144"/>
    <s v="C6/022"/>
    <s v="Olutoyin"/>
    <s v="Olubunmi"/>
    <s v="Sekoni"/>
    <x v="1"/>
    <x v="5"/>
    <x v="0"/>
    <x v="0"/>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x v="99"/>
    <x v="0"/>
    <n v="89"/>
    <n v="80"/>
    <m/>
    <n v="3"/>
    <n v="9"/>
    <n v="0"/>
    <n v="2"/>
    <n v="0"/>
    <n v="0"/>
    <n v="0"/>
    <s v="No"/>
    <n v="0"/>
    <m/>
    <m/>
    <m/>
    <m/>
    <s v="No"/>
    <m/>
    <m/>
    <n v="2"/>
    <m/>
    <m/>
    <s v="SIDA"/>
  </r>
  <r>
    <n v="145"/>
    <s v="C6/023"/>
    <s v="Mpho"/>
    <s v="Primrose"/>
    <s v="Molete"/>
    <x v="1"/>
    <x v="5"/>
    <x v="5"/>
    <x v="6"/>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x v="100"/>
    <x v="0"/>
    <n v="63"/>
    <n v="54"/>
    <s v="School-based oral health programmes in the Tshwane District of Gauteng: scope, implementation and outcomes.'"/>
    <n v="2"/>
    <n v="6"/>
    <n v="1"/>
    <n v="3"/>
    <n v="1"/>
    <n v="0"/>
    <n v="0"/>
    <s v="No"/>
    <n v="0"/>
    <m/>
    <m/>
    <m/>
    <m/>
    <s v="No"/>
    <m/>
    <m/>
    <n v="2"/>
    <n v="2"/>
    <m/>
    <s v="SIDA"/>
  </r>
  <r>
    <n v="146"/>
    <s v="C6/024"/>
    <s v="Tutu"/>
    <s v="Said"/>
    <s v="Mzee"/>
    <x v="1"/>
    <x v="5"/>
    <x v="4"/>
    <x v="4"/>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x v="101"/>
    <x v="0"/>
    <n v="100"/>
    <n v="91"/>
    <m/>
    <n v="2"/>
    <n v="1"/>
    <n v="0"/>
    <n v="0"/>
    <n v="0"/>
    <n v="0"/>
    <n v="0"/>
    <s v="JAS 1, 2016"/>
    <n v="0"/>
    <m/>
    <m/>
    <m/>
    <m/>
    <s v="No"/>
    <m/>
    <m/>
    <m/>
    <m/>
    <m/>
    <s v="WT-DELTAS"/>
  </r>
  <r>
    <n v="147"/>
    <s v="C6/025"/>
    <s v="Edwin"/>
    <s v="Kipkosgei"/>
    <s v="Cheruiyot Sang"/>
    <x v="0"/>
    <x v="5"/>
    <x v="2"/>
    <x v="2"/>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x v="19"/>
    <x v="1"/>
    <s v="Terminated"/>
    <m/>
    <m/>
    <m/>
    <m/>
    <m/>
    <m/>
    <m/>
    <m/>
    <m/>
    <s v="No"/>
    <m/>
    <m/>
    <m/>
    <m/>
    <m/>
    <m/>
    <m/>
    <m/>
    <m/>
    <m/>
    <m/>
    <s v="WT-DELTAS"/>
  </r>
  <r>
    <n v="148"/>
    <s v="C7/001"/>
    <s v="Abigail"/>
    <s v="Ruth"/>
    <s v="Dreyer"/>
    <x v="1"/>
    <x v="6"/>
    <x v="5"/>
    <x v="6"/>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x v="102"/>
    <x v="0"/>
    <n v="101"/>
    <n v="93"/>
    <s v="A comparative study of decentralised training platforms in undergraduate medical education at four South African universities"/>
    <n v="2"/>
    <n v="3"/>
    <m/>
    <m/>
    <m/>
    <m/>
    <m/>
    <s v="No"/>
    <s v="No"/>
    <m/>
    <m/>
    <m/>
    <m/>
    <s v="No"/>
    <m/>
    <m/>
    <n v="1"/>
    <m/>
    <m/>
    <s v="WT-DELTAS"/>
  </r>
  <r>
    <n v="149"/>
    <s v="C7/002"/>
    <s v="Alexander"/>
    <s v="-"/>
    <s v="Kagaha"/>
    <x v="0"/>
    <x v="6"/>
    <x v="6"/>
    <x v="10"/>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x v="103"/>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x v="0"/>
    <x v="5"/>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x v="94"/>
    <x v="0"/>
    <n v="34"/>
    <n v="26"/>
    <m/>
    <n v="0"/>
    <n v="1"/>
    <n v="2"/>
    <m/>
    <m/>
    <m/>
    <m/>
    <s v="No"/>
    <s v="No"/>
    <m/>
    <m/>
    <m/>
    <m/>
    <s v="No"/>
    <m/>
    <m/>
    <n v="3"/>
    <n v="3"/>
    <m/>
    <s v="WT-DELTAS"/>
  </r>
  <r>
    <n v="151"/>
    <s v="C7/004"/>
    <s v="Blessings"/>
    <s v="Nyasilia Kaunda"/>
    <s v="Kaunda-Khangamwa"/>
    <x v="1"/>
    <x v="6"/>
    <x v="3"/>
    <x v="3"/>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x v="103"/>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x v="1"/>
    <x v="1"/>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x v="104"/>
    <x v="0"/>
    <m/>
    <n v="74"/>
    <m/>
    <m/>
    <m/>
    <m/>
    <m/>
    <m/>
    <m/>
    <m/>
    <s v="No"/>
    <m/>
    <m/>
    <m/>
    <m/>
    <m/>
    <m/>
    <m/>
    <m/>
    <n v="3"/>
    <m/>
    <m/>
    <s v="WT-DELTAS/DAAD"/>
  </r>
  <r>
    <n v="153"/>
    <s v="C7/006"/>
    <s v="Catherine"/>
    <s v="Mawia"/>
    <s v="Musyoka"/>
    <x v="1"/>
    <x v="6"/>
    <x v="2"/>
    <x v="7"/>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x v="105"/>
    <x v="0"/>
    <n v="56"/>
    <n v="47"/>
    <m/>
    <n v="0"/>
    <n v="2"/>
    <n v="0"/>
    <m/>
    <m/>
    <m/>
    <m/>
    <s v="No"/>
    <s v="No"/>
    <m/>
    <m/>
    <m/>
    <m/>
    <s v="No"/>
    <m/>
    <m/>
    <n v="5"/>
    <n v="5"/>
    <m/>
    <s v="WT-DELTAS/DAAD"/>
  </r>
  <r>
    <n v="154"/>
    <s v="C7/007"/>
    <s v="Eniola"/>
    <s v="Olubukola"/>
    <s v="Cadmus"/>
    <x v="1"/>
    <x v="6"/>
    <x v="0"/>
    <x v="0"/>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x v="106"/>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x v="3"/>
    <x v="3"/>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x v="107"/>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x v="3"/>
    <x v="3"/>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x v="108"/>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x v="2"/>
    <x v="7"/>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x v="19"/>
    <x v="1"/>
    <s v="Terminated"/>
    <m/>
    <m/>
    <m/>
    <m/>
    <m/>
    <m/>
    <m/>
    <m/>
    <m/>
    <s v="No"/>
    <m/>
    <m/>
    <m/>
    <m/>
    <m/>
    <m/>
    <m/>
    <m/>
    <m/>
    <m/>
    <m/>
    <s v="WT-DELTAS"/>
  </r>
  <r>
    <n v="158"/>
    <s v="C7/011"/>
    <s v="Felishana"/>
    <s v="Jepkosgei"/>
    <s v="Cherop"/>
    <x v="1"/>
    <x v="6"/>
    <x v="2"/>
    <x v="2"/>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x v="109"/>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x v="0"/>
    <x v="0"/>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x v="110"/>
    <x v="0"/>
    <n v="55"/>
    <n v="47"/>
    <m/>
    <n v="12"/>
    <n v="14"/>
    <n v="8"/>
    <m/>
    <m/>
    <m/>
    <m/>
    <s v="No"/>
    <s v="No"/>
    <m/>
    <d v="2020-09-03T00:00:00"/>
    <d v="2021-04-01T00:00:00"/>
    <n v="7"/>
    <s v="No"/>
    <m/>
    <m/>
    <n v="4"/>
    <n v="4"/>
    <m/>
    <s v="WT-DELTAS"/>
  </r>
  <r>
    <n v="160"/>
    <s v="C7/013"/>
    <s v="Funmilola"/>
    <s v="Folasade"/>
    <s v="Oyinlola"/>
    <x v="1"/>
    <x v="6"/>
    <x v="0"/>
    <x v="5"/>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x v="111"/>
    <x v="0"/>
    <n v="33"/>
    <n v="25"/>
    <m/>
    <n v="0"/>
    <n v="0"/>
    <n v="2"/>
    <m/>
    <m/>
    <m/>
    <m/>
    <s v="JAS1, 2017"/>
    <s v="No"/>
    <m/>
    <m/>
    <m/>
    <m/>
    <s v="No"/>
    <m/>
    <m/>
    <n v="2"/>
    <n v="2"/>
    <m/>
    <s v="WT-DELTAS"/>
  </r>
  <r>
    <n v="161"/>
    <s v="C7/014"/>
    <s v="Justus"/>
    <s v="Khashmottoh"/>
    <s v="Musasiah"/>
    <x v="0"/>
    <x v="6"/>
    <x v="2"/>
    <x v="11"/>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x v="19"/>
    <x v="1"/>
    <s v="Terminated"/>
    <m/>
    <m/>
    <m/>
    <m/>
    <m/>
    <m/>
    <m/>
    <m/>
    <m/>
    <s v="No"/>
    <m/>
    <m/>
    <m/>
    <m/>
    <m/>
    <m/>
    <m/>
    <m/>
    <m/>
    <m/>
    <m/>
    <s v="SIDA"/>
  </r>
  <r>
    <n v="162"/>
    <s v="C7/015"/>
    <s v="Judith"/>
    <s v="Reegan Mulubwa"/>
    <s v="Mwansa-Kambafwile"/>
    <x v="1"/>
    <x v="6"/>
    <x v="5"/>
    <x v="6"/>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x v="112"/>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x v="2"/>
    <x v="7"/>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x v="113"/>
    <x v="0"/>
    <n v="79"/>
    <n v="71"/>
    <s v="Investigation of contamination of community groundwater sources with antibiotics in informal settlements in Kisumu, Kenya"/>
    <m/>
    <m/>
    <m/>
    <m/>
    <m/>
    <m/>
    <m/>
    <s v="JAS 3&amp;4, 2021"/>
    <m/>
    <m/>
    <m/>
    <m/>
    <m/>
    <m/>
    <m/>
    <m/>
    <n v="1"/>
    <m/>
    <m/>
    <s v="SIDA/DAAD"/>
  </r>
  <r>
    <n v="164"/>
    <s v="C7/017"/>
    <s v="Marceline"/>
    <s v="Francis"/>
    <s v="Finda"/>
    <x v="1"/>
    <x v="6"/>
    <x v="4"/>
    <x v="4"/>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x v="114"/>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x v="3"/>
    <x v="3"/>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x v="115"/>
    <x v="0"/>
    <n v="93"/>
    <n v="84"/>
    <s v="The Assessment of Patient-centered Care among diabetic patients in Southern Malawi"/>
    <n v="0"/>
    <n v="13"/>
    <n v="0"/>
    <m/>
    <m/>
    <m/>
    <m/>
    <s v="No"/>
    <s v="No"/>
    <m/>
    <m/>
    <m/>
    <m/>
    <s v="No"/>
    <m/>
    <m/>
    <n v="2"/>
    <m/>
    <m/>
    <s v="SIDA"/>
  </r>
  <r>
    <n v="166"/>
    <s v="C7/019"/>
    <s v="Marie Claire"/>
    <s v="-"/>
    <s v="Uwamahoro"/>
    <x v="1"/>
    <x v="6"/>
    <x v="1"/>
    <x v="1"/>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x v="116"/>
    <x v="0"/>
    <n v="52"/>
    <n v="43"/>
    <m/>
    <m/>
    <m/>
    <m/>
    <m/>
    <m/>
    <m/>
    <m/>
    <s v="No"/>
    <m/>
    <m/>
    <d v="2020-04-09T00:00:00"/>
    <d v="2020-07-23T00:00:00"/>
    <n v="4"/>
    <m/>
    <m/>
    <m/>
    <n v="3"/>
    <n v="3"/>
    <m/>
    <s v="SIDA"/>
  </r>
  <r>
    <n v="167"/>
    <s v="C7/020"/>
    <s v="Nishimwe"/>
    <s v="Aurore"/>
    <s v="Aurore"/>
    <x v="1"/>
    <x v="6"/>
    <x v="1"/>
    <x v="1"/>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x v="117"/>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x v="0"/>
    <x v="5"/>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x v="94"/>
    <x v="0"/>
    <n v="34"/>
    <n v="26"/>
    <m/>
    <n v="0"/>
    <n v="0"/>
    <n v="3"/>
    <m/>
    <m/>
    <m/>
    <m/>
    <s v="No"/>
    <s v="No"/>
    <m/>
    <m/>
    <m/>
    <m/>
    <s v="No"/>
    <m/>
    <m/>
    <n v="1"/>
    <n v="3"/>
    <m/>
    <s v="SIDA"/>
  </r>
  <r>
    <n v="169"/>
    <s v="C7/022"/>
    <s v="Olufunmilola"/>
    <s v="Onabanjo"/>
    <s v="Ogun"/>
    <x v="1"/>
    <x v="6"/>
    <x v="0"/>
    <x v="0"/>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x v="118"/>
    <x v="0"/>
    <n v="58"/>
    <n v="50"/>
    <m/>
    <n v="17"/>
    <n v="2"/>
    <n v="0"/>
    <m/>
    <m/>
    <m/>
    <m/>
    <s v="No"/>
    <m/>
    <m/>
    <d v="2020-09-01T00:00:00"/>
    <d v="2021-05-01T00:00:00"/>
    <n v="9"/>
    <m/>
    <m/>
    <m/>
    <n v="3"/>
    <n v="3"/>
    <m/>
    <s v="SIDA"/>
  </r>
  <r>
    <n v="170"/>
    <s v="C7/023"/>
    <s v="Oluseye"/>
    <s v="Ademola"/>
    <s v="Okunola"/>
    <x v="0"/>
    <x v="6"/>
    <x v="0"/>
    <x v="5"/>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x v="119"/>
    <x v="0"/>
    <n v="54"/>
    <n v="45"/>
    <s v="Sociological Analysis of Self-medication practices in the care of Under-five Children by Caregivers in Southwestern Nigeria."/>
    <n v="0"/>
    <n v="1"/>
    <n v="0"/>
    <m/>
    <m/>
    <m/>
    <m/>
    <s v="No"/>
    <m/>
    <m/>
    <m/>
    <m/>
    <m/>
    <m/>
    <m/>
    <m/>
    <m/>
    <m/>
    <m/>
    <s v="SIDA"/>
  </r>
  <r>
    <n v="171"/>
    <s v="C7/024"/>
    <s v="Olusola"/>
    <s v="Oluyinka"/>
    <s v="Olawoye"/>
    <x v="1"/>
    <x v="6"/>
    <x v="0"/>
    <x v="0"/>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x v="120"/>
    <x v="0"/>
    <n v="53"/>
    <n v="45"/>
    <m/>
    <n v="14"/>
    <n v="13"/>
    <n v="5"/>
    <m/>
    <m/>
    <m/>
    <m/>
    <s v="No"/>
    <m/>
    <m/>
    <d v="2020-09-03T00:00:00"/>
    <d v="2021-06-01T00:00:00"/>
    <n v="9"/>
    <m/>
    <m/>
    <m/>
    <n v="4"/>
    <n v="4"/>
    <m/>
    <s v="SIDA"/>
  </r>
  <r>
    <n v="172"/>
    <s v="C7/025"/>
    <s v="Stevens"/>
    <s v="M.B"/>
    <s v="Kisaka"/>
    <x v="0"/>
    <x v="6"/>
    <x v="6"/>
    <x v="10"/>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x v="121"/>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x v="5"/>
    <x v="6"/>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x v="122"/>
    <x v="0"/>
    <n v="57"/>
    <n v="49"/>
    <s v="Prevention care of secondary health conditions among people living with spinal cord injuries in the Tshwane Metropolitan area"/>
    <n v="0"/>
    <n v="7"/>
    <n v="3"/>
    <m/>
    <m/>
    <m/>
    <m/>
    <s v="No"/>
    <m/>
    <m/>
    <m/>
    <m/>
    <m/>
    <m/>
    <m/>
    <m/>
    <n v="3"/>
    <n v="3"/>
    <m/>
    <s v="SIDA"/>
  </r>
  <r>
    <n v="174"/>
    <s v="C7/027"/>
    <s v="Gad"/>
    <m/>
    <s v="Rutayisire"/>
    <x v="0"/>
    <x v="6"/>
    <x v="1"/>
    <x v="1"/>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x v="19"/>
    <x v="1"/>
    <s v="Terminated"/>
    <m/>
    <m/>
    <m/>
    <m/>
    <m/>
    <m/>
    <m/>
    <m/>
    <m/>
    <s v="No"/>
    <m/>
    <m/>
    <m/>
    <m/>
    <m/>
    <m/>
    <m/>
    <m/>
    <m/>
    <m/>
    <m/>
    <s v="WT-DELTAS"/>
  </r>
  <r>
    <n v="175"/>
    <s v="C8/001"/>
    <s v="Lindiwe"/>
    <m/>
    <s v="Farlane"/>
    <x v="1"/>
    <x v="7"/>
    <x v="5"/>
    <x v="6"/>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x v="123"/>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x v="0"/>
    <x v="5"/>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x v="124"/>
    <x v="0"/>
    <n v="51"/>
    <n v="43"/>
    <m/>
    <n v="9"/>
    <n v="7"/>
    <n v="2"/>
    <m/>
    <m/>
    <m/>
    <m/>
    <s v="No"/>
    <m/>
    <m/>
    <m/>
    <m/>
    <m/>
    <m/>
    <m/>
    <m/>
    <n v="2"/>
    <n v="3"/>
    <m/>
    <s v="WT-DELTAS"/>
  </r>
  <r>
    <n v="177"/>
    <s v="C8/003"/>
    <s v="Jean de Dieu"/>
    <m/>
    <s v="Habimana"/>
    <x v="0"/>
    <x v="7"/>
    <x v="1"/>
    <x v="1"/>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x v="19"/>
    <x v="2"/>
    <m/>
    <m/>
    <m/>
    <m/>
    <m/>
    <m/>
    <m/>
    <m/>
    <m/>
    <m/>
    <s v="No"/>
    <s v="No"/>
    <m/>
    <m/>
    <m/>
    <m/>
    <s v="No"/>
    <m/>
    <m/>
    <n v="1"/>
    <m/>
    <m/>
    <s v="SIDA"/>
  </r>
  <r>
    <n v="178"/>
    <s v="C8/004"/>
    <s v="Julienne"/>
    <m/>
    <s v="Murererehe"/>
    <x v="1"/>
    <x v="7"/>
    <x v="1"/>
    <x v="1"/>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x v="125"/>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x v="0"/>
    <x v="5"/>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x v="80"/>
    <x v="0"/>
    <n v="43"/>
    <n v="35"/>
    <m/>
    <n v="0"/>
    <n v="3"/>
    <n v="3"/>
    <m/>
    <m/>
    <m/>
    <m/>
    <s v="No"/>
    <s v="No"/>
    <m/>
    <m/>
    <m/>
    <m/>
    <s v="Yes"/>
    <n v="43891"/>
    <n v="44012"/>
    <n v="2"/>
    <n v="3"/>
    <m/>
    <s v="SIDA"/>
  </r>
  <r>
    <n v="180"/>
    <s v="C8/006"/>
    <s v="Doris"/>
    <m/>
    <s v="Kwesiga"/>
    <x v="1"/>
    <x v="7"/>
    <x v="6"/>
    <x v="10"/>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x v="19"/>
    <x v="1"/>
    <s v="Terminated"/>
    <m/>
    <m/>
    <n v="3"/>
    <m/>
    <m/>
    <m/>
    <m/>
    <m/>
    <m/>
    <s v="No"/>
    <m/>
    <m/>
    <m/>
    <m/>
    <m/>
    <m/>
    <m/>
    <m/>
    <n v="2"/>
    <m/>
    <m/>
    <s v="SIDA"/>
  </r>
  <r>
    <n v="181"/>
    <s v="C8/007"/>
    <s v="Samuel"/>
    <s v="Waweru"/>
    <s v="Mwaniki"/>
    <x v="0"/>
    <x v="7"/>
    <x v="2"/>
    <x v="7"/>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x v="126"/>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x v="2"/>
    <x v="7"/>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x v="127"/>
    <x v="0"/>
    <n v="50"/>
    <n v="42"/>
    <m/>
    <n v="1"/>
    <n v="2"/>
    <n v="0"/>
    <m/>
    <m/>
    <m/>
    <m/>
    <s v="No"/>
    <m/>
    <m/>
    <m/>
    <m/>
    <m/>
    <m/>
    <m/>
    <m/>
    <n v="2"/>
    <m/>
    <m/>
    <s v="WT-DELTAS"/>
  </r>
  <r>
    <n v="183"/>
    <s v="C8/009"/>
    <s v="Siphamandla"/>
    <s v="Bonga"/>
    <s v="Gumede"/>
    <x v="0"/>
    <x v="7"/>
    <x v="5"/>
    <x v="6"/>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x v="89"/>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x v="0"/>
    <x v="0"/>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x v="128"/>
    <x v="0"/>
    <n v="49"/>
    <n v="41"/>
    <m/>
    <n v="1"/>
    <n v="0"/>
    <n v="1"/>
    <m/>
    <m/>
    <m/>
    <m/>
    <s v="No"/>
    <s v="No"/>
    <m/>
    <m/>
    <m/>
    <m/>
    <s v="No"/>
    <m/>
    <m/>
    <n v="3"/>
    <n v="3"/>
    <m/>
    <s v="SIDA"/>
  </r>
  <r>
    <n v="185"/>
    <s v="C8/011"/>
    <s v="Angella"/>
    <m/>
    <s v="Musewa"/>
    <x v="1"/>
    <x v="7"/>
    <x v="6"/>
    <x v="10"/>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x v="19"/>
    <x v="2"/>
    <m/>
    <m/>
    <m/>
    <n v="1"/>
    <n v="6"/>
    <n v="0"/>
    <m/>
    <m/>
    <m/>
    <m/>
    <s v="JAS 3&amp;4, 2021"/>
    <s v="No"/>
    <m/>
    <m/>
    <m/>
    <m/>
    <s v="No"/>
    <m/>
    <m/>
    <n v="0"/>
    <m/>
    <m/>
    <s v="SIDA"/>
  </r>
  <r>
    <n v="186"/>
    <s v="C8/012"/>
    <s v="Robert"/>
    <m/>
    <s v="Rutayisire"/>
    <x v="0"/>
    <x v="7"/>
    <x v="1"/>
    <x v="1"/>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x v="19"/>
    <x v="2"/>
    <m/>
    <m/>
    <m/>
    <n v="1"/>
    <n v="6"/>
    <n v="0"/>
    <m/>
    <m/>
    <m/>
    <m/>
    <s v="No"/>
    <m/>
    <m/>
    <m/>
    <m/>
    <m/>
    <m/>
    <m/>
    <m/>
    <n v="1"/>
    <m/>
    <m/>
    <s v="SIDA"/>
  </r>
  <r>
    <n v="187"/>
    <s v="C8/013"/>
    <s v="Getrude"/>
    <s v="Shepelo"/>
    <s v="Peter"/>
    <x v="1"/>
    <x v="7"/>
    <x v="2"/>
    <x v="7"/>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x v="75"/>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x v="3"/>
    <x v="3"/>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x v="129"/>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x v="0"/>
    <x v="5"/>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x v="130"/>
    <x v="0"/>
    <n v="58"/>
    <n v="50"/>
    <s v="Improving readiness for change to respectful maternity care practice in public health facilities, Ibadan, Nigeria"/>
    <n v="5"/>
    <n v="5"/>
    <n v="0"/>
    <m/>
    <m/>
    <m/>
    <m/>
    <s v="No"/>
    <m/>
    <m/>
    <m/>
    <m/>
    <m/>
    <m/>
    <m/>
    <m/>
    <n v="3"/>
    <m/>
    <m/>
    <s v="WT-DELTAS"/>
  </r>
  <r>
    <n v="190"/>
    <s v="C8/016"/>
    <s v="Folashayo"/>
    <s v="Ikenna Peter"/>
    <s v="Adeniji"/>
    <x v="0"/>
    <x v="7"/>
    <x v="0"/>
    <x v="0"/>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x v="131"/>
    <x v="0"/>
    <n v="42"/>
    <n v="34"/>
    <m/>
    <n v="3"/>
    <n v="3"/>
    <n v="2"/>
    <m/>
    <m/>
    <m/>
    <m/>
    <s v="No"/>
    <m/>
    <m/>
    <m/>
    <m/>
    <m/>
    <m/>
    <m/>
    <m/>
    <n v="3"/>
    <n v="3"/>
    <m/>
    <s v="WT-DELTAS"/>
  </r>
  <r>
    <n v="191"/>
    <s v="C8/017"/>
    <s v="Lebogang"/>
    <s v="Johanna"/>
    <s v="Maseko"/>
    <x v="1"/>
    <x v="7"/>
    <x v="5"/>
    <x v="6"/>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x v="89"/>
    <x v="0"/>
    <n v="81"/>
    <n v="73"/>
    <s v="Integrating rehabilitation services at primary healthcare level in Johannesburg, South Africa"/>
    <n v="2"/>
    <m/>
    <m/>
    <m/>
    <m/>
    <m/>
    <m/>
    <s v="No"/>
    <s v="No"/>
    <m/>
    <m/>
    <m/>
    <m/>
    <s v="No"/>
    <m/>
    <m/>
    <n v="2"/>
    <m/>
    <m/>
    <s v="SIDA"/>
  </r>
  <r>
    <n v="192"/>
    <s v="C8/018"/>
    <s v="Anne"/>
    <s v="Njeri"/>
    <s v="Maina"/>
    <x v="1"/>
    <x v="7"/>
    <x v="2"/>
    <x v="7"/>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x v="19"/>
    <x v="2"/>
    <m/>
    <m/>
    <m/>
    <n v="1"/>
    <n v="3"/>
    <n v="0"/>
    <m/>
    <m/>
    <m/>
    <m/>
    <s v="No"/>
    <s v="No"/>
    <m/>
    <m/>
    <m/>
    <m/>
    <s v="No"/>
    <m/>
    <m/>
    <n v="3"/>
    <m/>
    <m/>
    <s v="WT-DELTAS"/>
  </r>
  <r>
    <n v="193"/>
    <s v="C8/019"/>
    <s v="Oyeyemi"/>
    <s v="Olajumoke"/>
    <s v="Oyelade"/>
    <x v="1"/>
    <x v="7"/>
    <x v="0"/>
    <x v="5"/>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x v="132"/>
    <x v="0"/>
    <n v="52"/>
    <n v="44"/>
    <s v="“An Exploration into Mealtimes for Families of Children with Autism Spectrum Disorders in South Africa.”"/>
    <n v="2"/>
    <n v="5"/>
    <n v="2"/>
    <m/>
    <m/>
    <m/>
    <m/>
    <s v="No"/>
    <m/>
    <m/>
    <m/>
    <m/>
    <m/>
    <m/>
    <m/>
    <m/>
    <n v="2"/>
    <m/>
    <m/>
    <s v="WT-DELTAS"/>
  </r>
  <r>
    <n v="194"/>
    <s v="C8/020"/>
    <s v="Faustin"/>
    <m/>
    <s v="Ntirenganya"/>
    <x v="0"/>
    <x v="7"/>
    <x v="1"/>
    <x v="1"/>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x v="133"/>
    <x v="0"/>
    <m/>
    <m/>
    <m/>
    <n v="9"/>
    <n v="57"/>
    <n v="0"/>
    <m/>
    <m/>
    <m/>
    <m/>
    <s v="No"/>
    <s v="No"/>
    <m/>
    <m/>
    <m/>
    <m/>
    <s v="No"/>
    <m/>
    <m/>
    <n v="2"/>
    <m/>
    <m/>
    <s v="WT-DELTAS"/>
  </r>
  <r>
    <n v="195"/>
    <s v="C8/021"/>
    <s v="Foluso"/>
    <s v="Ayobami"/>
    <s v="Atiba"/>
    <x v="1"/>
    <x v="7"/>
    <x v="0"/>
    <x v="0"/>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x v="134"/>
    <x v="0"/>
    <n v="77"/>
    <n v="69"/>
    <s v="Effects of aqueous extract of kolanut (Cola nitida) on Sprague Dawley dams and exposure on the hippocampus of the progeny"/>
    <n v="1"/>
    <n v="5"/>
    <n v="0"/>
    <m/>
    <m/>
    <m/>
    <m/>
    <s v="No"/>
    <m/>
    <m/>
    <m/>
    <m/>
    <m/>
    <m/>
    <m/>
    <m/>
    <m/>
    <m/>
    <m/>
    <s v="WT-DELTAS"/>
  </r>
  <r>
    <n v="196"/>
    <s v="C8/022"/>
    <s v="Leo"/>
    <s v="Peter Lockie"/>
    <s v="Masamba"/>
    <x v="0"/>
    <x v="7"/>
    <x v="3"/>
    <x v="3"/>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x v="19"/>
    <x v="1"/>
    <m/>
    <m/>
    <m/>
    <n v="0"/>
    <m/>
    <m/>
    <m/>
    <m/>
    <m/>
    <m/>
    <s v="No"/>
    <m/>
    <m/>
    <m/>
    <m/>
    <m/>
    <m/>
    <m/>
    <m/>
    <m/>
    <m/>
    <m/>
    <s v="WT-DELTAS"/>
  </r>
  <r>
    <n v="197"/>
    <s v="C8/023"/>
    <s v="Florence"/>
    <s v="Basiimwa"/>
    <s v="Tushemerirwe"/>
    <x v="1"/>
    <x v="7"/>
    <x v="6"/>
    <x v="10"/>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x v="19"/>
    <x v="1"/>
    <m/>
    <m/>
    <m/>
    <n v="4"/>
    <m/>
    <m/>
    <m/>
    <m/>
    <m/>
    <m/>
    <s v="No"/>
    <m/>
    <m/>
    <m/>
    <m/>
    <m/>
    <m/>
    <m/>
    <m/>
    <m/>
    <m/>
    <m/>
    <s v="WT-DELTAS"/>
  </r>
  <r>
    <n v="198"/>
    <s v="C8/024"/>
    <s v="Oluwafemi"/>
    <s v="Akinyele"/>
    <s v="Popoola"/>
    <x v="0"/>
    <x v="7"/>
    <x v="0"/>
    <x v="0"/>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x v="19"/>
    <x v="2"/>
    <m/>
    <m/>
    <m/>
    <n v="5"/>
    <n v="12"/>
    <n v="0"/>
    <m/>
    <m/>
    <m/>
    <m/>
    <s v="No"/>
    <m/>
    <m/>
    <m/>
    <m/>
    <m/>
    <m/>
    <m/>
    <m/>
    <m/>
    <m/>
    <m/>
    <s v="WT-DELTAS"/>
  </r>
  <r>
    <n v="199"/>
    <s v="C8/025"/>
    <s v="Catherine"/>
    <m/>
    <s v="Kafu"/>
    <x v="1"/>
    <x v="7"/>
    <x v="2"/>
    <x v="2"/>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x v="135"/>
    <x v="0"/>
    <m/>
    <m/>
    <s v="Exploring media framing of abortion content on Kenyan Television: A focus on adolescents."/>
    <n v="1"/>
    <n v="8"/>
    <n v="0"/>
    <m/>
    <m/>
    <m/>
    <m/>
    <s v="No"/>
    <s v="No"/>
    <s v="N/A"/>
    <m/>
    <m/>
    <m/>
    <s v="No"/>
    <m/>
    <m/>
    <n v="1"/>
    <m/>
    <m/>
    <s v="SIDA"/>
  </r>
  <r>
    <n v="200"/>
    <s v="C8/026"/>
    <s v="Agnes"/>
    <s v="Jemuge"/>
    <s v="Maleyo"/>
    <x v="1"/>
    <x v="7"/>
    <x v="2"/>
    <x v="2"/>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x v="19"/>
    <x v="2"/>
    <m/>
    <m/>
    <m/>
    <n v="3"/>
    <m/>
    <m/>
    <m/>
    <m/>
    <m/>
    <m/>
    <s v="No"/>
    <m/>
    <m/>
    <m/>
    <m/>
    <m/>
    <m/>
    <m/>
    <m/>
    <m/>
    <m/>
    <m/>
    <s v="SIDA"/>
  </r>
  <r>
    <n v="201"/>
    <s v="C9/001"/>
    <s v="Ernest"/>
    <s v="Yamie"/>
    <s v="Moya"/>
    <x v="0"/>
    <x v="8"/>
    <x v="3"/>
    <x v="3"/>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x v="136"/>
    <x v="0"/>
    <n v="60"/>
    <n v="52"/>
    <m/>
    <n v="0"/>
    <n v="5"/>
    <m/>
    <m/>
    <m/>
    <m/>
    <m/>
    <s v="No"/>
    <m/>
    <m/>
    <m/>
    <m/>
    <m/>
    <m/>
    <m/>
    <m/>
    <n v="2"/>
    <m/>
    <m/>
    <s v="WT-DELTAS"/>
  </r>
  <r>
    <n v="202"/>
    <s v="C9/002"/>
    <s v="Olujide"/>
    <s v="Olusesan"/>
    <s v="Arije"/>
    <x v="0"/>
    <x v="8"/>
    <x v="0"/>
    <x v="5"/>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x v="137"/>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x v="5"/>
    <x v="6"/>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x v="117"/>
    <x v="0"/>
    <n v="44"/>
    <n v="36"/>
    <s v="An Exploration into Mealtimes for Families of Children with Autism Spectrum Disorders in South Africa."/>
    <n v="0"/>
    <n v="5"/>
    <m/>
    <m/>
    <m/>
    <m/>
    <m/>
    <s v="No"/>
    <m/>
    <m/>
    <m/>
    <m/>
    <m/>
    <m/>
    <m/>
    <m/>
    <n v="0"/>
    <m/>
    <m/>
    <s v="WT-DELTAS"/>
  </r>
  <r>
    <n v="204"/>
    <s v="C9/004"/>
    <s v="Noel"/>
    <m/>
    <s v="Korukire"/>
    <x v="0"/>
    <x v="8"/>
    <x v="1"/>
    <x v="1"/>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x v="138"/>
    <x v="0"/>
    <n v="79"/>
    <n v="71"/>
    <m/>
    <m/>
    <m/>
    <m/>
    <m/>
    <m/>
    <m/>
    <m/>
    <s v="No"/>
    <m/>
    <m/>
    <m/>
    <m/>
    <m/>
    <m/>
    <m/>
    <m/>
    <n v="2"/>
    <m/>
    <m/>
    <s v="WT-DELTAS"/>
  </r>
  <r>
    <n v="205"/>
    <s v="C9/005"/>
    <s v="Priscille"/>
    <m/>
    <s v="Musabirema"/>
    <x v="1"/>
    <x v="8"/>
    <x v="1"/>
    <x v="1"/>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x v="139"/>
    <x v="0"/>
    <n v="57"/>
    <n v="49"/>
    <s v="Development and pilot testing of an educational supportive program for persons with end-stage renal disease on hemodialysis in Rwanda"/>
    <n v="1"/>
    <n v="1"/>
    <m/>
    <m/>
    <m/>
    <m/>
    <m/>
    <s v="No"/>
    <m/>
    <m/>
    <m/>
    <m/>
    <m/>
    <m/>
    <m/>
    <m/>
    <n v="3"/>
    <m/>
    <m/>
    <s v="WT-DELTAS"/>
  </r>
  <r>
    <n v="206"/>
    <s v="C9/006"/>
    <s v="Lilian"/>
    <s v="Nkirote"/>
    <s v="Njagi"/>
    <x v="1"/>
    <x v="8"/>
    <x v="2"/>
    <x v="7"/>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x v="140"/>
    <x v="0"/>
    <n v="72"/>
    <n v="64"/>
    <m/>
    <n v="3"/>
    <n v="0"/>
    <m/>
    <m/>
    <m/>
    <m/>
    <m/>
    <s v="No"/>
    <m/>
    <m/>
    <d v="2023-09-01T00:00:00"/>
    <d v="2024-06-30T00:00:00"/>
    <n v="10"/>
    <m/>
    <m/>
    <m/>
    <n v="1"/>
    <m/>
    <m/>
    <s v="WT-DELTAS"/>
  </r>
  <r>
    <n v="207"/>
    <s v="C9/007"/>
    <s v="Leonidas"/>
    <m/>
    <s v="Banamwana"/>
    <x v="0"/>
    <x v="8"/>
    <x v="1"/>
    <x v="1"/>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x v="19"/>
    <x v="2"/>
    <m/>
    <m/>
    <m/>
    <n v="1"/>
    <n v="0"/>
    <m/>
    <m/>
    <m/>
    <m/>
    <m/>
    <s v="No"/>
    <m/>
    <m/>
    <m/>
    <m/>
    <m/>
    <m/>
    <m/>
    <m/>
    <n v="1"/>
    <m/>
    <m/>
    <s v="WT-DELTAS"/>
  </r>
  <r>
    <n v="208"/>
    <s v="C9/008"/>
    <s v="Charles "/>
    <m/>
    <s v="Ssemugabo"/>
    <x v="0"/>
    <x v="8"/>
    <x v="6"/>
    <x v="10"/>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x v="141"/>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x v="2"/>
    <x v="7"/>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x v="19"/>
    <x v="2"/>
    <m/>
    <m/>
    <m/>
    <m/>
    <m/>
    <m/>
    <m/>
    <m/>
    <m/>
    <m/>
    <s v="No"/>
    <m/>
    <m/>
    <m/>
    <m/>
    <m/>
    <m/>
    <m/>
    <m/>
    <n v="3"/>
    <m/>
    <m/>
    <s v="WT-DELTAS"/>
  </r>
  <r>
    <n v="210"/>
    <s v="C9/010"/>
    <s v="Evelyne"/>
    <m/>
    <s v="Kantarama"/>
    <x v="1"/>
    <x v="8"/>
    <x v="1"/>
    <x v="1"/>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x v="142"/>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x v="6"/>
    <x v="10"/>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x v="143"/>
    <x v="0"/>
    <n v="65"/>
    <n v="57"/>
    <m/>
    <n v="4"/>
    <n v="1"/>
    <m/>
    <m/>
    <m/>
    <m/>
    <m/>
    <s v="No"/>
    <m/>
    <m/>
    <m/>
    <m/>
    <m/>
    <m/>
    <m/>
    <m/>
    <n v="3"/>
    <m/>
    <m/>
    <s v="WT-DELTAS"/>
  </r>
  <r>
    <n v="212"/>
    <s v="C9/012"/>
    <s v="Kirsty"/>
    <m/>
    <s v="Van Stormbroek"/>
    <x v="1"/>
    <x v="8"/>
    <x v="5"/>
    <x v="6"/>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x v="101"/>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x v="0"/>
    <x v="5"/>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x v="144"/>
    <x v="0"/>
    <n v="56"/>
    <n v="48"/>
    <m/>
    <n v="2"/>
    <n v="2"/>
    <m/>
    <m/>
    <m/>
    <m/>
    <m/>
    <s v="No"/>
    <m/>
    <m/>
    <d v="2023-05-01T00:00:00"/>
    <d v="2023-10-30T00:00:00"/>
    <n v="6"/>
    <m/>
    <m/>
    <m/>
    <n v="3"/>
    <m/>
    <m/>
    <s v="SIDA"/>
  </r>
  <r>
    <n v="214"/>
    <s v="C9/014"/>
    <s v="OLUFUNMILOLA"/>
    <s v="BAMIDELE"/>
    <s v="MAKANJUOLA"/>
    <x v="1"/>
    <x v="8"/>
    <x v="0"/>
    <x v="0"/>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x v="19"/>
    <x v="2"/>
    <m/>
    <m/>
    <m/>
    <n v="7"/>
    <n v="5"/>
    <m/>
    <m/>
    <m/>
    <m/>
    <m/>
    <s v="No"/>
    <m/>
    <m/>
    <m/>
    <m/>
    <m/>
    <m/>
    <m/>
    <m/>
    <n v="4"/>
    <m/>
    <m/>
    <s v="SIDA"/>
  </r>
  <r>
    <n v="215"/>
    <s v="C9/015"/>
    <s v="Abiket"/>
    <s v="Nanfizat"/>
    <s v="Alamukii"/>
    <x v="1"/>
    <x v="8"/>
    <x v="0"/>
    <x v="0"/>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x v="145"/>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x v="5"/>
    <x v="6"/>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x v="146"/>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x v="2"/>
    <x v="7"/>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x v="19"/>
    <x v="1"/>
    <s v="Terminated"/>
    <m/>
    <m/>
    <n v="1"/>
    <n v="1"/>
    <m/>
    <m/>
    <m/>
    <m/>
    <m/>
    <s v="JAS 1, 2019"/>
    <m/>
    <m/>
    <d v="2021-07-21T00:00:00"/>
    <d v="2022-06-21T00:00:00"/>
    <n v="12"/>
    <m/>
    <m/>
    <m/>
    <n v="2"/>
    <m/>
    <m/>
    <s v="SIDA"/>
  </r>
  <r>
    <n v="218"/>
    <s v="C9/018"/>
    <s v="Abimbola  "/>
    <s v="Margaret"/>
    <s v="Obimakinde"/>
    <x v="1"/>
    <x v="8"/>
    <x v="0"/>
    <x v="0"/>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x v="147"/>
    <x v="0"/>
    <n v="57"/>
    <n v="49"/>
    <s v="Children on the streets of Ibadan, Nigeria: experiences, family dynamics and health status."/>
    <n v="5"/>
    <n v="6"/>
    <m/>
    <m/>
    <m/>
    <m/>
    <m/>
    <s v="No"/>
    <m/>
    <m/>
    <m/>
    <m/>
    <m/>
    <m/>
    <m/>
    <m/>
    <n v="2"/>
    <m/>
    <m/>
    <s v="SIDA"/>
  </r>
  <r>
    <n v="219"/>
    <s v="C9/019"/>
    <s v="Ronald"/>
    <s v="Kibet"/>
    <s v="Tonui"/>
    <x v="0"/>
    <x v="8"/>
    <x v="2"/>
    <x v="2"/>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x v="19"/>
    <x v="2"/>
    <m/>
    <m/>
    <m/>
    <n v="3"/>
    <m/>
    <m/>
    <m/>
    <m/>
    <m/>
    <m/>
    <s v="No"/>
    <m/>
    <m/>
    <m/>
    <m/>
    <m/>
    <m/>
    <m/>
    <m/>
    <n v="3"/>
    <m/>
    <m/>
    <s v="SIDA"/>
  </r>
  <r>
    <n v="220"/>
    <s v="C9/020"/>
    <s v="Omolayo "/>
    <s v="Bukola "/>
    <s v="Oluwatope"/>
    <x v="1"/>
    <x v="8"/>
    <x v="0"/>
    <x v="5"/>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x v="148"/>
    <x v="0"/>
    <n v="47"/>
    <n v="39"/>
    <s v="Social supports, capability of women and utilisation of healthcare services in Northwest and Southwest Nigeria"/>
    <n v="7"/>
    <n v="4"/>
    <m/>
    <m/>
    <m/>
    <m/>
    <m/>
    <s v="No"/>
    <m/>
    <m/>
    <m/>
    <m/>
    <m/>
    <m/>
    <m/>
    <m/>
    <n v="3"/>
    <m/>
    <m/>
    <s v="SIDA"/>
  </r>
  <r>
    <n v="221"/>
    <s v="C9/021"/>
    <s v="Alex "/>
    <s v="John"/>
    <s v="Ntamatungiro"/>
    <x v="0"/>
    <x v="8"/>
    <x v="4"/>
    <x v="4"/>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x v="149"/>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x v="3"/>
    <x v="3"/>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x v="19"/>
    <x v="2"/>
    <m/>
    <m/>
    <m/>
    <n v="0"/>
    <n v="5"/>
    <m/>
    <m/>
    <m/>
    <m/>
    <m/>
    <s v="No"/>
    <m/>
    <m/>
    <d v="2023-06-01T00:00:00"/>
    <d v="2024-05-31T00:00:00"/>
    <n v="12"/>
    <m/>
    <m/>
    <m/>
    <n v="0"/>
    <m/>
    <m/>
    <s v="SIDA"/>
  </r>
  <r>
    <n v="223"/>
    <s v="C9/023"/>
    <s v="Temitope "/>
    <m/>
    <s v="Ilori"/>
    <x v="1"/>
    <x v="8"/>
    <x v="0"/>
    <x v="0"/>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x v="19"/>
    <x v="2"/>
    <m/>
    <m/>
    <m/>
    <n v="3"/>
    <n v="7"/>
    <m/>
    <m/>
    <m/>
    <m/>
    <m/>
    <s v="No"/>
    <m/>
    <m/>
    <m/>
    <m/>
    <m/>
    <m/>
    <m/>
    <m/>
    <n v="3"/>
    <m/>
    <m/>
    <s v="SIDA"/>
  </r>
  <r>
    <n v="224"/>
    <s v="C9/024"/>
    <s v="Joselyn"/>
    <s v="Annet"/>
    <s v="Atuhairwe"/>
    <x v="1"/>
    <x v="8"/>
    <x v="6"/>
    <x v="10"/>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x v="19"/>
    <x v="1"/>
    <s v="Terminated"/>
    <m/>
    <m/>
    <n v="1"/>
    <n v="2"/>
    <m/>
    <m/>
    <m/>
    <m/>
    <m/>
    <s v="No"/>
    <s v="Yes"/>
    <m/>
    <d v="2019-08-28T00:00:00"/>
    <d v="2020-03-24T00:00:00"/>
    <n v="7"/>
    <m/>
    <m/>
    <m/>
    <n v="3"/>
    <m/>
    <m/>
    <s v="SIDA"/>
  </r>
  <r>
    <n v="225"/>
    <s v="C10/001"/>
    <s v="Alice"/>
    <m/>
    <s v="Muhayimana"/>
    <x v="1"/>
    <x v="9"/>
    <x v="1"/>
    <x v="1"/>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x v="150"/>
    <x v="0"/>
    <n v="55"/>
    <n v="42"/>
    <s v="DEVELOPMENT OF STRATEGIES FOR HEALTH CARE PROVIDERS TO SUSTAIN RESPECTFUL MATERNITY CARE TO WOMEN IN LABOUR"/>
    <n v="0"/>
    <m/>
    <m/>
    <m/>
    <m/>
    <m/>
    <m/>
    <s v="No"/>
    <m/>
    <m/>
    <m/>
    <m/>
    <m/>
    <m/>
    <m/>
    <m/>
    <n v="3"/>
    <m/>
    <m/>
    <s v="SIDA"/>
  </r>
  <r>
    <n v="226"/>
    <s v="C10/002"/>
    <s v="Aline"/>
    <m/>
    <s v="Uwase"/>
    <x v="1"/>
    <x v="9"/>
    <x v="1"/>
    <x v="1"/>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x v="151"/>
    <x v="0"/>
    <n v="68"/>
    <e v="#VALUE!"/>
    <m/>
    <n v="1"/>
    <n v="2"/>
    <m/>
    <m/>
    <m/>
    <m/>
    <m/>
    <s v="No"/>
    <m/>
    <m/>
    <d v="2024-10-21T00:00:00"/>
    <d v="2025-02-28T00:00:00"/>
    <n v="4"/>
    <m/>
    <m/>
    <m/>
    <n v="0"/>
    <m/>
    <m/>
    <s v="SIDA"/>
  </r>
  <r>
    <n v="227"/>
    <s v="C10/004"/>
    <s v="Aneth"/>
    <s v="Vedastus"/>
    <s v="Kalinjuma"/>
    <x v="1"/>
    <x v="9"/>
    <x v="4"/>
    <x v="4"/>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x v="152"/>
    <x v="0"/>
    <m/>
    <m/>
    <n v="2511"/>
    <n v="15"/>
    <n v="4"/>
    <m/>
    <m/>
    <m/>
    <m/>
    <m/>
    <s v="No"/>
    <m/>
    <m/>
    <m/>
    <m/>
    <m/>
    <m/>
    <m/>
    <m/>
    <n v="0"/>
    <m/>
    <m/>
    <s v="SIDA"/>
  </r>
  <r>
    <n v="228"/>
    <s v="C10/015"/>
    <s v="Mary"/>
    <s v="Ogbenyi"/>
    <s v="Ugalahi"/>
    <x v="1"/>
    <x v="9"/>
    <x v="0"/>
    <x v="0"/>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x v="153"/>
    <x v="0"/>
    <n v="60"/>
    <e v="#VALUE!"/>
    <m/>
    <n v="4"/>
    <n v="3"/>
    <m/>
    <m/>
    <m/>
    <m/>
    <m/>
    <s v="No"/>
    <m/>
    <m/>
    <d v="2024-10-01T00:00:00"/>
    <d v="2025-01-31T00:00:00"/>
    <n v="4"/>
    <m/>
    <m/>
    <m/>
    <n v="0"/>
    <m/>
    <m/>
    <s v="SIDA"/>
  </r>
  <r>
    <n v="229"/>
    <s v="C10/016"/>
    <s v="Maureen"/>
    <s v="Daisy"/>
    <s v="Majamanda"/>
    <x v="1"/>
    <x v="9"/>
    <x v="3"/>
    <x v="3"/>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x v="19"/>
    <x v="2"/>
    <m/>
    <m/>
    <m/>
    <n v="1"/>
    <n v="6"/>
    <m/>
    <m/>
    <m/>
    <m/>
    <m/>
    <s v="No"/>
    <m/>
    <m/>
    <m/>
    <m/>
    <m/>
    <m/>
    <m/>
    <m/>
    <n v="3"/>
    <m/>
    <m/>
    <s v="SIDA"/>
  </r>
  <r>
    <n v="230"/>
    <s v="C10/006"/>
    <s v="Beryl"/>
    <s v="Chelangat"/>
    <s v="Maritim"/>
    <x v="1"/>
    <x v="9"/>
    <x v="2"/>
    <x v="2"/>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x v="154"/>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x v="0"/>
    <x v="0"/>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x v="118"/>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x v="2"/>
    <x v="7"/>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x v="19"/>
    <x v="1"/>
    <m/>
    <m/>
    <m/>
    <m/>
    <m/>
    <m/>
    <m/>
    <m/>
    <m/>
    <m/>
    <s v="No"/>
    <m/>
    <m/>
    <m/>
    <m/>
    <m/>
    <m/>
    <m/>
    <m/>
    <n v="1"/>
    <m/>
    <m/>
    <s v="SIDA"/>
  </r>
  <r>
    <n v="233"/>
    <s v="C10/018"/>
    <s v="Oluwatosin"/>
    <s v="Eunice"/>
    <s v="Olorunmoteni"/>
    <x v="1"/>
    <x v="9"/>
    <x v="0"/>
    <x v="5"/>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x v="155"/>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x v="6"/>
    <x v="10"/>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x v="156"/>
    <x v="0"/>
    <n v="45"/>
    <n v="37"/>
    <s v="Improving lifejacket wear among occupational boaters on Lake Altert, Uganda: A cluster-randomized controlled trial"/>
    <n v="8"/>
    <n v="7"/>
    <m/>
    <m/>
    <m/>
    <m/>
    <m/>
    <s v="No"/>
    <m/>
    <m/>
    <m/>
    <m/>
    <m/>
    <m/>
    <m/>
    <m/>
    <n v="1"/>
    <m/>
    <m/>
    <s v="SIDA"/>
  </r>
  <r>
    <n v="235"/>
    <s v="C10/019"/>
    <s v="Omotade"/>
    <s v="Adebimpe"/>
    <s v="Ijarotimi"/>
    <x v="1"/>
    <x v="9"/>
    <x v="0"/>
    <x v="5"/>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x v="157"/>
    <x v="0"/>
    <n v="72"/>
    <m/>
    <m/>
    <n v="7"/>
    <n v="8"/>
    <m/>
    <m/>
    <m/>
    <m/>
    <m/>
    <s v="No"/>
    <m/>
    <m/>
    <m/>
    <m/>
    <m/>
    <m/>
    <m/>
    <m/>
    <n v="2"/>
    <m/>
    <m/>
    <s v="SIDA"/>
  </r>
  <r>
    <n v="236"/>
    <s v="C10/012"/>
    <s v="James"/>
    <m/>
    <s v="Muleme"/>
    <x v="0"/>
    <x v="9"/>
    <x v="6"/>
    <x v="10"/>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x v="158"/>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x v="8"/>
    <x v="6"/>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x v="159"/>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x v="8"/>
    <x v="6"/>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x v="160"/>
    <x v="0"/>
    <n v="44"/>
    <e v="#VALUE!"/>
    <s v="Family change, child maintenance and mental health outcomes of men in South Africa”"/>
    <n v="0"/>
    <m/>
    <m/>
    <m/>
    <m/>
    <m/>
    <m/>
    <s v="JAS 2, 2022"/>
    <m/>
    <m/>
    <m/>
    <m/>
    <m/>
    <m/>
    <m/>
    <m/>
    <n v="1"/>
    <m/>
    <m/>
    <s v="WT - DELTAS"/>
  </r>
  <r>
    <n v="239"/>
    <s v="C10/021"/>
    <s v="Shakeerah "/>
    <s v="Olaide"/>
    <s v="Gbadebo"/>
    <x v="1"/>
    <x v="9"/>
    <x v="0"/>
    <x v="0"/>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x v="161"/>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x v="5"/>
    <x v="6"/>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x v="19"/>
    <x v="2"/>
    <m/>
    <m/>
    <m/>
    <n v="0"/>
    <m/>
    <m/>
    <m/>
    <m/>
    <m/>
    <m/>
    <s v="No"/>
    <m/>
    <m/>
    <m/>
    <m/>
    <m/>
    <m/>
    <m/>
    <m/>
    <n v="0"/>
    <m/>
    <m/>
    <s v="WT - DELTAS"/>
  </r>
  <r>
    <n v="241"/>
    <s v="C10/023"/>
    <s v="Takondwa"/>
    <s v="Connis"/>
    <s v="Bakuwa"/>
    <x v="1"/>
    <x v="9"/>
    <x v="3"/>
    <x v="3"/>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x v="19"/>
    <x v="2"/>
    <m/>
    <m/>
    <m/>
    <n v="1"/>
    <n v="0"/>
    <m/>
    <m/>
    <m/>
    <m/>
    <m/>
    <s v="No"/>
    <m/>
    <m/>
    <m/>
    <m/>
    <m/>
    <m/>
    <m/>
    <m/>
    <n v="0"/>
    <m/>
    <m/>
    <s v="SIDA"/>
  </r>
  <r>
    <n v="242"/>
    <s v="C10/025"/>
    <s v="Yetunde"/>
    <s v="A"/>
    <s v="Onimode"/>
    <x v="1"/>
    <x v="9"/>
    <x v="0"/>
    <x v="0"/>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x v="19"/>
    <x v="2"/>
    <m/>
    <m/>
    <m/>
    <n v="6"/>
    <n v="5"/>
    <m/>
    <m/>
    <m/>
    <m/>
    <m/>
    <s v="No"/>
    <m/>
    <m/>
    <m/>
    <m/>
    <m/>
    <m/>
    <m/>
    <m/>
    <n v="0"/>
    <m/>
    <m/>
    <s v="SIDA"/>
  </r>
  <r>
    <n v="243"/>
    <s v="C10/003"/>
    <s v="Jean de la Croix"/>
    <s v="Allen"/>
    <s v="Ingabire"/>
    <x v="0"/>
    <x v="9"/>
    <x v="1"/>
    <x v="1"/>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x v="162"/>
    <x v="0"/>
    <n v="56"/>
    <e v="#VALUE!"/>
    <m/>
    <n v="0"/>
    <n v="2"/>
    <m/>
    <m/>
    <m/>
    <m/>
    <m/>
    <s v="No"/>
    <m/>
    <m/>
    <m/>
    <m/>
    <m/>
    <m/>
    <m/>
    <m/>
    <n v="2"/>
    <m/>
    <m/>
    <s v="SIDA"/>
  </r>
  <r>
    <n v="244"/>
    <s v="C10/005"/>
    <s v="Apatsa"/>
    <m/>
    <s v="Selemani"/>
    <x v="0"/>
    <x v="9"/>
    <x v="3"/>
    <x v="3"/>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x v="163"/>
    <x v="0"/>
    <n v="68"/>
    <e v="#VALUE!"/>
    <m/>
    <n v="2"/>
    <m/>
    <m/>
    <m/>
    <m/>
    <m/>
    <m/>
    <s v="No"/>
    <m/>
    <m/>
    <m/>
    <m/>
    <m/>
    <m/>
    <m/>
    <m/>
    <n v="0"/>
    <m/>
    <m/>
    <s v="SIDA"/>
  </r>
  <r>
    <n v="245"/>
    <s v="C10/009"/>
    <s v="Emmanuel"/>
    <m/>
    <s v="Nzabonimana"/>
    <x v="0"/>
    <x v="9"/>
    <x v="1"/>
    <x v="1"/>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x v="164"/>
    <x v="0"/>
    <n v="58"/>
    <m/>
    <s v="Oral Health in Nyarugenge District of Rwanda: The Role of Mobile Application in Oral Health Education"/>
    <n v="0"/>
    <n v="3"/>
    <m/>
    <m/>
    <m/>
    <m/>
    <m/>
    <s v="No"/>
    <m/>
    <m/>
    <m/>
    <m/>
    <m/>
    <m/>
    <m/>
    <m/>
    <n v="0"/>
    <m/>
    <m/>
    <s v="SIDA"/>
  </r>
  <r>
    <n v="246"/>
    <s v="C10/011"/>
    <s v="James"/>
    <s v="Mburu"/>
    <s v="Kang'ethe"/>
    <x v="0"/>
    <x v="9"/>
    <x v="2"/>
    <x v="7"/>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x v="89"/>
    <x v="0"/>
    <n v="57"/>
    <m/>
    <m/>
    <n v="2"/>
    <n v="1"/>
    <m/>
    <m/>
    <m/>
    <m/>
    <m/>
    <s v="No"/>
    <m/>
    <m/>
    <m/>
    <m/>
    <m/>
    <m/>
    <m/>
    <m/>
    <n v="2"/>
    <m/>
    <m/>
    <s v="SIDA"/>
  </r>
  <r>
    <n v="247"/>
    <s v="C10/013"/>
    <s v="Kganetso"/>
    <s v="-"/>
    <s v="Sekome"/>
    <x v="0"/>
    <x v="9"/>
    <x v="5"/>
    <x v="6"/>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x v="165"/>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x v="0"/>
    <x v="5"/>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x v="166"/>
    <x v="0"/>
    <n v="66"/>
    <m/>
    <m/>
    <n v="2"/>
    <n v="1"/>
    <m/>
    <m/>
    <m/>
    <m/>
    <m/>
    <s v="No"/>
    <m/>
    <m/>
    <m/>
    <m/>
    <m/>
    <m/>
    <m/>
    <m/>
    <n v="1"/>
    <m/>
    <m/>
    <s v="SIDA"/>
  </r>
  <r>
    <n v="249"/>
    <s v="C10/024"/>
    <s v="Temitope"/>
    <s v="Olumuyiwa"/>
    <s v="Ojo"/>
    <x v="0"/>
    <x v="9"/>
    <x v="0"/>
    <x v="5"/>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x v="19"/>
    <x v="2"/>
    <m/>
    <m/>
    <m/>
    <n v="12"/>
    <n v="11"/>
    <m/>
    <m/>
    <m/>
    <m/>
    <m/>
    <s v="No"/>
    <m/>
    <m/>
    <m/>
    <m/>
    <m/>
    <m/>
    <m/>
    <m/>
    <n v="2"/>
    <m/>
    <m/>
    <s v="SIDA"/>
  </r>
  <r>
    <n v="250"/>
    <s v="C11/001"/>
    <s v="Adeola"/>
    <s v="Temitope"/>
    <s v="Williams"/>
    <x v="1"/>
    <x v="10"/>
    <x v="0"/>
    <x v="0"/>
    <s v="Paediatric Dentistry"/>
    <s v="Child Oral Health"/>
    <s v="University of Ibadan"/>
    <s v="Yes"/>
    <m/>
    <s v="Married"/>
    <m/>
    <m/>
    <s v="awilliams@cartafrica.org"/>
    <s v="adeolawilliams022@gmail.com"/>
    <s v="+2348051694622"/>
    <s v="Masters of Dental Sciences, 2018"/>
    <d v="1985-06-09T00:00:00"/>
    <s v="Improving oral health among vulnerable children and adolescents living with HIV/AIDS using evidence-based intervention (Masters of Dental Sciences (MDS)"/>
    <s v="Field based"/>
    <m/>
    <m/>
    <m/>
    <d v="2025-01-13T00:00:00"/>
    <d v="2025-03-03T00:00:00"/>
    <m/>
    <s v="Prof. Denloye O.  Obafunke"/>
    <s v="Prof. Lawal Barakat Folake"/>
    <s v="Dr Yetunde  Adeniyi"/>
    <n v="3"/>
    <s v="Home"/>
    <s v="Home"/>
    <s v="Home"/>
    <m/>
    <m/>
    <m/>
    <m/>
    <m/>
    <m/>
    <m/>
    <m/>
    <m/>
    <s v="0000-0003-1915-2138"/>
    <m/>
    <d v="2025-03-03T00:00:00"/>
    <m/>
    <m/>
    <m/>
    <m/>
    <m/>
    <m/>
    <m/>
    <s v="Development and acceptability of an integrated oral health intervention among Adolescents Living with Mental Health Conditions (ALMHC) in Ibadan, Nigeria"/>
    <m/>
    <m/>
    <m/>
    <m/>
    <m/>
    <m/>
    <m/>
    <x v="19"/>
    <x v="2"/>
    <m/>
    <m/>
    <m/>
    <n v="7"/>
    <m/>
    <m/>
    <m/>
    <m/>
    <m/>
    <m/>
    <m/>
    <m/>
    <m/>
    <m/>
    <m/>
    <m/>
    <m/>
    <m/>
    <m/>
    <n v="2"/>
    <m/>
    <m/>
    <s v="SIDA"/>
  </r>
  <r>
    <n v="251"/>
    <s v="C11/002"/>
    <s v="Amina"/>
    <s v="Hassan"/>
    <s v="Hussein"/>
    <x v="1"/>
    <x v="10"/>
    <x v="9"/>
    <x v="12"/>
    <s v="Maternal and Reproductive health"/>
    <s v="School of Public health"/>
    <m/>
    <m/>
    <m/>
    <s v="Married"/>
    <m/>
    <m/>
    <s v="ahusien@cartafrica.org"/>
    <s v="dramiina12@gmail.com"/>
    <s v="+252615506933"/>
    <s v="Master in Public Health (2023 )"/>
    <d v="1991-01-01T00:00:00"/>
    <s v="Reproductive and maternal health in Somalia"/>
    <s v="Field based"/>
    <m/>
    <m/>
    <m/>
    <d v="2025-07-31T00:00:00"/>
    <d v="2025-03-03T00:00:00"/>
    <m/>
    <s v="ProfChristopher Garimoi Orach"/>
    <s v="Dr. Dinah Amongin"/>
    <s v="Dr. Abdullahi Muse Mohamoud"/>
    <n v="3"/>
    <s v="Host"/>
    <s v="Host"/>
    <s v="Host"/>
    <m/>
    <m/>
    <m/>
    <m/>
    <m/>
    <m/>
    <m/>
    <m/>
    <m/>
    <s v="0009-0006-9247-6453"/>
    <m/>
    <d v="2025-03-03T00:00:00"/>
    <m/>
    <m/>
    <m/>
    <m/>
    <m/>
    <m/>
    <m/>
    <m/>
    <m/>
    <m/>
    <m/>
    <m/>
    <m/>
    <m/>
    <m/>
    <x v="19"/>
    <x v="2"/>
    <m/>
    <m/>
    <m/>
    <n v="0"/>
    <m/>
    <m/>
    <m/>
    <m/>
    <m/>
    <m/>
    <m/>
    <m/>
    <m/>
    <m/>
    <m/>
    <m/>
    <m/>
    <m/>
    <m/>
    <n v="1"/>
    <m/>
    <m/>
    <s v="SIDA"/>
  </r>
  <r>
    <n v="252"/>
    <s v="C11/003"/>
    <s v="Christabellah"/>
    <m/>
    <s v="Namugenyi"/>
    <x v="1"/>
    <x v="10"/>
    <x v="6"/>
    <x v="10"/>
    <s v="Public Health"/>
    <s v="Department of Planning and Applied Statistics"/>
    <s v="Makerere University"/>
    <s v="Yes"/>
    <m/>
    <s v="Married"/>
    <m/>
    <m/>
    <s v="cnamugenyi@cartafrica.org"/>
    <s v="tabellahn@gmail.com"/>
    <s v="+256788101810;+256700979442"/>
    <s v="Master of Statistics (2020)"/>
    <d v="1993-05-19T00:00:00"/>
    <s v="Examining patient satisfaction and dual outcomes of HIV and hypertension through decision-making and allocation of Service Delivery Models for Older PLHIV"/>
    <s v="Field based"/>
    <m/>
    <m/>
    <m/>
    <d v="2024-08-20T00:00:00"/>
    <d v="2025-03-03T00:00:00"/>
    <m/>
    <s v="Dr. Roy William Mayega "/>
    <s v="Prof Rhoda Wanyenze"/>
    <s v="Dr John Ssenkusu"/>
    <n v="3"/>
    <s v="Home"/>
    <s v="Home"/>
    <s v="Home"/>
    <m/>
    <m/>
    <m/>
    <m/>
    <m/>
    <m/>
    <m/>
    <m/>
    <m/>
    <s v="0000-0003-2534-5526"/>
    <m/>
    <d v="2025-03-03T00:00:00"/>
    <m/>
    <m/>
    <m/>
    <m/>
    <m/>
    <m/>
    <m/>
    <s v="Assessing service delivery and dual control outcomes of HIV and hypertension PLHIV with hypertension in South-Central Uganda"/>
    <m/>
    <m/>
    <m/>
    <m/>
    <m/>
    <m/>
    <m/>
    <x v="19"/>
    <x v="2"/>
    <m/>
    <e v="#VALUE!"/>
    <m/>
    <n v="8"/>
    <m/>
    <m/>
    <m/>
    <m/>
    <m/>
    <m/>
    <m/>
    <m/>
    <m/>
    <m/>
    <m/>
    <m/>
    <m/>
    <m/>
    <m/>
    <n v="2"/>
    <m/>
    <m/>
    <s v="SIDA"/>
  </r>
  <r>
    <n v="253"/>
    <s v="C11/004"/>
    <s v="Cyril"/>
    <s v="Tamuka"/>
    <s v="Chironda"/>
    <x v="0"/>
    <x v="10"/>
    <x v="8"/>
    <x v="8"/>
    <s v="Health Data Science"/>
    <s v="Agincourt Research Center"/>
    <s v="University of the Witwatersrand"/>
    <s v="No"/>
    <m/>
    <s v="Single"/>
    <m/>
    <m/>
    <s v="cchironda@cartafrica.org"/>
    <s v="cyriltamuka05@gmail.com"/>
    <s v="+27786413285"/>
    <s v="MSc Mathematical Statistics (2021)"/>
    <d v="1994-05-13T00:00:00"/>
    <s v="Multimorbidity trends and changes in Rural South Africa: A clustering, and competing risk modelling approach (2012-2022)."/>
    <s v="Field based"/>
    <m/>
    <m/>
    <m/>
    <d v="2024-02-01T00:00:00"/>
    <d v="2025-03-03T00:00:00"/>
    <m/>
    <s v="Tobias Chirwa"/>
    <s v="Chodziwadziwa Kabudula"/>
    <s v="Farai Mlambo"/>
    <n v="3"/>
    <s v="Host"/>
    <s v="Home"/>
    <s v="Host"/>
    <m/>
    <m/>
    <m/>
    <m/>
    <m/>
    <m/>
    <m/>
    <m/>
    <m/>
    <s v="0000-0002-0412-1059"/>
    <m/>
    <d v="2025-03-03T00:00:00"/>
    <m/>
    <m/>
    <m/>
    <m/>
    <m/>
    <m/>
    <m/>
    <m/>
    <m/>
    <m/>
    <m/>
    <m/>
    <m/>
    <m/>
    <m/>
    <x v="19"/>
    <x v="2"/>
    <m/>
    <m/>
    <m/>
    <n v="2"/>
    <m/>
    <m/>
    <m/>
    <m/>
    <m/>
    <m/>
    <m/>
    <m/>
    <m/>
    <m/>
    <m/>
    <m/>
    <m/>
    <m/>
    <m/>
    <n v="1"/>
    <m/>
    <m/>
    <s v="SIDA"/>
  </r>
  <r>
    <n v="254"/>
    <s v="C11/005"/>
    <s v="Elizabeth"/>
    <s v="Oluwatoyin"/>
    <s v="Abe"/>
    <x v="1"/>
    <x v="10"/>
    <x v="0"/>
    <x v="0"/>
    <s v="Dentistry"/>
    <s v="Oral Pathology/ Oral Medicine"/>
    <s v="University of Ibadan"/>
    <s v="Yes"/>
    <m/>
    <s v="Married"/>
    <m/>
    <m/>
    <s v="eoabe@cartafrica.org"/>
    <s v="elizabethabe831@gmail.com"/>
    <s v="+2348029789847"/>
    <s v="Masters in Dental Surgery (2014)"/>
    <d v="1983-03-01T00:00:00"/>
    <s v="Oral health promotion for improved maternal-fetal health among women of reproductive age. (Masters in Dental Surgery (MDS)"/>
    <s v="Clinical and laboratory based"/>
    <m/>
    <m/>
    <m/>
    <d v="2024-11-20T00:00:00"/>
    <d v="2025-03-03T00:00:00"/>
    <m/>
    <s v="Prof Adeyemi Folasade  Bukola"/>
    <s v="Prof Arowojolu Olayinka  Modupeola"/>
    <m/>
    <n v="2"/>
    <s v="Home"/>
    <s v="Home"/>
    <m/>
    <m/>
    <m/>
    <m/>
    <m/>
    <m/>
    <m/>
    <m/>
    <m/>
    <m/>
    <s v="0000-0001-6632-9026"/>
    <m/>
    <d v="2025-03-03T00:00:00"/>
    <m/>
    <m/>
    <m/>
    <m/>
    <m/>
    <m/>
    <m/>
    <s v="Characterization of Oral Microbiome and Salivary Biomarkers Related to Periodontal Diseases and Pregnancy Outcomes among Pregnant and Postpartum Women in Ibadan "/>
    <m/>
    <m/>
    <m/>
    <m/>
    <m/>
    <m/>
    <m/>
    <x v="19"/>
    <x v="2"/>
    <m/>
    <m/>
    <m/>
    <n v="8"/>
    <m/>
    <m/>
    <m/>
    <m/>
    <m/>
    <m/>
    <m/>
    <m/>
    <m/>
    <m/>
    <m/>
    <m/>
    <m/>
    <m/>
    <m/>
    <n v="3"/>
    <m/>
    <m/>
    <s v="SIDA"/>
  </r>
  <r>
    <n v="255"/>
    <s v="C11/006"/>
    <s v="Fanuel"/>
    <s v="Meckson"/>
    <s v="Bickton"/>
    <x v="0"/>
    <x v="10"/>
    <x v="3"/>
    <x v="3"/>
    <s v="Physiotherapy"/>
    <s v="Department of Rehabilitation Sciences "/>
    <s v="University of the Witwatersrand"/>
    <m/>
    <m/>
    <s v="Single"/>
    <m/>
    <m/>
    <s v="fbickton@cartafrica.org"/>
    <s v="fbickton@kuhes.ac.mw"/>
    <s v="+265982552353"/>
    <s v="Master of Science in Cardiorespiratory Physiotherapy (2021)"/>
    <d v="1993-01-23T00:00:00"/>
    <s v="Personalized exercise-based Rehabilitation needs, implementation and effectiveness among  multimorbid patients in Malawi."/>
    <s v="Field based and clinical research "/>
    <m/>
    <m/>
    <m/>
    <d v="2025-03-03T00:00:00"/>
    <d v="2025-03-03T00:00:00"/>
    <m/>
    <s v="Prof Ronel Roos _x000a_"/>
    <s v="Prof Roos Ronel"/>
    <s v="Dr Manifield R. James "/>
    <n v="3"/>
    <s v="Host"/>
    <s v="Host"/>
    <s v="Other"/>
    <m/>
    <m/>
    <m/>
    <m/>
    <m/>
    <m/>
    <m/>
    <m/>
    <m/>
    <s v="0000-0002-0925-909X"/>
    <m/>
    <d v="2025-03-03T00:00:00"/>
    <m/>
    <m/>
    <m/>
    <m/>
    <m/>
    <m/>
    <m/>
    <s v="Development of the International Classification of Functioning, Disability, and Health Core Sets for Adults Living with Multimorbidity in Malawi"/>
    <m/>
    <m/>
    <m/>
    <m/>
    <m/>
    <m/>
    <m/>
    <x v="19"/>
    <x v="2"/>
    <m/>
    <m/>
    <m/>
    <n v="15"/>
    <m/>
    <m/>
    <m/>
    <m/>
    <m/>
    <m/>
    <m/>
    <m/>
    <m/>
    <m/>
    <m/>
    <m/>
    <m/>
    <m/>
    <m/>
    <n v="0"/>
    <m/>
    <m/>
    <s v="SIDA"/>
  </r>
  <r>
    <n v="256"/>
    <s v="C11/007"/>
    <s v="Funmilola"/>
    <s v="Olanike"/>
    <s v="Wuraola"/>
    <x v="1"/>
    <x v="10"/>
    <x v="0"/>
    <x v="5"/>
    <s v="Breast Surgical Oncology"/>
    <s v="Surgery"/>
    <m/>
    <m/>
    <m/>
    <s v="Married"/>
    <m/>
    <m/>
    <s v="fwuraola@cartafrica.org"/>
    <s v="fwuraola@oauife.edu.ng"/>
    <s v="+2348032287556"/>
    <s v="ChM General Surgery 2022"/>
    <d v="1985-02-07T00:00:00"/>
    <s v="Towards early detection of breast cancer in Nigeria: Prevalence of BRCA1/2 mutations and perceptions of genetic screening among relatives of patients with breast cancer"/>
    <s v="Clinical research"/>
    <m/>
    <m/>
    <m/>
    <d v="2025-09-02T00:00:00"/>
    <d v="2025-03-03T00:00:00"/>
    <m/>
    <s v="Prof. Penny Clement"/>
    <s v="Dr Ayeni Oluwatosin"/>
    <s v="Prof Alatise Oluwasegun Isaac"/>
    <n v="3"/>
    <s v="Host"/>
    <s v="Host"/>
    <s v="Home"/>
    <m/>
    <m/>
    <m/>
    <m/>
    <m/>
    <m/>
    <m/>
    <m/>
    <m/>
    <s v="0000-0003-3315-990x"/>
    <m/>
    <d v="2025-03-03T00:00:00"/>
    <m/>
    <m/>
    <m/>
    <m/>
    <m/>
    <m/>
    <m/>
    <m/>
    <m/>
    <m/>
    <m/>
    <m/>
    <m/>
    <m/>
    <m/>
    <x v="19"/>
    <x v="2"/>
    <m/>
    <m/>
    <m/>
    <n v="40"/>
    <m/>
    <m/>
    <m/>
    <m/>
    <m/>
    <m/>
    <m/>
    <m/>
    <m/>
    <m/>
    <m/>
    <m/>
    <m/>
    <m/>
    <m/>
    <n v="1"/>
    <m/>
    <m/>
    <s v="SIDA"/>
  </r>
  <r>
    <n v="257"/>
    <s v="C11/008"/>
    <s v="Gallad"/>
    <s v="Dahir"/>
    <s v="Hassan"/>
    <x v="0"/>
    <x v="10"/>
    <x v="9"/>
    <x v="12"/>
    <s v="Public Health "/>
    <s v="Department of Public Health "/>
    <m/>
    <m/>
    <m/>
    <s v="Married"/>
    <m/>
    <m/>
    <s v="ghassan@cartafrica.org"/>
    <m/>
    <s v=""/>
    <s v="Public Health (2017)"/>
    <d v="1988-01-01T00:00:00"/>
    <s v="Vaccine preventable disease surveillance"/>
    <s v="Field based"/>
    <m/>
    <m/>
    <m/>
    <d v="2025-04-15T00:00:00"/>
    <d v="2025-03-03T00:00:00"/>
    <m/>
    <s v="Prof. Wanyenze Rhoda"/>
    <s v="Dr Isunju Bosco John"/>
    <s v="Dr Omar Salaad Elmi"/>
    <n v="3"/>
    <s v="Host"/>
    <s v="Host"/>
    <s v="Home"/>
    <m/>
    <m/>
    <m/>
    <m/>
    <m/>
    <m/>
    <m/>
    <m/>
    <m/>
    <s v="0000-0002-8569-8748"/>
    <m/>
    <d v="2025-03-03T00:00:00"/>
    <m/>
    <m/>
    <m/>
    <m/>
    <m/>
    <m/>
    <m/>
    <s v="Effect of Integrating Community Health Workers and Community Pharmacies into Measles and Cholera Disease Surveillance among Internally Displaced Populations in Mogadishu, Somalia"/>
    <m/>
    <m/>
    <m/>
    <m/>
    <m/>
    <m/>
    <m/>
    <x v="19"/>
    <x v="2"/>
    <m/>
    <m/>
    <m/>
    <n v="8"/>
    <m/>
    <m/>
    <m/>
    <m/>
    <m/>
    <m/>
    <m/>
    <m/>
    <m/>
    <m/>
    <m/>
    <m/>
    <m/>
    <m/>
    <m/>
    <n v="1"/>
    <m/>
    <m/>
    <s v="SIDA"/>
  </r>
  <r>
    <n v="258"/>
    <s v="C11/009"/>
    <s v="Justine "/>
    <m/>
    <s v="Okello"/>
    <x v="0"/>
    <x v="10"/>
    <x v="6"/>
    <x v="10"/>
    <s v="Preventive Medicine, Laboratory diagnostics, Epidemiology, Biostatistics, Research methods, Food safety and One Health"/>
    <s v="Department of Biosecurity, Ecosystems and Veterinary Public Health"/>
    <s v="Makerere University"/>
    <s v="Yes"/>
    <m/>
    <s v="Single"/>
    <m/>
    <m/>
    <s v="jokello@cartafrica.org"/>
    <s v="justinokello01@gmail.com"/>
    <s v="+256-783210265"/>
    <s v="Masters of Veterinary Preventive Medicine (Field Epidemiology)_(2023)"/>
    <d v="1996-11-15T00:00:00"/>
    <s v="Epidemiology of Rift Valley Fever in Northern Uganda: Prevalence, Molecular Characterization, and Geospatial Modelling in Humans and Livestock in Apac and Lira Districtsl"/>
    <s v="Laboratory based"/>
    <m/>
    <m/>
    <m/>
    <d v="2025-04-15T00:00:00"/>
    <d v="2025-03-03T00:00:00"/>
    <m/>
    <s v="Dr. Luke Nyakarahuka"/>
    <s v="Prof. Clovice Kankya"/>
    <s v="Prof Robert F. Breiman"/>
    <n v="3"/>
    <s v="Home"/>
    <s v="Home"/>
    <s v="Other"/>
    <m/>
    <m/>
    <m/>
    <m/>
    <m/>
    <m/>
    <m/>
    <m/>
    <m/>
    <s v="0000-0001-6218-8318"/>
    <m/>
    <d v="2025-03-03T00:00:00"/>
    <m/>
    <m/>
    <m/>
    <m/>
    <m/>
    <m/>
    <m/>
    <m/>
    <m/>
    <m/>
    <m/>
    <m/>
    <m/>
    <m/>
    <m/>
    <x v="19"/>
    <x v="2"/>
    <m/>
    <m/>
    <m/>
    <n v="10"/>
    <m/>
    <m/>
    <m/>
    <m/>
    <m/>
    <m/>
    <m/>
    <m/>
    <m/>
    <m/>
    <m/>
    <m/>
    <m/>
    <m/>
    <m/>
    <n v="0"/>
    <m/>
    <m/>
    <s v="SIDA"/>
  </r>
  <r>
    <n v="259"/>
    <s v="C11/010"/>
    <s v="Lydiah"/>
    <s v="Wanjiru"/>
    <s v="Njihia"/>
    <x v="1"/>
    <x v="10"/>
    <x v="2"/>
    <x v="7"/>
    <s v="PhD Pathobiology (Virology Option)"/>
    <s v="Department of Veterinary Pathology, Microbiology and Parasitology"/>
    <s v="University of Nairobi"/>
    <s v="Yes"/>
    <m/>
    <s v="Single"/>
    <m/>
    <m/>
    <s v="lnjihia@cartafrica.org"/>
    <s v="lydiahnjihia4@gmail.com"/>
    <s v="+254 712316454"/>
    <s v="Master of Science Applied Microbiology (Virology Option), (2022)"/>
    <d v="1990-07-23T00:00:00"/>
    <s v="Molecular characterization and risk factors associated with rift valley fever transmission and outbreaks in humans and animals in Garissa and Murang’a counties, Kenya in the age of climate change"/>
    <s v="Both Laboratory and field based"/>
    <m/>
    <m/>
    <m/>
    <d v="2023-03-06T00:00:00"/>
    <d v="2025-03-03T00:00:00"/>
    <m/>
    <s v="Gitao George Chege_x000a_"/>
    <s v="Moses Masika"/>
    <s v="Prof Gitao Chege George"/>
    <n v="3"/>
    <s v="Home"/>
    <s v="Home"/>
    <s v="Home"/>
    <m/>
    <m/>
    <m/>
    <m/>
    <m/>
    <m/>
    <m/>
    <m/>
    <m/>
    <s v="0009-0007-0633-3294"/>
    <m/>
    <d v="2025-03-03T00:00:00"/>
    <m/>
    <m/>
    <m/>
    <m/>
    <m/>
    <m/>
    <m/>
    <m/>
    <m/>
    <m/>
    <m/>
    <m/>
    <m/>
    <m/>
    <m/>
    <x v="19"/>
    <x v="2"/>
    <m/>
    <m/>
    <m/>
    <n v="1"/>
    <m/>
    <m/>
    <m/>
    <m/>
    <m/>
    <m/>
    <m/>
    <m/>
    <m/>
    <m/>
    <m/>
    <m/>
    <m/>
    <m/>
    <m/>
    <n v="1"/>
    <m/>
    <m/>
    <s v="SIDA"/>
  </r>
  <r>
    <n v="260"/>
    <s v="C11/011"/>
    <s v="Mary"/>
    <s v="Nigandi"/>
    <s v="Kubo"/>
    <x v="1"/>
    <x v="10"/>
    <x v="2"/>
    <x v="7"/>
    <s v="Internal Medicine"/>
    <s v="Department of Clinical Medicine &amp; Therapeutics"/>
    <m/>
    <m/>
    <m/>
    <s v="Married"/>
    <m/>
    <m/>
    <s v="mkubo@cartafrica.org"/>
    <s v="mkubo@uonbi.ac.ke"/>
    <s v="+254721541439"/>
    <s v="Master of Medicine in Internal Medicine (2013)"/>
    <d v="1983-10-30T00:00:00"/>
    <s v="Early Detection of Chronic Kidney Disease among communities with high prevalence of risk factors and early linkage to care: The ED-CKD Study"/>
    <s v="Clinical research"/>
    <m/>
    <m/>
    <m/>
    <d v="2025-09-01T00:00:00"/>
    <d v="2025-03-03T00:00:00"/>
    <m/>
    <s v="Dr Opiyo Okoyo Rose"/>
    <s v="Dr Mweu Mutinda Marshal"/>
    <m/>
    <n v="2"/>
    <s v="Home"/>
    <s v="Home"/>
    <m/>
    <m/>
    <m/>
    <m/>
    <m/>
    <m/>
    <m/>
    <m/>
    <m/>
    <m/>
    <s v="0000-0002-0708-605X"/>
    <m/>
    <d v="2025-03-03T00:00:00"/>
    <m/>
    <m/>
    <m/>
    <m/>
    <m/>
    <m/>
    <m/>
    <m/>
    <m/>
    <m/>
    <m/>
    <m/>
    <m/>
    <m/>
    <m/>
    <x v="19"/>
    <x v="2"/>
    <m/>
    <m/>
    <m/>
    <n v="10"/>
    <m/>
    <m/>
    <m/>
    <m/>
    <m/>
    <m/>
    <m/>
    <m/>
    <m/>
    <m/>
    <m/>
    <m/>
    <m/>
    <m/>
    <m/>
    <n v="2"/>
    <m/>
    <m/>
    <s v="SIDA"/>
  </r>
  <r>
    <n v="261"/>
    <s v="C11/012"/>
    <s v="Miles-Dei"/>
    <s v="Benedict"/>
    <s v="Olufeagba"/>
    <x v="0"/>
    <x v="10"/>
    <x v="0"/>
    <x v="0"/>
    <s v="Genetics and Molecular Sciences"/>
    <s v="Institute of Child health"/>
    <s v="University of Ibadan"/>
    <s v="Yes"/>
    <m/>
    <s v="Married"/>
    <m/>
    <m/>
    <s v="molufeagba@cartafrica.org"/>
    <s v="mben.olufsen@gmail.com"/>
    <s v="+2348169215993;+2348026073373"/>
    <s v="Master of Science (2018)"/>
    <d v="1985-02-02T00:00:00"/>
    <s v="Genetic Epidemiology of Identified Single Nucleotide Variants of Alpha and Beta Thalassemia Traits among Nigerians in Southwest Nigeria. (M.Sc. (Public Health Biotechnology) Genetics and Molecular Sciences, Institute of Child Health)"/>
    <s v="Laboratory based"/>
    <m/>
    <m/>
    <m/>
    <d v="2019-07-01T00:00:00"/>
    <d v="2025-03-03T00:00:00"/>
    <m/>
    <s v="Prof Amodu Kehinde Olukemi"/>
    <s v="Prof  Kotila Rachel Taiwo"/>
    <m/>
    <n v="2"/>
    <s v="Home"/>
    <s v="Home"/>
    <m/>
    <m/>
    <m/>
    <m/>
    <m/>
    <m/>
    <m/>
    <m/>
    <m/>
    <m/>
    <s v="0000-0003-0065-5990"/>
    <m/>
    <d v="2025-03-03T00:00:00"/>
    <m/>
    <m/>
    <m/>
    <m/>
    <m/>
    <m/>
    <m/>
    <m/>
    <m/>
    <m/>
    <m/>
    <m/>
    <m/>
    <m/>
    <m/>
    <x v="19"/>
    <x v="2"/>
    <m/>
    <m/>
    <m/>
    <n v="2"/>
    <m/>
    <m/>
    <m/>
    <m/>
    <m/>
    <m/>
    <m/>
    <m/>
    <m/>
    <m/>
    <m/>
    <m/>
    <m/>
    <m/>
    <m/>
    <n v="2"/>
    <m/>
    <m/>
    <s v="SIDA"/>
  </r>
  <r>
    <n v="262"/>
    <s v="C11/013"/>
    <s v="Molly"/>
    <s v="Mercy"/>
    <s v="Jerono"/>
    <x v="1"/>
    <x v="10"/>
    <x v="2"/>
    <x v="2"/>
    <s v="Economics"/>
    <s v="Research and Sponsored Projects Office (RSPO)-AMPATH "/>
    <s v="Moi University"/>
    <s v="Yes"/>
    <m/>
    <s v="Married"/>
    <m/>
    <m/>
    <s v="mjerono@cartafrica.org"/>
    <s v="mollymercy20@gmail.com"/>
    <s v="265 1874107;+265  888881282"/>
    <s v="Master of Arts in Economics"/>
    <d v="1994-05-09T00:00:00"/>
    <s v="Economic Evaluation of School-Based and Institutional Programs in Preventing Sexual Violence Against Children in Uasin Gishu County, Kenya"/>
    <s v="Field based"/>
    <m/>
    <m/>
    <m/>
    <d v="2024-09-02T00:00:00"/>
    <d v="2025-03-03T00:00:00"/>
    <m/>
    <s v="Dr. Simeon Nganai"/>
    <s v="Dr. Felishana Cherop "/>
    <s v="Dr. Richard Siele"/>
    <n v="3"/>
    <s v="Home"/>
    <s v="Home"/>
    <s v="Home"/>
    <m/>
    <m/>
    <m/>
    <m/>
    <m/>
    <m/>
    <m/>
    <m/>
    <m/>
    <s v="0000-0003-4763-0344"/>
    <m/>
    <d v="2025-03-03T00:00:00"/>
    <m/>
    <m/>
    <m/>
    <m/>
    <m/>
    <m/>
    <m/>
    <s v="Evaluation of socioeconomic drivers in reducing sexual violence against children in western kenya"/>
    <m/>
    <m/>
    <m/>
    <m/>
    <m/>
    <m/>
    <m/>
    <x v="19"/>
    <x v="2"/>
    <m/>
    <m/>
    <m/>
    <n v="1"/>
    <m/>
    <m/>
    <m/>
    <m/>
    <m/>
    <m/>
    <m/>
    <m/>
    <m/>
    <m/>
    <m/>
    <m/>
    <m/>
    <m/>
    <m/>
    <n v="1"/>
    <m/>
    <m/>
    <s v="OAK"/>
  </r>
  <r>
    <n v="263"/>
    <s v="C11/014"/>
    <s v="Razak"/>
    <s v="Lewis"/>
    <s v="Mussa"/>
    <x v="0"/>
    <x v="10"/>
    <x v="3"/>
    <x v="3"/>
    <s v="Social Scientist"/>
    <s v="School of Global and Public Health"/>
    <s v="University of the Malawi"/>
    <s v="Yes"/>
    <m/>
    <s v="Single"/>
    <m/>
    <m/>
    <s v="rmussa@cartafrica.org"/>
    <s v="razmussa@yahoo.com"/>
    <s v="+265 1874107; +265  888881282"/>
    <s v="Master of Arts Development Studies (2015)"/>
    <d v="1991-11-16T00:00:00"/>
    <s v="Assessing the Effectiveness of Community-Based Approaches in Preventing Sexual Violence Against Street Children in Malawi"/>
    <s v="Field based"/>
    <m/>
    <m/>
    <m/>
    <d v="2025-03-03T00:00:00"/>
    <d v="2025-03-03T00:00:00"/>
    <m/>
    <s v="Dr. Mipando Nyondo Linda"/>
    <s v="Dr  Conco  Nozizwe Daphney"/>
    <m/>
    <n v="2"/>
    <s v="Home"/>
    <s v="Host"/>
    <m/>
    <m/>
    <m/>
    <m/>
    <m/>
    <m/>
    <m/>
    <m/>
    <m/>
    <m/>
    <s v="0009-0000-6991-6912"/>
    <m/>
    <d v="2025-03-03T00:00:00"/>
    <m/>
    <m/>
    <m/>
    <m/>
    <m/>
    <m/>
    <m/>
    <m/>
    <m/>
    <m/>
    <m/>
    <m/>
    <m/>
    <m/>
    <m/>
    <x v="19"/>
    <x v="2"/>
    <m/>
    <m/>
    <m/>
    <n v="0"/>
    <m/>
    <m/>
    <m/>
    <m/>
    <m/>
    <m/>
    <m/>
    <m/>
    <m/>
    <m/>
    <m/>
    <m/>
    <m/>
    <m/>
    <m/>
    <n v="1"/>
    <m/>
    <m/>
    <s v="OAK"/>
  </r>
  <r>
    <n v="264"/>
    <s v="C11/015"/>
    <s v="Nichodemus"/>
    <s v="Mutinda"/>
    <s v="Kamuti"/>
    <x v="0"/>
    <x v="10"/>
    <x v="2"/>
    <x v="7"/>
    <s v="Veterinary Pathology and Diagnostics "/>
    <s v="Department of Veterinary Pathology, Microbiology and Parasitology"/>
    <s v="University of Nairobi"/>
    <s v="Yes"/>
    <m/>
    <s v="Married"/>
    <m/>
    <m/>
    <s v="nkamuti@cartafrica.org"/>
    <s v="nkamuti@uonbi.ac.ke"/>
    <s v="+254701106893,+254714667857"/>
    <s v="Master of science in Veterinary Pathology and Diagnostics (2022)"/>
    <d v="1993-03-06T00:00:00"/>
    <s v="Risk factors, socio-economic impact and morpho-molecular characterization of etiological agent(s) of Human and Livestock cutaneous myiasis in Kitui County, Kenya"/>
    <s v="Field and Laboratory based "/>
    <m/>
    <m/>
    <m/>
    <d v="2023-09-11T00:00:00"/>
    <d v="2025-03-03T00:00:00"/>
    <m/>
    <s v="Prof Gathumbi Karuri Peter_x000a_"/>
    <s v="Prof  Githigia Maina Samuel"/>
    <s v="Dr. Mulei Rumpel Isaac"/>
    <n v="3"/>
    <s v="Home"/>
    <s v="Home"/>
    <s v="Home"/>
    <m/>
    <m/>
    <m/>
    <m/>
    <m/>
    <m/>
    <m/>
    <m/>
    <m/>
    <s v="0000-0001-5741-1271"/>
    <m/>
    <d v="2025-03-03T00:00:00"/>
    <m/>
    <m/>
    <m/>
    <m/>
    <m/>
    <m/>
    <m/>
    <s v="Prevalence pathology and socio-economic impact of myiasis in sheep and goats in kitui county kenya"/>
    <m/>
    <m/>
    <m/>
    <m/>
    <m/>
    <m/>
    <m/>
    <x v="19"/>
    <x v="2"/>
    <m/>
    <m/>
    <m/>
    <n v="2"/>
    <m/>
    <m/>
    <m/>
    <m/>
    <m/>
    <m/>
    <m/>
    <m/>
    <m/>
    <m/>
    <m/>
    <m/>
    <m/>
    <m/>
    <m/>
    <n v="1"/>
    <m/>
    <m/>
    <s v="SIDA"/>
  </r>
  <r>
    <n v="265"/>
    <s v="C11/016"/>
    <s v="Ochuko"/>
    <s v="Maureen"/>
    <s v="Orherhe"/>
    <x v="1"/>
    <x v="10"/>
    <x v="0"/>
    <x v="5"/>
    <s v="Clinical Pharmacy"/>
    <s v="Department of Clinical Pharmacy and Pharmacy Administration"/>
    <s v="Obafemi Awolowo University"/>
    <s v="Yes"/>
    <m/>
    <s v="Single"/>
    <m/>
    <m/>
    <s v="oorherhe@cartafrica.org"/>
    <s v="oorherhe@oauife.edu.ng"/>
    <s v="+2348051589453"/>
    <s v="Master of Science (2016), Master of Philosophy (2023)"/>
    <d v="1987-10-09T00:00:00"/>
    <s v="Population Approach to the Optimisation of Hydroxyurea in the Management of Sickle Cell Disease (SCD) in Nigeria: An Exploration of Pharmacogenetics and Pharmacometrics"/>
    <s v="Clinical research"/>
    <m/>
    <m/>
    <m/>
    <d v="2024-11-15T00:00:00"/>
    <d v="2025-03-03T00:00:00"/>
    <m/>
    <s v="Dr. Babatunde Adeagbo"/>
    <s v="Dr. Adeagbo Ayodeji Babatunde"/>
    <m/>
    <n v="2"/>
    <s v="Home"/>
    <s v="Home"/>
    <m/>
    <m/>
    <m/>
    <m/>
    <m/>
    <m/>
    <m/>
    <m/>
    <m/>
    <m/>
    <s v="0000-0002-3671-9717"/>
    <m/>
    <d v="2025-03-03T00:00:00"/>
    <m/>
    <m/>
    <m/>
    <m/>
    <m/>
    <m/>
    <m/>
    <s v="Pharmacogenetics and Model-Informed Optimisation of Hydroxyurea Therapy in Sickle Cell Disease Patients of Nigerian Descen"/>
    <m/>
    <m/>
    <m/>
    <m/>
    <m/>
    <m/>
    <m/>
    <x v="19"/>
    <x v="2"/>
    <m/>
    <m/>
    <m/>
    <n v="6"/>
    <m/>
    <m/>
    <m/>
    <m/>
    <m/>
    <m/>
    <m/>
    <m/>
    <m/>
    <m/>
    <m/>
    <m/>
    <m/>
    <m/>
    <m/>
    <n v="0"/>
    <m/>
    <m/>
    <s v="SIDA"/>
  </r>
  <r>
    <n v="266"/>
    <s v="C11/017"/>
    <s v="Patani"/>
    <s v="George Wills"/>
    <s v="Mhango"/>
    <x v="0"/>
    <x v="10"/>
    <x v="3"/>
    <x v="3"/>
    <s v="Public Health"/>
    <s v="Centre for Reproductive Health"/>
    <s v="University of the Witwatersrand"/>
    <s v="No"/>
    <m/>
    <s v="Married"/>
    <m/>
    <m/>
    <s v="pmhango@cartafrica.org"/>
    <s v="pgwmhango@gmail.com"/>
    <s v="+265994587799,+265888604700"/>
    <s v="Master of Science in Global Health Implementation (2023)"/>
    <d v="1986-06-29T00:00:00"/>
    <s v="Exploring the implementation of Out-of-School Comprehensive Sexuality Education (OOS-CSE) tailored for young people with disabilities (YPWD) and young people living with HIV (YPLHIV) aged 10-24 years in Malawi"/>
    <s v="Field based"/>
    <m/>
    <m/>
    <m/>
    <d v="2025-07-01T00:00:00"/>
    <d v="2025-03-03T00:00:00"/>
    <m/>
    <s v=" Prof Nicola Christofides"/>
    <s v="Dr Blessings N. Kaunda-Khangamwa"/>
    <s v="Professor Khudejha Asghar"/>
    <n v="3"/>
    <s v="Host"/>
    <s v="Home"/>
    <s v="Other"/>
    <m/>
    <m/>
    <m/>
    <m/>
    <m/>
    <m/>
    <m/>
    <m/>
    <m/>
    <s v="0000-0002-1492-260X"/>
    <m/>
    <d v="2025-03-03T00:00:00"/>
    <m/>
    <m/>
    <m/>
    <m/>
    <m/>
    <m/>
    <m/>
    <m/>
    <m/>
    <m/>
    <m/>
    <m/>
    <m/>
    <m/>
    <m/>
    <x v="19"/>
    <x v="2"/>
    <m/>
    <m/>
    <m/>
    <n v="8"/>
    <m/>
    <m/>
    <m/>
    <m/>
    <m/>
    <m/>
    <m/>
    <m/>
    <m/>
    <m/>
    <m/>
    <m/>
    <m/>
    <m/>
    <m/>
    <n v="2"/>
    <m/>
    <m/>
    <s v="SIDA"/>
  </r>
  <r>
    <n v="267"/>
    <s v="C11/018"/>
    <s v="Pierre Celestin"/>
    <m/>
    <s v="Munezero"/>
    <x v="0"/>
    <x v="10"/>
    <x v="1"/>
    <x v="1"/>
    <s v="Basic Sciences"/>
    <s v="Microbiology and Parasitology"/>
    <m/>
    <m/>
    <m/>
    <s v="Single"/>
    <m/>
    <m/>
    <s v="pmunezero@cartafrica.org"/>
    <s v="munezeropierrecelestin@gmail.com"/>
    <s v="+250790990554"/>
    <s v="Master of Science in Cellular and Molecular Immunology (2021)"/>
    <d v="1985-09-25T00:00:00"/>
    <s v="intersection of microbiology and immunology, with a specific focus on the pathogenesis of non-filarial lymphedema (podoconiosis)."/>
    <s v="Laboratory based"/>
    <m/>
    <m/>
    <m/>
    <d v="2025-09-30T00:00:00"/>
    <d v="2025-03-03T00:00:00"/>
    <s v="13/11/2025"/>
    <m/>
    <m/>
    <m/>
    <m/>
    <m/>
    <m/>
    <m/>
    <m/>
    <m/>
    <m/>
    <m/>
    <m/>
    <m/>
    <m/>
    <m/>
    <m/>
    <s v="0000-0003-2876-9025"/>
    <m/>
    <d v="2025-03-03T00:00:00"/>
    <m/>
    <m/>
    <m/>
    <m/>
    <m/>
    <m/>
    <m/>
    <m/>
    <m/>
    <m/>
    <m/>
    <m/>
    <m/>
    <m/>
    <m/>
    <x v="19"/>
    <x v="1"/>
    <m/>
    <m/>
    <m/>
    <n v="8"/>
    <m/>
    <m/>
    <m/>
    <m/>
    <m/>
    <m/>
    <m/>
    <m/>
    <m/>
    <m/>
    <m/>
    <m/>
    <m/>
    <m/>
    <m/>
    <n v="0"/>
    <m/>
    <m/>
    <s v="SIDA"/>
  </r>
  <r>
    <n v="268"/>
    <s v="C11/019"/>
    <s v="Solange"/>
    <m/>
    <s v="Nikwigize"/>
    <x v="1"/>
    <x v="10"/>
    <x v="1"/>
    <x v="1"/>
    <s v="Public Health"/>
    <s v="Community Health Development "/>
    <m/>
    <m/>
    <m/>
    <s v="Married"/>
    <m/>
    <m/>
    <s v="snikwigize@cartafrica.org"/>
    <s v="solangeni4@gmail.com"/>
    <s v="+250788804831"/>
    <s v="Masters in Public Health (2021)"/>
    <d v="1987-11-10T00:00:00"/>
    <s v="Socio-economic and Cultural Factors Associated with Sexual Violence Among Children Born to Teen Mothers in Rwanda. A Mixed Method"/>
    <m/>
    <m/>
    <m/>
    <m/>
    <m/>
    <d v="2025-03-03T00:00:00"/>
    <m/>
    <s v="Assoc.Prof Erigene Rutayisire_x000a_"/>
    <s v="Assoc. Prof. Olive Bazirete"/>
    <m/>
    <n v="2"/>
    <s v="Home"/>
    <s v="Home"/>
    <m/>
    <m/>
    <m/>
    <m/>
    <m/>
    <m/>
    <m/>
    <m/>
    <m/>
    <m/>
    <s v="0009-0008-1667-3046"/>
    <m/>
    <d v="2025-03-03T00:00:00"/>
    <m/>
    <m/>
    <m/>
    <m/>
    <m/>
    <m/>
    <m/>
    <m/>
    <m/>
    <m/>
    <m/>
    <m/>
    <m/>
    <m/>
    <m/>
    <x v="19"/>
    <x v="2"/>
    <m/>
    <m/>
    <m/>
    <n v="3"/>
    <m/>
    <m/>
    <m/>
    <m/>
    <m/>
    <m/>
    <m/>
    <m/>
    <m/>
    <m/>
    <m/>
    <m/>
    <m/>
    <m/>
    <m/>
    <n v="1"/>
    <m/>
    <m/>
    <s v="OAK"/>
  </r>
  <r>
    <n v="269"/>
    <s v="C11/020"/>
    <s v="Winifrida"/>
    <s v="Paschal"/>
    <s v="Mponzi"/>
    <x v="1"/>
    <x v="10"/>
    <x v="4"/>
    <x v="4"/>
    <s v="Social Sciences "/>
    <s v="Environmental Health and Ecological Sciences Department"/>
    <m/>
    <m/>
    <m/>
    <s v="Married"/>
    <m/>
    <m/>
    <s v="wmponzi@cartafrica.org"/>
    <s v="winniepascal@gmail.com"/>
    <s v="+255 714228558"/>
    <s v="Masters of Science in Entrepreneurship (2017)"/>
    <d v="1984-09-14T00:00:00"/>
    <s v="Investigating the impact of village community banks (VICOBA) for enabling house improvements that enhance household environmental health by excluding vectors of malaria and other mosquito-borne pathogens”"/>
    <s v="Field based"/>
    <m/>
    <m/>
    <m/>
    <d v="2025-04-30T00:00:00"/>
    <d v="2025-03-03T00:00:00"/>
    <m/>
    <s v=" Prof Nicola Christofides"/>
    <s v="Dr Emmanuel Willson Kaindoa"/>
    <s v="Prof. Ann Kelly"/>
    <n v="3"/>
    <s v="Host"/>
    <s v="Home"/>
    <s v="Other"/>
    <m/>
    <m/>
    <m/>
    <m/>
    <m/>
    <m/>
    <m/>
    <m/>
    <m/>
    <s v="0000-0003-0122-0550"/>
    <m/>
    <d v="2025-03-03T00:00:00"/>
    <m/>
    <m/>
    <m/>
    <m/>
    <m/>
    <m/>
    <m/>
    <s v="Village community banking and housing upgrades: A strategy to lower malaria and improve the well-being in Southeastern Tanzania."/>
    <m/>
    <m/>
    <m/>
    <m/>
    <m/>
    <m/>
    <m/>
    <x v="19"/>
    <x v="2"/>
    <m/>
    <m/>
    <m/>
    <n v="16"/>
    <m/>
    <m/>
    <m/>
    <m/>
    <m/>
    <m/>
    <m/>
    <m/>
    <m/>
    <m/>
    <m/>
    <m/>
    <m/>
    <m/>
    <m/>
    <n v="3"/>
    <m/>
    <m/>
    <s v="SIDA"/>
  </r>
  <r>
    <n v="270"/>
    <s v="C12/001"/>
    <s v="Alen"/>
    <m/>
    <s v="Kinyina"/>
    <x v="0"/>
    <x v="11"/>
    <x v="4"/>
    <x v="4"/>
    <s v="Public Health"/>
    <m/>
    <m/>
    <m/>
    <m/>
    <s v="Married"/>
    <m/>
    <m/>
    <s v="akinyina@cartafrica.org"/>
    <s v="akinyina@ihi.or.tz"/>
    <m/>
    <s v="Master in Public Health (2022)"/>
    <d v="1994-10-28T00:00:00"/>
    <s v="Feasibility and acceptability of intermittent Kangaroo Mother Care and Zero Separation Model among parents of sick neonates and healthcare providers in Tanzania."/>
    <s v="Clinical research"/>
    <m/>
    <m/>
    <m/>
    <m/>
    <d v="2026-03-02T00:00:00"/>
    <m/>
    <m/>
    <m/>
    <m/>
    <m/>
    <m/>
    <m/>
    <m/>
    <m/>
    <m/>
    <m/>
    <m/>
    <s v="Program Coordinator"/>
    <m/>
    <m/>
    <m/>
    <m/>
    <s v="0000-0002-9559-2816"/>
    <m/>
    <d v="2026-03-02T00:00:00"/>
    <m/>
    <m/>
    <m/>
    <m/>
    <m/>
    <m/>
    <m/>
    <m/>
    <m/>
    <m/>
    <m/>
    <m/>
    <m/>
    <m/>
    <m/>
    <x v="19"/>
    <x v="2"/>
    <m/>
    <m/>
    <m/>
    <n v="10"/>
    <m/>
    <m/>
    <m/>
    <m/>
    <m/>
    <m/>
    <m/>
    <m/>
    <m/>
    <m/>
    <m/>
    <m/>
    <m/>
    <m/>
    <m/>
    <m/>
    <m/>
    <m/>
    <m/>
  </r>
  <r>
    <n v="271"/>
    <s v="C12/002"/>
    <s v="Itumeleng"/>
    <m/>
    <s v="Tsatsi-Mosala"/>
    <x v="1"/>
    <x v="11"/>
    <x v="5"/>
    <x v="6"/>
    <s v="Public Health"/>
    <s v="Public Health "/>
    <m/>
    <m/>
    <m/>
    <s v="Married"/>
    <m/>
    <m/>
    <s v="imosala@cartafrica.org"/>
    <s v="itumeleng.tsatsi-mosala@wits.ac.za"/>
    <m/>
    <s v="Master of Science Occupational Therapy"/>
    <d v="1991-08-09T00:00:00"/>
    <s v="Exploring the integration of artificial intelligence in health science education to improve clinical reasoning for health science students when working with culturally diverse populations in South Africa"/>
    <s v="Field based"/>
    <m/>
    <m/>
    <m/>
    <m/>
    <d v="2026-03-02T00:00:00"/>
    <m/>
    <m/>
    <m/>
    <m/>
    <m/>
    <m/>
    <m/>
    <m/>
    <m/>
    <m/>
    <m/>
    <m/>
    <s v="Lecturer"/>
    <m/>
    <m/>
    <m/>
    <m/>
    <s v="0000-0001-5509-9659"/>
    <m/>
    <d v="2026-03-02T00:00:00"/>
    <m/>
    <m/>
    <m/>
    <m/>
    <m/>
    <m/>
    <m/>
    <m/>
    <m/>
    <m/>
    <m/>
    <m/>
    <m/>
    <m/>
    <m/>
    <x v="19"/>
    <x v="2"/>
    <m/>
    <m/>
    <m/>
    <n v="6"/>
    <m/>
    <m/>
    <m/>
    <m/>
    <m/>
    <m/>
    <m/>
    <m/>
    <m/>
    <m/>
    <m/>
    <m/>
    <m/>
    <m/>
    <m/>
    <m/>
    <m/>
    <m/>
    <m/>
  </r>
  <r>
    <n v="272"/>
    <s v="C12/003"/>
    <s v="Qamar"/>
    <s v="Olamide"/>
    <s v="Adeosun"/>
    <x v="0"/>
    <x v="11"/>
    <x v="0"/>
    <x v="0"/>
    <s v="Sociology"/>
    <s v="Department of Sociology"/>
    <m/>
    <m/>
    <m/>
    <s v="Single"/>
    <m/>
    <m/>
    <s v="aolamide@cartafrica.org"/>
    <s v="oadeosun74@yahoo.com"/>
    <m/>
    <s v="Master of Science, Industrial Sociology (2021)"/>
    <d v="1995-12-11T00:00:00"/>
    <s v="Resilience under Risk and Precarity: Occupational Practices and Workplace Relations in Cancer Care Centers in Southwest, Nigeria"/>
    <s v="Field based"/>
    <m/>
    <m/>
    <m/>
    <m/>
    <d v="2026-03-02T00:00:00"/>
    <m/>
    <m/>
    <m/>
    <m/>
    <m/>
    <m/>
    <m/>
    <m/>
    <m/>
    <m/>
    <m/>
    <m/>
    <s v="Assistant Lecturer"/>
    <m/>
    <m/>
    <m/>
    <m/>
    <s v="0009-0007-8633-996X"/>
    <m/>
    <d v="2026-03-02T00:00:00"/>
    <m/>
    <m/>
    <m/>
    <m/>
    <m/>
    <m/>
    <m/>
    <m/>
    <m/>
    <m/>
    <m/>
    <m/>
    <m/>
    <m/>
    <m/>
    <x v="19"/>
    <x v="2"/>
    <m/>
    <m/>
    <m/>
    <n v="1"/>
    <m/>
    <m/>
    <m/>
    <m/>
    <m/>
    <m/>
    <m/>
    <m/>
    <m/>
    <m/>
    <m/>
    <m/>
    <m/>
    <m/>
    <m/>
    <m/>
    <m/>
    <m/>
    <m/>
  </r>
  <r>
    <n v="273"/>
    <s v="C12/004"/>
    <s v="Claudine"/>
    <m/>
    <s v="Nshutiyukuri"/>
    <x v="1"/>
    <x v="11"/>
    <x v="1"/>
    <x v="1"/>
    <s v="General Nursing and Midwifery"/>
    <s v="General Nursing Sciences"/>
    <m/>
    <m/>
    <m/>
    <s v="Married"/>
    <m/>
    <m/>
    <s v="cnshutiyukuri@cartafrica.org"/>
    <s v="nshutiyukuric@gmail.com"/>
    <m/>
    <n v="2017"/>
    <d v="1986-01-01T00:00:00"/>
    <s v="A FRAMEWORK FOR THE IMPLEMENTATION OF AI-ENABLED DIGITAL HEALTH TOOLS FOR ENHANCING ADOLESCENTS' SEXUAL AND REPRODUCTIVE HEALTH IN RWANDA"/>
    <s v="Field based"/>
    <m/>
    <m/>
    <m/>
    <m/>
    <d v="2026-03-02T00:00:00"/>
    <m/>
    <m/>
    <m/>
    <m/>
    <m/>
    <m/>
    <m/>
    <m/>
    <m/>
    <m/>
    <m/>
    <m/>
    <s v="Assistant Lecturer"/>
    <m/>
    <m/>
    <m/>
    <m/>
    <s v="0000-0002-5601-0326"/>
    <m/>
    <d v="2026-03-02T00:00:00"/>
    <m/>
    <m/>
    <m/>
    <m/>
    <m/>
    <m/>
    <m/>
    <m/>
    <m/>
    <m/>
    <m/>
    <m/>
    <m/>
    <m/>
    <m/>
    <x v="19"/>
    <x v="2"/>
    <m/>
    <m/>
    <m/>
    <n v="4"/>
    <m/>
    <m/>
    <m/>
    <m/>
    <m/>
    <m/>
    <m/>
    <m/>
    <m/>
    <m/>
    <m/>
    <m/>
    <m/>
    <m/>
    <m/>
    <m/>
    <m/>
    <m/>
    <m/>
  </r>
  <r>
    <n v="274"/>
    <s v="C12/005"/>
    <s v="Edna"/>
    <m/>
    <s v="Mandala"/>
    <x v="1"/>
    <x v="11"/>
    <x v="3"/>
    <x v="13"/>
    <s v="Nursing"/>
    <m/>
    <m/>
    <m/>
    <m/>
    <s v="Single"/>
    <m/>
    <m/>
    <s v="emandala@cartafrica.org"/>
    <s v="emandala@kuhes.ac.mw"/>
    <m/>
    <s v="Master in Public Health (2019)"/>
    <d v="1987-05-08T00:00:00"/>
    <s v="Preventing Antimicrobial resistance in under f five children in Malawi"/>
    <s v="Field based"/>
    <m/>
    <m/>
    <m/>
    <m/>
    <d v="2026-03-02T00:00:00"/>
    <m/>
    <m/>
    <m/>
    <m/>
    <m/>
    <m/>
    <m/>
    <m/>
    <m/>
    <m/>
    <m/>
    <m/>
    <s v="Lecturer"/>
    <m/>
    <m/>
    <m/>
    <m/>
    <s v="0000-0002-0866-0818"/>
    <m/>
    <d v="2026-03-02T00:00:00"/>
    <m/>
    <m/>
    <m/>
    <m/>
    <m/>
    <m/>
    <m/>
    <m/>
    <m/>
    <m/>
    <m/>
    <m/>
    <m/>
    <m/>
    <m/>
    <x v="19"/>
    <x v="2"/>
    <m/>
    <m/>
    <m/>
    <n v="4"/>
    <m/>
    <m/>
    <m/>
    <m/>
    <m/>
    <m/>
    <m/>
    <m/>
    <m/>
    <m/>
    <m/>
    <m/>
    <m/>
    <m/>
    <m/>
    <m/>
    <m/>
    <m/>
    <m/>
  </r>
  <r>
    <n v="275"/>
    <s v="C12/006"/>
    <s v="Hellen"/>
    <m/>
    <s v="Butungi"/>
    <x v="1"/>
    <x v="11"/>
    <x v="6"/>
    <x v="10"/>
    <s v="Microbial genomics"/>
    <s v="Biochemistry and Sports Science"/>
    <m/>
    <m/>
    <m/>
    <s v="Single"/>
    <m/>
    <m/>
    <s v="hbutungi@cartafrica.org"/>
    <s v="hellen.butungi@mak.ac.ug"/>
    <m/>
    <s v="Master of Science in Bioinformatics (2012)"/>
    <d v="1983-06-29T00:00:00"/>
    <s v="Optimisation of a microbial transglutaminase enzyme system for wound healing"/>
    <s v="Laboratory based"/>
    <m/>
    <m/>
    <m/>
    <m/>
    <d v="2026-03-02T00:00:00"/>
    <m/>
    <m/>
    <m/>
    <m/>
    <m/>
    <m/>
    <m/>
    <m/>
    <m/>
    <m/>
    <m/>
    <m/>
    <s v="Assistant Lecturer"/>
    <m/>
    <m/>
    <m/>
    <m/>
    <s v="0000-0002-1330-1545"/>
    <m/>
    <d v="2026-03-02T00:00:00"/>
    <m/>
    <m/>
    <m/>
    <m/>
    <m/>
    <m/>
    <m/>
    <m/>
    <m/>
    <m/>
    <m/>
    <m/>
    <m/>
    <m/>
    <m/>
    <x v="19"/>
    <x v="2"/>
    <m/>
    <m/>
    <m/>
    <n v="5"/>
    <m/>
    <m/>
    <m/>
    <m/>
    <m/>
    <m/>
    <m/>
    <m/>
    <m/>
    <m/>
    <m/>
    <m/>
    <m/>
    <m/>
    <m/>
    <m/>
    <m/>
    <m/>
    <m/>
  </r>
  <r>
    <n v="276"/>
    <s v="C12/007"/>
    <s v="Jean Bosco Henri "/>
    <m/>
    <s v="HITAYEZU "/>
    <x v="0"/>
    <x v="11"/>
    <x v="1"/>
    <x v="1"/>
    <s v="Nursing and Midwifery: Maternal and new-born health, and reproductive health"/>
    <s v="Midwifery"/>
    <m/>
    <m/>
    <m/>
    <s v="Married"/>
    <m/>
    <m/>
    <s v="jhitayezu@cartafrica.org_x000a_"/>
    <s v="hitab88@gmail.com"/>
    <m/>
    <n v="2022"/>
    <d v="1988-01-31T00:00:00"/>
    <s v="Integrating trauma-and violence-Informed maternity care for women with previous poor neonatal outcomes in Rwanda"/>
    <s v="Field based"/>
    <m/>
    <m/>
    <m/>
    <m/>
    <d v="2026-03-02T00:00:00"/>
    <m/>
    <m/>
    <m/>
    <m/>
    <m/>
    <m/>
    <m/>
    <m/>
    <m/>
    <m/>
    <m/>
    <m/>
    <s v="Assistant Lecturer "/>
    <m/>
    <m/>
    <m/>
    <m/>
    <s v="0009-0008-5750-7087"/>
    <m/>
    <d v="2026-03-02T00:00:00"/>
    <m/>
    <m/>
    <m/>
    <m/>
    <m/>
    <m/>
    <m/>
    <m/>
    <m/>
    <m/>
    <m/>
    <m/>
    <m/>
    <m/>
    <m/>
    <x v="19"/>
    <x v="2"/>
    <m/>
    <m/>
    <m/>
    <n v="15"/>
    <m/>
    <m/>
    <m/>
    <m/>
    <m/>
    <m/>
    <m/>
    <m/>
    <m/>
    <m/>
    <m/>
    <m/>
    <m/>
    <m/>
    <m/>
    <m/>
    <m/>
    <m/>
    <m/>
  </r>
  <r>
    <n v="277"/>
    <s v="C12/008"/>
    <s v="Jean Paul"/>
    <m/>
    <s v="Habimana"/>
    <x v="0"/>
    <x v="11"/>
    <x v="1"/>
    <x v="1"/>
    <s v="Veterinary medicine "/>
    <s v="School of Medicine and Pharmacy"/>
    <m/>
    <m/>
    <m/>
    <s v="Single"/>
    <m/>
    <m/>
    <s v="jphabimana@cartafrica.org"/>
    <s v="habipau@gmail.com"/>
    <m/>
    <s v="Master in tropical animal health "/>
    <d v="1988-02-24T00:00:00"/>
    <s v="Antimicrobial resistance in the dairy value chain: Detection, Risk Factors, and Plant  based alternatives against aephalosporin and carbapenem resistant enterobacterales in  Rwanda"/>
    <s v="A combination of laboratory and field-based"/>
    <m/>
    <m/>
    <m/>
    <m/>
    <d v="2026-03-02T00:00:00"/>
    <m/>
    <m/>
    <m/>
    <m/>
    <m/>
    <m/>
    <m/>
    <m/>
    <m/>
    <m/>
    <m/>
    <m/>
    <s v="Assistant Lecturer"/>
    <m/>
    <m/>
    <m/>
    <m/>
    <s v="0000-0001-9420-882X"/>
    <m/>
    <d v="2026-03-02T00:00:00"/>
    <m/>
    <m/>
    <m/>
    <m/>
    <m/>
    <m/>
    <m/>
    <m/>
    <m/>
    <m/>
    <m/>
    <m/>
    <m/>
    <m/>
    <m/>
    <x v="19"/>
    <x v="2"/>
    <m/>
    <m/>
    <m/>
    <n v="3"/>
    <m/>
    <m/>
    <m/>
    <m/>
    <m/>
    <m/>
    <m/>
    <m/>
    <m/>
    <m/>
    <m/>
    <m/>
    <m/>
    <m/>
    <m/>
    <m/>
    <m/>
    <m/>
    <m/>
  </r>
  <r>
    <n v="278"/>
    <s v="C12/009"/>
    <s v="Kingsley"/>
    <m/>
    <s v="Kanzoole"/>
    <x v="0"/>
    <x v="11"/>
    <x v="3"/>
    <x v="8"/>
    <s v="Public Health"/>
    <m/>
    <m/>
    <m/>
    <m/>
    <s v="Married"/>
    <m/>
    <m/>
    <s v="kkanzoole@cartafrica.org"/>
    <s v="kingsleykanzoole@gmail.com"/>
    <m/>
    <s v="Master of Science in Epidemiology (2023)"/>
    <d v="1993-08-28T00:00:00"/>
    <s v="Cancer Epidemiology and Primary Healthcare Strengthening in Rural South Africa: Examining Mortality Trends, Diagnostic delays, and implementation of Detection Guideline"/>
    <s v="Field based"/>
    <m/>
    <m/>
    <m/>
    <m/>
    <d v="2026-03-02T00:00:00"/>
    <m/>
    <m/>
    <m/>
    <m/>
    <m/>
    <m/>
    <m/>
    <m/>
    <m/>
    <m/>
    <m/>
    <m/>
    <s v="Research Assistant "/>
    <m/>
    <m/>
    <m/>
    <m/>
    <s v="0000-0003-1287-9430"/>
    <m/>
    <d v="2026-03-02T00:00:00"/>
    <m/>
    <m/>
    <m/>
    <m/>
    <m/>
    <m/>
    <m/>
    <m/>
    <m/>
    <m/>
    <m/>
    <m/>
    <m/>
    <m/>
    <m/>
    <x v="19"/>
    <x v="2"/>
    <m/>
    <m/>
    <m/>
    <n v="4"/>
    <m/>
    <m/>
    <m/>
    <m/>
    <m/>
    <m/>
    <m/>
    <m/>
    <m/>
    <m/>
    <m/>
    <m/>
    <m/>
    <m/>
    <m/>
    <m/>
    <m/>
    <m/>
    <m/>
  </r>
  <r>
    <n v="279"/>
    <s v="C12/010"/>
    <s v="Mphatso"/>
    <s v="Saulos"/>
    <s v="Kantonya"/>
    <x v="0"/>
    <x v="11"/>
    <x v="3"/>
    <x v="13"/>
    <s v="Public Health (Infectious Diseases Pharmacoepidemiology)"/>
    <s v="School of Public and Global health"/>
    <m/>
    <m/>
    <m/>
    <s v="Married"/>
    <m/>
    <m/>
    <s v="mkantonya@cartafrica.org"/>
    <s v="mkantonya@mlw.mw"/>
    <m/>
    <s v="Clinical Epidemiology (2024)"/>
    <d v="1992-07-29T00:00:00"/>
    <s v="Optimising Triple Artemisinin-Based Combination Therapy (TACT) in High-Risk Populations (malnourished children and people living with HIV) in Malawi  "/>
    <s v="Clinical research"/>
    <m/>
    <m/>
    <m/>
    <m/>
    <d v="2026-03-02T00:00:00"/>
    <m/>
    <m/>
    <m/>
    <m/>
    <m/>
    <m/>
    <m/>
    <m/>
    <m/>
    <m/>
    <m/>
    <m/>
    <s v="Site Investigator"/>
    <m/>
    <m/>
    <m/>
    <m/>
    <s v="0009-0003-7896-3659"/>
    <m/>
    <d v="2026-03-02T00:00:00"/>
    <m/>
    <m/>
    <m/>
    <m/>
    <m/>
    <m/>
    <m/>
    <m/>
    <m/>
    <m/>
    <m/>
    <m/>
    <m/>
    <m/>
    <m/>
    <x v="19"/>
    <x v="2"/>
    <m/>
    <m/>
    <m/>
    <n v="2"/>
    <m/>
    <m/>
    <m/>
    <m/>
    <m/>
    <m/>
    <m/>
    <m/>
    <m/>
    <m/>
    <m/>
    <m/>
    <m/>
    <m/>
    <m/>
    <m/>
    <m/>
    <m/>
    <m/>
  </r>
  <r>
    <n v="280"/>
    <s v="C12/011"/>
    <s v="Martha"/>
    <m/>
    <s v="Masamba"/>
    <x v="1"/>
    <x v="11"/>
    <x v="3"/>
    <x v="13"/>
    <s v="Obstetrics and Gynaecology"/>
    <m/>
    <m/>
    <m/>
    <m/>
    <s v="Married"/>
    <m/>
    <m/>
    <s v="mmasamba@cartafrica.org"/>
    <s v="mmasamba@kuhes.ac.mw"/>
    <m/>
    <n v="2016"/>
    <d v="1983-09-19T00:00:00"/>
    <s v="Assessing Clinical and Health System Gaps in the Diagnosis and treatment of Infertility in Malawi: A Mixed Methods Study "/>
    <s v="Clinical research"/>
    <m/>
    <m/>
    <m/>
    <m/>
    <d v="2026-03-02T00:00:00"/>
    <m/>
    <m/>
    <m/>
    <m/>
    <m/>
    <m/>
    <m/>
    <m/>
    <m/>
    <m/>
    <m/>
    <m/>
    <s v="Lecturer and Head of Obs and Gynae."/>
    <m/>
    <m/>
    <m/>
    <m/>
    <s v="0009-0006-2504-803"/>
    <m/>
    <d v="2026-03-02T00:00:00"/>
    <m/>
    <m/>
    <m/>
    <m/>
    <m/>
    <m/>
    <m/>
    <m/>
    <m/>
    <m/>
    <m/>
    <m/>
    <m/>
    <m/>
    <m/>
    <x v="19"/>
    <x v="2"/>
    <m/>
    <m/>
    <m/>
    <n v="8"/>
    <m/>
    <m/>
    <m/>
    <m/>
    <m/>
    <m/>
    <m/>
    <m/>
    <m/>
    <m/>
    <m/>
    <m/>
    <m/>
    <m/>
    <m/>
    <m/>
    <m/>
    <m/>
    <m/>
  </r>
  <r>
    <n v="281"/>
    <s v="C12/012"/>
    <s v="Martha"/>
    <s v="Dorcas"/>
    <s v="Nalweyiso"/>
    <x v="1"/>
    <x v="11"/>
    <x v="6"/>
    <x v="10"/>
    <s v="Public Health"/>
    <s v="Department of Disease Control and Environmental Health"/>
    <m/>
    <m/>
    <m/>
    <s v="Single"/>
    <m/>
    <m/>
    <s v="mnalweyiso@cartafrica.org"/>
    <s v="nalweyisomartha@gmail.com"/>
    <m/>
    <s v="Masters of Science in Animal Health (2023), Master of Public Health (2025)"/>
    <d v="1991-02-05T00:00:00"/>
    <s v="Unmasking the Dual Burden of Brucellosis: Molecular Characterisation and Health Systems Capacity among Agro-Pastoral Communities, Kiruhura District, Western Uganda&quot;."/>
    <s v="A combination of laboratory and field-based"/>
    <m/>
    <m/>
    <m/>
    <m/>
    <d v="2026-03-02T00:00:00"/>
    <m/>
    <m/>
    <m/>
    <m/>
    <m/>
    <m/>
    <m/>
    <m/>
    <m/>
    <m/>
    <m/>
    <m/>
    <s v="Assistant Lecturer"/>
    <m/>
    <m/>
    <m/>
    <m/>
    <s v="0009-0008-4921-4356?lang=en"/>
    <m/>
    <d v="2026-03-02T00:00:00"/>
    <m/>
    <m/>
    <m/>
    <m/>
    <m/>
    <m/>
    <m/>
    <m/>
    <m/>
    <m/>
    <m/>
    <m/>
    <m/>
    <m/>
    <m/>
    <x v="19"/>
    <x v="2"/>
    <m/>
    <m/>
    <m/>
    <n v="0"/>
    <m/>
    <m/>
    <m/>
    <m/>
    <m/>
    <m/>
    <m/>
    <m/>
    <m/>
    <m/>
    <m/>
    <m/>
    <m/>
    <m/>
    <m/>
    <m/>
    <m/>
    <m/>
    <m/>
  </r>
  <r>
    <n v="282"/>
    <s v="C12/013"/>
    <s v="Nancy"/>
    <s v="Mugure"/>
    <s v="Waweru"/>
    <x v="1"/>
    <x v="11"/>
    <x v="2"/>
    <x v="7"/>
    <s v="Public Health Engineering"/>
    <s v="Civil Engineering"/>
    <m/>
    <m/>
    <m/>
    <s v="Single"/>
    <m/>
    <m/>
    <s v="nwaweru@cartafrica.org"/>
    <s v="nancy.mugure@uonbi.ac.ke"/>
    <m/>
    <s v="MSc. Environmental Engineering (2017)"/>
    <d v="1988-10-07T00:00:00"/>
    <s v="Comparative Study of Correlation of Consumptive Water Use, Emissions, and Gendered Roles in Greenhouse and Open-Field Irrigation from Vegetable Farms in Kenya"/>
    <s v="A combination of laboratory and field-based"/>
    <m/>
    <m/>
    <m/>
    <m/>
    <d v="2026-03-02T00:00:00"/>
    <m/>
    <m/>
    <m/>
    <m/>
    <m/>
    <m/>
    <m/>
    <m/>
    <m/>
    <m/>
    <m/>
    <m/>
    <s v="Tutorial Fellow"/>
    <m/>
    <m/>
    <m/>
    <m/>
    <s v="0009-0001-0042-9099"/>
    <m/>
    <d v="2026-03-02T00:00:00"/>
    <m/>
    <m/>
    <m/>
    <m/>
    <m/>
    <m/>
    <m/>
    <m/>
    <m/>
    <m/>
    <m/>
    <m/>
    <m/>
    <m/>
    <m/>
    <x v="19"/>
    <x v="2"/>
    <m/>
    <m/>
    <m/>
    <n v="1"/>
    <m/>
    <m/>
    <m/>
    <m/>
    <m/>
    <m/>
    <m/>
    <m/>
    <m/>
    <m/>
    <m/>
    <m/>
    <m/>
    <m/>
    <m/>
    <m/>
    <m/>
    <m/>
    <m/>
  </r>
  <r>
    <n v="283"/>
    <s v="C12/014"/>
    <s v="Olamilekan"/>
    <s v="Gabriel"/>
    <s v="Banwo"/>
    <x v="0"/>
    <x v="11"/>
    <x v="0"/>
    <x v="0"/>
    <s v="Veterinary Medicine"/>
    <s v="Veterinary Medicine"/>
    <m/>
    <m/>
    <m/>
    <s v="Married"/>
    <m/>
    <m/>
    <s v="obanwo@cartafrica.org"/>
    <s v="olamilekanbanwo@gmail.com"/>
    <m/>
    <s v="Masters in Veterinary Science (2017)"/>
    <d v="1988-08-16T00:00:00"/>
    <s v="Molecular epidemiology, genetic characterisation, and resistome profiling of Dermatophilus congolensis from cattle in southwest Nigeria."/>
    <s v="Laboratory based"/>
    <m/>
    <m/>
    <m/>
    <m/>
    <d v="2026-03-02T00:00:00"/>
    <m/>
    <m/>
    <m/>
    <m/>
    <m/>
    <m/>
    <m/>
    <m/>
    <m/>
    <m/>
    <m/>
    <m/>
    <s v="Lecturer"/>
    <m/>
    <m/>
    <m/>
    <m/>
    <s v="0000-0002-0686-1544"/>
    <m/>
    <d v="2026-03-02T00:00:00"/>
    <m/>
    <m/>
    <m/>
    <m/>
    <m/>
    <m/>
    <m/>
    <m/>
    <m/>
    <m/>
    <m/>
    <m/>
    <m/>
    <m/>
    <m/>
    <x v="19"/>
    <x v="2"/>
    <m/>
    <m/>
    <m/>
    <n v="43"/>
    <m/>
    <m/>
    <m/>
    <m/>
    <m/>
    <m/>
    <m/>
    <m/>
    <m/>
    <m/>
    <m/>
    <m/>
    <m/>
    <m/>
    <m/>
    <m/>
    <m/>
    <m/>
    <m/>
  </r>
  <r>
    <n v="284"/>
    <s v="C12/015"/>
    <s v="Olumuyiwa"/>
    <s v="Shola"/>
    <s v="Folayan"/>
    <x v="0"/>
    <x v="11"/>
    <x v="0"/>
    <x v="0"/>
    <s v="Paediatrics and Child Health"/>
    <m/>
    <m/>
    <m/>
    <m/>
    <s v="Married"/>
    <m/>
    <m/>
    <s v="ofolayan@cartafrica.org"/>
    <s v="olufolayan19@gmail.com"/>
    <m/>
    <s v="Master in Public Health(2025)"/>
    <m/>
    <s v="Cardiovascular Risk Factors among  Adolescents living in Ibadan North  Local Government Area"/>
    <s v="Clinical research"/>
    <m/>
    <m/>
    <m/>
    <m/>
    <d v="2026-03-02T00:00:00"/>
    <m/>
    <m/>
    <m/>
    <m/>
    <m/>
    <m/>
    <m/>
    <m/>
    <m/>
    <m/>
    <m/>
    <m/>
    <s v="Research Fellow"/>
    <m/>
    <m/>
    <m/>
    <m/>
    <s v="0000-0002-5862-8170"/>
    <m/>
    <d v="2026-03-02T00:00:00"/>
    <m/>
    <m/>
    <m/>
    <m/>
    <m/>
    <m/>
    <m/>
    <m/>
    <m/>
    <m/>
    <m/>
    <m/>
    <m/>
    <m/>
    <m/>
    <x v="19"/>
    <x v="2"/>
    <m/>
    <m/>
    <m/>
    <n v="15"/>
    <m/>
    <m/>
    <m/>
    <m/>
    <m/>
    <m/>
    <m/>
    <m/>
    <m/>
    <m/>
    <m/>
    <m/>
    <m/>
    <m/>
    <m/>
    <m/>
    <m/>
    <m/>
    <m/>
  </r>
  <r>
    <n v="285"/>
    <s v="C12/016"/>
    <s v="Olanrewaju"/>
    <s v="Olaniyi"/>
    <s v="Omosehin"/>
    <x v="0"/>
    <x v="11"/>
    <x v="0"/>
    <x v="0"/>
    <s v="Agricultural Economics"/>
    <s v="Agricultural Economics"/>
    <m/>
    <m/>
    <m/>
    <s v="Married"/>
    <m/>
    <m/>
    <s v="oomosehin@cartafrica.org"/>
    <s v="oo.omosehin@ui.edu.ng"/>
    <m/>
    <s v="M.AGRIC.Tech (Production Economics) 2021"/>
    <d v="1991-06-25T00:00:00"/>
    <s v="Economic Resilience and Mental Well-Being of Households in Flood-Affceted Rural Communities in Southwest Nigeria"/>
    <s v="A combination of laboratory and field-based"/>
    <m/>
    <m/>
    <m/>
    <m/>
    <d v="2026-03-02T00:00:00"/>
    <m/>
    <m/>
    <m/>
    <m/>
    <m/>
    <m/>
    <m/>
    <m/>
    <m/>
    <m/>
    <m/>
    <m/>
    <s v="Assistant Lecturer"/>
    <m/>
    <m/>
    <m/>
    <m/>
    <s v="0000-0002-4249-7380"/>
    <m/>
    <d v="2026-03-02T00:00:00"/>
    <m/>
    <m/>
    <m/>
    <m/>
    <m/>
    <m/>
    <m/>
    <m/>
    <m/>
    <m/>
    <m/>
    <m/>
    <m/>
    <m/>
    <m/>
    <x v="19"/>
    <x v="2"/>
    <m/>
    <m/>
    <m/>
    <n v="16"/>
    <m/>
    <m/>
    <m/>
    <m/>
    <m/>
    <m/>
    <m/>
    <m/>
    <m/>
    <m/>
    <m/>
    <m/>
    <m/>
    <m/>
    <m/>
    <m/>
    <m/>
    <m/>
    <m/>
  </r>
  <r>
    <n v="286"/>
    <s v="C12/017"/>
    <s v="Patrick"/>
    <m/>
    <s v="Amboka"/>
    <x v="0"/>
    <x v="11"/>
    <x v="2"/>
    <x v="11"/>
    <s v="Public Health"/>
    <m/>
    <m/>
    <m/>
    <m/>
    <s v="Single"/>
    <m/>
    <m/>
    <s v="pamboka@cartafrica.org"/>
    <s v="pamboka@aphrc.org"/>
    <m/>
    <s v="Master in Public Health (2025)"/>
    <d v="1992-08-08T00:00:00"/>
    <s v="Life-Course Pathways to Cardiovascular Disease Among Older Women in Two Rural Counties in Kenya: A Retrospective Case-Control Study"/>
    <s v="Field based"/>
    <m/>
    <m/>
    <m/>
    <m/>
    <d v="2026-03-02T00:00:00"/>
    <m/>
    <m/>
    <m/>
    <m/>
    <m/>
    <m/>
    <m/>
    <m/>
    <m/>
    <m/>
    <m/>
    <m/>
    <s v="Project Officer"/>
    <m/>
    <m/>
    <m/>
    <m/>
    <s v="0000-0003-4295-3515"/>
    <m/>
    <d v="2026-03-02T00:00:00"/>
    <m/>
    <m/>
    <m/>
    <m/>
    <m/>
    <m/>
    <m/>
    <m/>
    <m/>
    <m/>
    <m/>
    <m/>
    <m/>
    <m/>
    <m/>
    <x v="19"/>
    <x v="2"/>
    <m/>
    <m/>
    <m/>
    <n v="12"/>
    <m/>
    <m/>
    <m/>
    <m/>
    <m/>
    <m/>
    <m/>
    <m/>
    <m/>
    <m/>
    <m/>
    <m/>
    <m/>
    <m/>
    <m/>
    <m/>
    <m/>
    <m/>
    <m/>
  </r>
  <r>
    <n v="287"/>
    <s v="C12/018"/>
    <s v="REBECCA CLAIRE"/>
    <m/>
    <s v="LUSOBYA"/>
    <x v="1"/>
    <x v="11"/>
    <x v="6"/>
    <x v="10"/>
    <s v="Ophthalmology"/>
    <s v="OPHTHALMOLOGY"/>
    <m/>
    <m/>
    <m/>
    <s v="Married"/>
    <m/>
    <m/>
    <s v="rlusobya@cartafrica.org"/>
    <s v="lusobyarebecca@gmail.com"/>
    <m/>
    <n v="2018"/>
    <d v="1987-02-27T00:00:00"/>
    <s v="Using Oculomics And Machine Learning to Predict Preeclampsia Disease Severity and Its Long-Term Sequelae Among Pregnant Women in Uganda."/>
    <s v="Clinical research"/>
    <m/>
    <m/>
    <m/>
    <m/>
    <d v="2026-03-02T00:00:00"/>
    <m/>
    <m/>
    <m/>
    <m/>
    <m/>
    <m/>
    <m/>
    <m/>
    <m/>
    <m/>
    <m/>
    <m/>
    <s v="Senior Lecturer"/>
    <m/>
    <m/>
    <m/>
    <m/>
    <s v="0000-0002-7149-703X"/>
    <m/>
    <d v="2026-03-02T00:00:00"/>
    <m/>
    <m/>
    <m/>
    <m/>
    <m/>
    <m/>
    <m/>
    <m/>
    <m/>
    <m/>
    <m/>
    <m/>
    <m/>
    <m/>
    <m/>
    <x v="19"/>
    <x v="2"/>
    <m/>
    <m/>
    <m/>
    <n v="18"/>
    <m/>
    <m/>
    <m/>
    <m/>
    <m/>
    <m/>
    <m/>
    <m/>
    <m/>
    <m/>
    <m/>
    <m/>
    <m/>
    <m/>
    <m/>
    <m/>
    <m/>
    <m/>
    <m/>
  </r>
  <r>
    <n v="288"/>
    <s v="C12/019"/>
    <s v="Regina"/>
    <s v="Tikhala"/>
    <s v="Makuluni"/>
    <x v="1"/>
    <x v="11"/>
    <x v="3"/>
    <x v="13"/>
    <s v="Public Health"/>
    <m/>
    <m/>
    <m/>
    <m/>
    <s v="Married"/>
    <m/>
    <m/>
    <s v="rmakuluni@cartafrica.org"/>
    <s v="rmakuluni@mlw.mw"/>
    <m/>
    <s v="Master of Science in Epidemiology (2020)"/>
    <d v="1991-11-21T00:00:00"/>
    <s v="Understanding and improving sustainability of  maternal health interventions- A case study of the Active Prevention and Treatment of Maternal Sepsis (APT-Sepsis) in Malawi."/>
    <s v="Clinical research"/>
    <m/>
    <m/>
    <m/>
    <m/>
    <d v="2026-03-02T00:00:00"/>
    <m/>
    <m/>
    <m/>
    <m/>
    <m/>
    <m/>
    <m/>
    <m/>
    <m/>
    <m/>
    <m/>
    <m/>
    <s v="Trial Manager"/>
    <m/>
    <m/>
    <m/>
    <m/>
    <s v="0000-0001-9368-5456"/>
    <m/>
    <d v="2026-03-02T00:00:00"/>
    <m/>
    <m/>
    <m/>
    <m/>
    <m/>
    <m/>
    <m/>
    <m/>
    <m/>
    <m/>
    <m/>
    <m/>
    <m/>
    <m/>
    <m/>
    <x v="19"/>
    <x v="2"/>
    <m/>
    <m/>
    <m/>
    <n v="10"/>
    <m/>
    <m/>
    <m/>
    <m/>
    <m/>
    <m/>
    <m/>
    <m/>
    <m/>
    <m/>
    <m/>
    <m/>
    <m/>
    <m/>
    <m/>
    <m/>
    <m/>
    <m/>
    <m/>
  </r>
  <r>
    <n v="289"/>
    <s v="C12/020"/>
    <s v="Schadrack"/>
    <m/>
    <s v="HABUMUREMYI"/>
    <x v="0"/>
    <x v="11"/>
    <x v="1"/>
    <x v="1"/>
    <s v="Human Anatomy"/>
    <s v="Human Anatomy Department"/>
    <m/>
    <m/>
    <m/>
    <s v="Married"/>
    <m/>
    <m/>
    <s v="shabumuremyi@cartafrica.org"/>
    <s v="habumshadra@gmail.com"/>
    <m/>
    <s v="Master of Science in Clinical Anatomy (2024)"/>
    <d v="1988-01-14T00:00:00"/>
    <s v="The implications of Lumbosacral transitional vertebrae to the lower back pain in Rwanda"/>
    <s v="Laboratory based"/>
    <m/>
    <m/>
    <m/>
    <m/>
    <d v="2026-03-02T00:00:00"/>
    <m/>
    <m/>
    <m/>
    <m/>
    <m/>
    <m/>
    <m/>
    <m/>
    <m/>
    <m/>
    <m/>
    <m/>
    <s v="Laboratory technician"/>
    <m/>
    <m/>
    <m/>
    <m/>
    <s v="0009-0006-7309-306X"/>
    <m/>
    <d v="2026-03-02T00:00:00"/>
    <m/>
    <m/>
    <m/>
    <m/>
    <m/>
    <m/>
    <m/>
    <m/>
    <m/>
    <m/>
    <m/>
    <m/>
    <m/>
    <m/>
    <m/>
    <x v="19"/>
    <x v="2"/>
    <m/>
    <m/>
    <m/>
    <n v="10"/>
    <m/>
    <m/>
    <m/>
    <m/>
    <m/>
    <m/>
    <m/>
    <m/>
    <m/>
    <m/>
    <m/>
    <m/>
    <m/>
    <m/>
    <m/>
    <m/>
    <m/>
    <m/>
    <m/>
  </r>
  <r>
    <n v="290"/>
    <s v="C12/021"/>
    <s v="Tabitha"/>
    <s v="Jepkurgat"/>
    <s v="Chepkwony"/>
    <x v="1"/>
    <x v="11"/>
    <x v="2"/>
    <x v="2"/>
    <s v="Public health/Laboratory Sciences"/>
    <s v="Public Health"/>
    <m/>
    <m/>
    <m/>
    <s v="Married"/>
    <m/>
    <m/>
    <s v="tchepkwony@cartafrica.org"/>
    <s v="jepkurgatbunet@gmail.com"/>
    <m/>
    <s v="MPH-Epidemiology and Medical Statistics (2025)"/>
    <d v="1989-04-27T00:00:00"/>
    <s v="Evaluation of Insecticidal and PBO Durability of PBO-based long-lasting  Insecticidal Nets and Determinants  of Their Performance in an Implementation Setting in Western Kenya: Implications for Malaria Control in Pyrethroid-Resistant Regions'"/>
    <s v="A combination of laboratory and field-based"/>
    <m/>
    <m/>
    <m/>
    <m/>
    <d v="2026-03-02T00:00:00"/>
    <m/>
    <m/>
    <m/>
    <m/>
    <m/>
    <m/>
    <m/>
    <m/>
    <m/>
    <m/>
    <m/>
    <m/>
    <s v="Research coordinator"/>
    <m/>
    <m/>
    <m/>
    <m/>
    <s v="0009-0001-5539-2975"/>
    <m/>
    <d v="2026-03-02T00:00:00"/>
    <m/>
    <m/>
    <m/>
    <m/>
    <m/>
    <m/>
    <m/>
    <m/>
    <m/>
    <m/>
    <m/>
    <m/>
    <m/>
    <m/>
    <m/>
    <x v="19"/>
    <x v="2"/>
    <m/>
    <m/>
    <m/>
    <n v="15"/>
    <m/>
    <m/>
    <m/>
    <m/>
    <m/>
    <m/>
    <m/>
    <m/>
    <m/>
    <m/>
    <m/>
    <m/>
    <m/>
    <m/>
    <m/>
    <m/>
    <m/>
    <m/>
    <m/>
  </r>
  <r>
    <n v="291"/>
    <s v="C12/022"/>
    <s v="WALTER"/>
    <m/>
    <s v="OKELLO"/>
    <x v="0"/>
    <x v="11"/>
    <x v="6"/>
    <x v="10"/>
    <s v="Laboratory Sciences"/>
    <s v="Biosecurity, Ecosystems and Veterinary Public Health"/>
    <m/>
    <m/>
    <m/>
    <s v="Married"/>
    <m/>
    <m/>
    <s v="wokello@cartafrica.org"/>
    <s v="walteriqueokello@gmail.com"/>
    <m/>
    <s v="Veterinary Preventive Medicine(Field Epidemiology)"/>
    <d v="1995-05-01T00:00:00"/>
    <s v="Risk Assessment and Predictive Modelling of Aflatoxin Contamination at the Grain-Animal-Human Interface in Uganda. "/>
    <s v="A combination of laboratory and field-based"/>
    <m/>
    <m/>
    <m/>
    <m/>
    <d v="2026-03-02T00:00:00"/>
    <m/>
    <m/>
    <m/>
    <m/>
    <m/>
    <m/>
    <m/>
    <m/>
    <m/>
    <m/>
    <m/>
    <m/>
    <s v="Technician"/>
    <m/>
    <m/>
    <m/>
    <m/>
    <s v="0000-0002-7621-4844"/>
    <m/>
    <d v="2026-03-02T00:00:00"/>
    <m/>
    <m/>
    <m/>
    <m/>
    <m/>
    <m/>
    <m/>
    <m/>
    <m/>
    <m/>
    <m/>
    <m/>
    <m/>
    <m/>
    <m/>
    <x v="19"/>
    <x v="2"/>
    <m/>
    <m/>
    <m/>
    <n v="2"/>
    <m/>
    <m/>
    <m/>
    <m/>
    <m/>
    <m/>
    <m/>
    <m/>
    <m/>
    <m/>
    <m/>
    <m/>
    <m/>
    <m/>
    <m/>
    <m/>
    <m/>
    <m/>
    <m/>
  </r>
</pivotCacheRecords>
</file>

<file path=xl/pivotCache/pivotCacheRecords4.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45">
  <r>
    <n v="1"/>
    <s v="C1/001"/>
    <s v="Babatunde"/>
    <s v="Olubayo"/>
    <s v="Adedokun"/>
    <x v="0"/>
    <x v="0"/>
    <s v="Nigeria"/>
    <s v="University of Ibadan"/>
    <s v="Epidemiology &amp; Medical Biostatistics"/>
    <s v="Epidemiology and Medical Statistics"/>
    <s v="University of Ibadan"/>
    <s v="Yes"/>
    <m/>
    <s v="Married"/>
    <s v="Married"/>
    <s v="Married"/>
    <s v="badedokun@cartafrica.org"/>
    <s v="tukankar@yahoo.co.uk"/>
    <m/>
    <s v="M.Sc Epidemiology &amp; Medical Statistics"/>
    <d v="1976-12-22T00:00:00"/>
    <s v="Joint modelling of CD4 counts and time to loss to follow up among HIV patients attending antiretroviral clinics in Nigeria"/>
    <s v="Clinical research"/>
    <s v="yes"/>
    <s v="Primary"/>
    <n v="16.5"/>
    <d v="2011-03-01T00:00:00"/>
    <d v="2011-03-01T00:00:00"/>
    <m/>
    <s v="Prof Afolabi Bamgboye"/>
    <s v="Prof. Olusola Ayeni"/>
    <m/>
    <n v="2"/>
    <s v="Home"/>
    <s v="Host"/>
    <m/>
    <s v="Yes"/>
    <s v="No"/>
    <m/>
    <s v="Academic"/>
    <m/>
    <s v="Lecturer "/>
    <s v="Yes"/>
    <m/>
    <s v="UNIVERSITY OF CHICAGO, UNITED STATES"/>
    <s v="0000-0002-6893-6468"/>
    <m/>
    <d v="2011-04-01T00:00:00"/>
    <d v="2011-12-01T00:00:00"/>
    <s v="Yes"/>
    <m/>
    <m/>
    <m/>
    <m/>
    <m/>
    <m/>
    <d v="2013-07-01T00:00:00"/>
    <s v="Yes"/>
    <d v="2014-03-01T00:00:00"/>
    <s v="Yes"/>
    <m/>
    <m/>
    <m/>
    <d v="2017-01-31T00:00:00"/>
    <x v="0"/>
    <n v="70"/>
    <n v="62"/>
    <m/>
    <n v="20"/>
    <n v="29"/>
    <n v="26"/>
    <n v="2"/>
    <n v="3"/>
    <n v="0"/>
    <n v="0"/>
    <s v="No"/>
    <s v="No"/>
    <m/>
    <m/>
    <m/>
    <m/>
    <s v="No"/>
    <m/>
    <m/>
    <n v="0"/>
    <n v="1"/>
    <m/>
    <s v="NF"/>
  </r>
  <r>
    <n v="2"/>
    <s v="C1/002"/>
    <s v="Celine"/>
    <m/>
    <s v="Niwemahoro"/>
    <x v="1"/>
    <x v="0"/>
    <s v="Rwanda"/>
    <s v="University of Rwanda"/>
    <s v="Demography &amp; Population Studies"/>
    <s v="Applied Statistics"/>
    <s v="University of Dar es Salaam"/>
    <s v="No"/>
    <m/>
    <s v="Married"/>
    <s v="Married"/>
    <m/>
    <s v="cniwemahoro@cartafrica.org"/>
    <s v="ncmahoro2000@yahoo.fr"/>
    <s v="+250788350522/254723489604"/>
    <s v="Masters in Demography and Population Studies (online)"/>
    <d v="1980-07-14T00:00:00"/>
    <s v="Premarital Fertility and Use Of Health Care: Effect On HIV And Prevention Mother-To-Child Transmission (PMTCT) In Rwanda"/>
    <s v="Field"/>
    <s v="No"/>
    <s v="Primary"/>
    <n v="26"/>
    <d v="2011-03-14T00:00:00"/>
    <d v="2011-03-01T00:00:00"/>
    <m/>
    <s v="Dr. Julius Kivelia"/>
    <m/>
    <m/>
    <n v="1"/>
    <s v="Host"/>
    <m/>
    <m/>
    <s v="Yes"/>
    <m/>
    <m/>
    <s v="Academic"/>
    <s v="Assistant Lecturer"/>
    <s v="Researcher"/>
    <s v="Yes"/>
    <m/>
    <s v="SCUB - CONSULTANCY FIRM NAIROBI"/>
    <s v="0000-0003-2008-3061"/>
    <m/>
    <d v="2011-04-04T00:00:00"/>
    <d v="2011-12-01T00:00:00"/>
    <s v="Yes"/>
    <d v="2012-10-04T00:00:00"/>
    <m/>
    <d v="2013-07-18T00:00:00"/>
    <m/>
    <m/>
    <s v="Premarital pregnancies and experiences in antenatal care health seeking behavior in Huye District, Rwanda"/>
    <d v="2013-07-03T00:00:00"/>
    <s v="Yes"/>
    <d v="2014-03-02T00:00:00"/>
    <s v="Yes"/>
    <d v="2017-09-08T00:00:00"/>
    <d v="2017-09-28T00:00:00"/>
    <d v="2017-10-15T00:00:00"/>
    <d v="2017-10-15T00:00:00"/>
    <x v="0"/>
    <n v="79"/>
    <n v="71"/>
    <s v="Premarital pregnancies and experiences in antenatal care health seeking behavior in Huye District, Rwanda"/>
    <n v="0"/>
    <n v="0"/>
    <n v="0"/>
    <n v="0"/>
    <n v="0"/>
    <n v="0"/>
    <n v="0"/>
    <s v="No"/>
    <s v="No"/>
    <m/>
    <m/>
    <m/>
    <m/>
    <s v="No"/>
    <m/>
    <m/>
    <n v="2"/>
    <n v="2"/>
    <n v="0"/>
    <s v="NF"/>
  </r>
  <r>
    <n v="3"/>
    <s v="C1/003"/>
    <s v="Caroline"/>
    <s v="Sultan"/>
    <s v="Sambai"/>
    <x v="1"/>
    <x v="0"/>
    <s v="Kenya"/>
    <s v="Moi University"/>
    <s v="Literature"/>
    <s v="LITERATURE THEATRE AND FILM STUDIES"/>
    <s v="Moi University"/>
    <s v="Yes"/>
    <s v="SASS/DPHIL/LIT/07/11"/>
    <s v=""/>
    <s v="Married"/>
    <m/>
    <s v="csambai@cartafrica.org"/>
    <s v="carolsambai11@gmail.com"/>
    <s v="+254722433561"/>
    <s v="MA in Africa Literature"/>
    <d v="1981-06-30T00:00:00"/>
    <s v="Television Drama as in Kenya and the Framing of Issues of HIV/AIDS and sexuality"/>
    <s v="Field"/>
    <s v="No"/>
    <s v="Primary"/>
    <n v="2.5"/>
    <d v="2011-10-11T00:00:00"/>
    <d v="2011-03-01T00:00:00"/>
    <m/>
    <s v="Prof Christopher Joseph Odhiambo"/>
    <s v="Prof. Peter Tirop Simatei"/>
    <s v="Caroline Kabiru"/>
    <n v="3"/>
    <s v="Home"/>
    <s v="Host"/>
    <s v="Other"/>
    <s v="Yes"/>
    <s v="No"/>
    <s v="Yes"/>
    <s v="Academic"/>
    <s v="Lecturer"/>
    <s v="Lecturer"/>
    <s v="Yes"/>
    <m/>
    <s v="MOI UNIVERSITY"/>
    <s v="0000-0002-5122-3621"/>
    <m/>
    <d v="2011-04-01T00:00:00"/>
    <d v="2011-12-01T00:00:00"/>
    <s v="Yes"/>
    <m/>
    <m/>
    <m/>
    <m/>
    <m/>
    <m/>
    <d v="2013-07-01T00:00:00"/>
    <s v="Yes"/>
    <d v="2014-03-03T00:00:00"/>
    <s v="Yes"/>
    <m/>
    <m/>
    <m/>
    <d v="2014-03-31T00:00:00"/>
    <x v="0"/>
    <n v="36"/>
    <n v="28"/>
    <m/>
    <n v="0"/>
    <n v="1"/>
    <n v="1"/>
    <n v="2"/>
    <n v="0"/>
    <n v="0"/>
    <n v="0"/>
    <s v="JAS 2, 2011"/>
    <s v="No"/>
    <m/>
    <m/>
    <m/>
    <m/>
    <s v="No"/>
    <m/>
    <m/>
    <s v="NF"/>
    <s v="NF"/>
    <m/>
    <s v="NF"/>
  </r>
  <r>
    <n v="4"/>
    <s v="C1/004"/>
    <s v="Dieudonne"/>
    <m/>
    <s v="Uwizeye"/>
    <x v="0"/>
    <x v="0"/>
    <s v="Rwanda"/>
    <s v="University of Rwanda"/>
    <s v="Demography &amp; Population Studies"/>
    <s v="Sustainable Development"/>
    <s v="University of Dar es Salaam"/>
    <s v="No"/>
    <m/>
    <s v="Married"/>
    <s v="Married"/>
    <s v="Married"/>
    <s v="duwizeye@cartafrica.org"/>
    <s v="dr.uwizeye@gmail.com"/>
    <s v="(+250) 0788 457 397"/>
    <s v="MA English and MA in Development Studies"/>
    <d v="1981-01-01T00:00:00"/>
    <s v="Review Of Environmental And Population Health Challenges In The Rwandan Towns And Innovative Mitigation Strategies For Improved And Sustainble life"/>
    <s v="Field"/>
    <s v="No"/>
    <s v="Primary"/>
    <n v="24"/>
    <d v="2011-06-01T00:00:00"/>
    <d v="2011-03-01T00:00:00"/>
    <m/>
    <s v="Dr. Sokoni Cosmas Hassan"/>
    <m/>
    <m/>
    <n v="1"/>
    <s v="Host"/>
    <s v="Other"/>
    <m/>
    <s v="Yes"/>
    <s v="Yes"/>
    <m/>
    <s v="Academic"/>
    <s v="Assistant Lecturer"/>
    <s v="Associate Professor"/>
    <s v="Yes"/>
    <s v="Head of Department_x000a_ Deputy Team Leader of a Research Subprogram in Peace, Conflict and Security Studies at the Center for Conflict Management, University of Rwanda."/>
    <s v="UNIVERSITY OF RWANDA"/>
    <s v="0000-0002-9733-8969"/>
    <m/>
    <d v="2011-04-01T00:00:00"/>
    <d v="2011-12-01T00:00:00"/>
    <s v="Yes"/>
    <m/>
    <m/>
    <m/>
    <m/>
    <m/>
    <m/>
    <d v="2013-07-01T00:00:00"/>
    <s v="Yes"/>
    <d v="2014-03-04T00:00:00"/>
    <s v="Yes"/>
    <m/>
    <m/>
    <m/>
    <d v="2015-11-30T00:00:00"/>
    <x v="0"/>
    <n v="56"/>
    <n v="48"/>
    <m/>
    <n v="0"/>
    <n v="2"/>
    <n v="7"/>
    <n v="2"/>
    <n v="0"/>
    <n v="0"/>
    <n v="0"/>
    <s v="No"/>
    <s v="No"/>
    <m/>
    <m/>
    <m/>
    <m/>
    <s v="Yes"/>
    <m/>
    <m/>
    <n v="1"/>
    <n v="3"/>
    <m/>
    <s v="NF"/>
  </r>
  <r>
    <n v="5"/>
    <s v="C1/005"/>
    <s v="Wells"/>
    <m/>
    <s v="Utembe"/>
    <x v="0"/>
    <x v="0"/>
    <s v="Malawi"/>
    <s v="University of Malawi"/>
    <s v="Environmental Sciences"/>
    <s v="Physics and Biochemical Sciences"/>
    <s v="University of the Witwatersrand"/>
    <s v="No"/>
    <m/>
    <s v="Married"/>
    <s v="Married"/>
    <s v="Married"/>
    <s v="wutembe@cartafrica.org"/>
    <s v="wutembe@poly.ac.mw"/>
    <m/>
    <s v="Msc Environemntal (online)"/>
    <d v="1971-09-02T00:00:00"/>
    <s v="Assessment of occurrence, profile, distribution and exposure to polycyclic aromatic hydrocarbons (PAHs) in Malawi"/>
    <s v="Clinical research"/>
    <s v="yes"/>
    <s v="Primary"/>
    <n v="21"/>
    <d v="2011-04-13T00:00:00"/>
    <d v="2011-03-01T00:00:00"/>
    <m/>
    <s v="Prof Mary Gulumian"/>
    <s v="Dr. Louisa Alfazema"/>
    <m/>
    <n v="2"/>
    <s v="Host"/>
    <s v="Home"/>
    <m/>
    <s v="Yes"/>
    <s v="No"/>
    <m/>
    <s v="Academic"/>
    <s v="Lecturer"/>
    <s v="Senior Medical Epidemiologist _x000a_"/>
    <s v="Yes"/>
    <m/>
    <s v="NATIONAL INSTITUTE FOR OCCUPATIONAL HEALTH, SOUTH AFRICA (2012)"/>
    <s v="0000-0001-6547-7692"/>
    <m/>
    <d v="2011-04-01T00:00:00"/>
    <d v="2011-12-01T00:00:00"/>
    <s v="Yes"/>
    <m/>
    <m/>
    <m/>
    <m/>
    <m/>
    <m/>
    <d v="2013-07-01T00:00:00"/>
    <s v="Yes"/>
    <d v="2015-03-01T00:00:00"/>
    <s v="No"/>
    <m/>
    <m/>
    <m/>
    <d v="2016-06-30T00:00:00"/>
    <x v="0"/>
    <n v="63"/>
    <n v="55"/>
    <m/>
    <n v="0"/>
    <n v="5"/>
    <n v="15"/>
    <n v="4"/>
    <n v="0"/>
    <n v="0"/>
    <n v="0"/>
    <s v="No"/>
    <s v="No"/>
    <m/>
    <m/>
    <m/>
    <m/>
    <s v="No"/>
    <m/>
    <m/>
    <s v="NF"/>
    <s v="NF"/>
    <m/>
    <s v="NF"/>
  </r>
  <r>
    <n v="6"/>
    <s v="C1/006"/>
    <s v="Victoria"/>
    <s v="Mathew"/>
    <s v="Mwakalinga Chuma"/>
    <x v="1"/>
    <x v="0"/>
    <s v="Tanzania"/>
    <s v="Ifakara Health Institute"/>
    <s v="Biomedical and environmental sciences"/>
    <m/>
    <s v="University of the Witwatersrand"/>
    <s v="No"/>
    <m/>
    <s v="Married"/>
    <s v="Married"/>
    <s v="Married"/>
    <s v="vmwakalinga@cartafrica.org"/>
    <s v="vmwakalinga@ihi.or.tz "/>
    <s v="+255 738 357315; +255 767 366 539"/>
    <s v="Msc Urban Planing and Management"/>
    <d v="1977-09-15T00:00:00"/>
    <s v="Integrated geographical tools can enable targeted urban planning interventions to control malaria and lymphatic filariasis"/>
    <s v="Field"/>
    <s v="No"/>
    <s v="Primary"/>
    <n v="16"/>
    <d v="2011-03-07T00:00:00"/>
    <d v="2011-03-01T00:00:00"/>
    <m/>
    <s v="Dr. Maureen Coetzee"/>
    <s v="Dr. Gerry Killeen"/>
    <s v="Dr. Stefan Dongus"/>
    <n v="3"/>
    <s v="Host"/>
    <s v="Home"/>
    <s v="Home"/>
    <s v="Yes"/>
    <s v="Yes"/>
    <s v="No"/>
    <s v="Researcher"/>
    <s v="Assistant Lecturer"/>
    <s v="Senior Lecturer"/>
    <s v="Yes"/>
    <m/>
    <s v="ARTHI UNIVERSITY"/>
    <m/>
    <m/>
    <d v="2011-04-01T00:00:00"/>
    <d v="2011-12-01T00:00:00"/>
    <s v="Yes"/>
    <m/>
    <m/>
    <m/>
    <m/>
    <m/>
    <m/>
    <d v="2013-07-01T00:00:00"/>
    <s v="Yes"/>
    <d v="2014-03-01T00:00:00"/>
    <s v="Yes"/>
    <m/>
    <m/>
    <m/>
    <d v="2017-12-04T00:00:00"/>
    <x v="0"/>
    <n v="81"/>
    <n v="73"/>
    <m/>
    <s v="NF"/>
    <n v="4"/>
    <n v="1"/>
    <n v="0"/>
    <n v="0"/>
    <n v="0"/>
    <n v="1"/>
    <s v="JAS 1, 2011"/>
    <s v="No"/>
    <m/>
    <m/>
    <m/>
    <m/>
    <s v="No"/>
    <m/>
    <m/>
    <n v="3"/>
    <n v="3"/>
    <m/>
    <s v="NF"/>
  </r>
  <r>
    <n v="7"/>
    <s v="C1/007"/>
    <s v="Esnat"/>
    <s v="Dorothy"/>
    <s v="Chirwa"/>
    <x v="1"/>
    <x v="0"/>
    <s v="Malawi"/>
    <s v="University of Malawi"/>
    <s v="Mathematical Sciences"/>
    <s v="DPHRU Wits"/>
    <s v="University of the Witwatersrand"/>
    <s v="No"/>
    <m/>
    <s v="Married"/>
    <s v="Married"/>
    <s v="Married"/>
    <s v="echirwa@cartafrica.org"/>
    <s v="echirwa@chanco.unima.mw_x000a_ edkwalira@yahoo.com,"/>
    <m/>
    <s v="Masters in Biometry (online)"/>
    <d v="1971-06-06T00:00:00"/>
    <s v="Modelling longitudinal child growth within the Birth to Twenty (Soweto) and Lungwena (Mangochi, Malawi) cohorts"/>
    <s v="Field"/>
    <s v="No"/>
    <s v="Primary"/>
    <n v="7.5"/>
    <d v="2011-02-03T00:00:00"/>
    <d v="2011-03-01T00:00:00"/>
    <m/>
    <s v="Prof Shane Norris"/>
    <s v="Dr. Paula Griffiths"/>
    <s v="Assoc Prof. Ken Maleta"/>
    <n v="3"/>
    <s v="Host"/>
    <s v="Other"/>
    <s v="Home"/>
    <s v="Yes"/>
    <s v="No"/>
    <s v="No"/>
    <s v="Academic"/>
    <s v="Lecturer"/>
    <s v="Senior Biostatistician"/>
    <s v="Yes"/>
    <m/>
    <s v="SOUTH AFRICA MEDICAL RESEARCH COUNCIL "/>
    <s v="0000-0003-0471-4978"/>
    <m/>
    <d v="2011-04-01T00:00:00"/>
    <d v="2011-12-01T00:00:00"/>
    <s v="Yes"/>
    <m/>
    <m/>
    <m/>
    <m/>
    <m/>
    <m/>
    <d v="2013-07-01T00:00:00"/>
    <s v="Yes"/>
    <d v="2014-03-02T00:00:00"/>
    <s v="Yes"/>
    <m/>
    <m/>
    <m/>
    <d v="2016-10-31T00:00:00"/>
    <x v="0"/>
    <n v="67"/>
    <n v="59"/>
    <m/>
    <n v="1"/>
    <n v="7"/>
    <n v="47"/>
    <n v="3"/>
    <n v="0"/>
    <n v="0"/>
    <n v="0"/>
    <s v="No"/>
    <s v="No"/>
    <m/>
    <m/>
    <m/>
    <m/>
    <s v="No"/>
    <m/>
    <m/>
    <n v="2"/>
    <n v="2"/>
    <m/>
    <s v="NF"/>
  </r>
  <r>
    <n v="8"/>
    <s v="C1/008"/>
    <s v="Taofeek"/>
    <s v="Oluwole"/>
    <s v="Awotidebe"/>
    <x v="0"/>
    <x v="0"/>
    <s v="Nigeria"/>
    <s v="Obafemi Awolowo University"/>
    <s v="Exercise Physiology"/>
    <s v="Human Kinetics and Health Education"/>
    <s v="University of Ibadan"/>
    <s v="No"/>
    <n v="125847"/>
    <s v="Married"/>
    <s v="Married"/>
    <m/>
    <s v="tawotidebe@cartafrica.org"/>
    <s v="tidebet@yahoo.com"/>
    <s v="+2348037196021"/>
    <s v="M.SC Physiotherapy"/>
    <d v="1971-06-01T00:00:00"/>
    <s v="Cardiovascular Risk Profile And Physical Activity Level of Residents of a Semi – Urban Community  In Nigeria"/>
    <s v="Field"/>
    <s v="No"/>
    <s v="Primary"/>
    <n v="14"/>
    <d v="2011-07-15T00:00:00"/>
    <d v="2011-03-01T00:00:00"/>
    <m/>
    <s v="Professor Babalola Joseph Folorunso"/>
    <s v="Professor Lateef Babatunde Salako"/>
    <m/>
    <n v="2"/>
    <s v="Other "/>
    <m/>
    <m/>
    <s v="Yes"/>
    <m/>
    <m/>
    <s v="Academic"/>
    <s v="Lecturer II "/>
    <s v="Senior Lecturer"/>
    <s v="Yes"/>
    <s v="Vice Dean of the  Faculty of Basic Medical Sciences, College of Health Sciences"/>
    <s v="OBAFEMI AWOLOWO UNIVERSITY"/>
    <s v="0000-0002-8583-9467"/>
    <m/>
    <d v="2011-04-01T00:00:00"/>
    <d v="2011-12-01T00:00:00"/>
    <s v="Yes"/>
    <m/>
    <m/>
    <m/>
    <m/>
    <m/>
    <m/>
    <d v="2013-07-01T00:00:00"/>
    <s v="Yes"/>
    <d v="2014-03-03T00:00:00"/>
    <s v="Yes"/>
    <m/>
    <m/>
    <m/>
    <d v="2015-11-17T00:00:00"/>
    <x v="0"/>
    <n v="56"/>
    <n v="48"/>
    <m/>
    <n v="5"/>
    <n v="12"/>
    <n v="10"/>
    <n v="6"/>
    <n v="4"/>
    <n v="2"/>
    <n v="0"/>
    <s v="No"/>
    <s v="No"/>
    <m/>
    <m/>
    <m/>
    <m/>
    <s v="No"/>
    <m/>
    <m/>
    <s v="NF"/>
    <s v="NF"/>
    <m/>
    <s v="NF"/>
  </r>
  <r>
    <n v="9"/>
    <s v="C1/009"/>
    <s v="Fresier"/>
    <m/>
    <s v="Maseko"/>
    <x v="0"/>
    <x v="0"/>
    <s v="Malawi"/>
    <s v="University of Malawi"/>
    <s v="Community Health"/>
    <s v="Department of Community Health"/>
    <s v="University of the Malawi"/>
    <s v="Yes"/>
    <m/>
    <s v=""/>
    <s v="NF"/>
    <m/>
    <s v="fmaseko@cartafrica.org"/>
    <s v="fcmaseko@yahoo.com_x000a_ fmaseko@medcol.mw "/>
    <m/>
    <s v="Master of Public Health(online)"/>
    <d v="1972-08-30T00:00:00"/>
    <s v="Maximizing utilization of cervical cancer prevention services in South East Health Zone of Malawi. What would it take?"/>
    <s v="Field"/>
    <s v="No"/>
    <s v="Primary"/>
    <n v="11"/>
    <d v="2011-01-01T00:00:00"/>
    <d v="2011-03-01T00:00:00"/>
    <m/>
    <s v="Dr. Maureen Leah Chirwa"/>
    <s v="Dr. Adamson Muula"/>
    <m/>
    <n v="2"/>
    <s v="Home"/>
    <s v="Host"/>
    <m/>
    <s v="Yes"/>
    <s v="Yes"/>
    <m/>
    <s v="Academic"/>
    <m/>
    <s v="Lecturer"/>
    <m/>
    <m/>
    <s v="UNIVERSITY OF MALAWI"/>
    <s v="0000-0002-0996-4207"/>
    <m/>
    <d v="2011-04-01T00:00:00"/>
    <d v="2011-12-01T00:00:00"/>
    <s v="Yes"/>
    <m/>
    <m/>
    <m/>
    <m/>
    <m/>
    <m/>
    <d v="2013-07-01T00:00:00"/>
    <s v="Yes"/>
    <d v="2014-03-04T00:00:00"/>
    <s v="Yes"/>
    <m/>
    <m/>
    <m/>
    <d v="2016-08-31T00:00:00"/>
    <x v="0"/>
    <n v="65"/>
    <n v="57"/>
    <m/>
    <n v="7"/>
    <n v="6"/>
    <n v="1"/>
    <n v="3"/>
    <n v="1"/>
    <n v="0"/>
    <n v="0"/>
    <s v="No"/>
    <s v="No"/>
    <m/>
    <m/>
    <m/>
    <m/>
    <s v="No"/>
    <m/>
    <m/>
    <s v="NF"/>
    <s v="NF"/>
    <m/>
    <s v="NF"/>
  </r>
  <r>
    <n v="10"/>
    <s v="C1/010"/>
    <s v="François"/>
    <m/>
    <s v="Niragire"/>
    <x v="0"/>
    <x v="0"/>
    <s v="Rwanda"/>
    <s v="University of Rwanda"/>
    <s v="Statistics"/>
    <s v="Applied Statistics"/>
    <s v="University of Rwanda"/>
    <s v="Yes"/>
    <n v="213004253"/>
    <s v="Married"/>
    <s v="Married"/>
    <s v="Married"/>
    <s v="fniragire@cartafrica.org"/>
    <s v=" fniragire@ur.ac.rw; fniragiree@gmail.com; fniragire@gmail.com"/>
    <s v="+250 78 8273787/+250787427688"/>
    <s v="MSc. In Social Statistics"/>
    <d v="1973-09-08T00:00:00"/>
    <s v="Spatial modeling of the relationship between HIV prevalence and socioeconomic determinants of child mortality in Rwanda."/>
    <s v="Field"/>
    <s v="No"/>
    <s v="Secondary"/>
    <n v="13"/>
    <d v="2011-10-07T00:00:00"/>
    <d v="2011-03-01T00:00:00"/>
    <m/>
    <s v="Dr. Thomas N. O. Achia"/>
    <s v="Dr. Lyambabaje Alexandre"/>
    <s v="Joseph Ntaganira"/>
    <n v="3"/>
    <s v="Other "/>
    <s v="Home"/>
    <s v="Home"/>
    <s v="Yes"/>
    <s v="Yes"/>
    <s v="No"/>
    <s v="Academic"/>
    <s v="Assistant Lecturer"/>
    <s v="Professor "/>
    <s v="Yes"/>
    <s v="Director of Teaching and Learning,_x000a_Director of Research and Innovation at he College of Business and Economics (2022)"/>
    <s v="UNIVERSITY OF RWANDA"/>
    <s v="0000-0003-0473-387"/>
    <m/>
    <d v="2011-04-01T00:00:00"/>
    <d v="2011-12-01T00:00:00"/>
    <s v="Yes"/>
    <d v="2011-05-09T00:00:00"/>
    <m/>
    <d v="2013-01-24T00:00:00"/>
    <m/>
    <m/>
    <m/>
    <d v="2013-07-29T00:00:00"/>
    <s v="Yes"/>
    <d v="2014-03-05T00:00:00"/>
    <s v="Yes"/>
    <d v="2016-05-17T00:00:00"/>
    <d v="2017-07-31T00:00:00"/>
    <d v="2017-08-20T00:00:00"/>
    <d v="2017-07-31T00:00:00"/>
    <x v="0"/>
    <n v="76"/>
    <n v="68"/>
    <s v="Spatial modelling of the relationship between HIV prevalence and determinants of child_x000a_mortality in Rwanda"/>
    <n v="0"/>
    <n v="4"/>
    <n v="9"/>
    <n v="1"/>
    <n v="4"/>
    <n v="0"/>
    <n v="0"/>
    <s v="No"/>
    <s v="No"/>
    <m/>
    <m/>
    <m/>
    <m/>
    <s v="No"/>
    <m/>
    <m/>
    <n v="3"/>
    <n v="4"/>
    <m/>
    <s v="NF"/>
  </r>
  <r>
    <n v="11"/>
    <s v="C1/011"/>
    <s v="Joshua"/>
    <s v="Odunayo"/>
    <s v="Akinyemi"/>
    <x v="0"/>
    <x v="0"/>
    <s v="Nigeria"/>
    <s v="University of Ibadan"/>
    <s v="Epidemiology &amp; Medical Statistics"/>
    <s v="Epidemiology and Medical Statistics"/>
    <s v="University of Ibadan"/>
    <s v="Yes"/>
    <m/>
    <s v="Single"/>
    <s v="Married"/>
    <s v="Married"/>
    <s v="jakinyemi@cartafrica.org"/>
    <s v="odunjoshua@yahoo.com_x000a_ joakinyemi@com.ui.edu.ng"/>
    <s v="+234-8077677427"/>
    <s v="MSc (Medical Statistics)"/>
    <d v="1976-12-04T00:00:00"/>
    <s v="Levels, Trends and Differentials of Infant and Child Mortality in Nigeria: 1990 - 2008"/>
    <s v="Field"/>
    <s v="No"/>
    <s v="Secondary"/>
    <n v="21"/>
    <d v="2011-03-07T00:00:00"/>
    <d v="2011-03-01T00:00:00"/>
    <m/>
    <s v="Prof Afolabi Bamgboye"/>
    <s v="Prof. Olusola Ayeni"/>
    <m/>
    <n v="2"/>
    <s v="Home"/>
    <s v="Host"/>
    <m/>
    <s v="Yes"/>
    <s v="No"/>
    <m/>
    <s v="Academic"/>
    <s v="Lecturer"/>
    <s v="Professor "/>
    <s v="Yes"/>
    <m/>
    <s v="UNIVERSITY OF IBADAN"/>
    <s v="0000-0002-0675-2110"/>
    <m/>
    <d v="2011-04-01T00:00:00"/>
    <d v="2011-12-01T00:00:00"/>
    <s v="Yes"/>
    <m/>
    <m/>
    <m/>
    <m/>
    <m/>
    <m/>
    <d v="2013-07-01T00:00:00"/>
    <s v="Yes"/>
    <d v="2014-03-06T00:00:00"/>
    <s v="Yes"/>
    <m/>
    <m/>
    <m/>
    <d v="2014-02-01T00:00:00"/>
    <x v="0"/>
    <n v="35"/>
    <n v="27"/>
    <s v="Levels, Trends and Differentials in Under-five Mortality in _x000a_Nigeria (1990-2008)"/>
    <n v="18"/>
    <n v="14"/>
    <n v="117"/>
    <n v="4"/>
    <n v="2"/>
    <n v="7"/>
    <n v="6"/>
    <s v="No"/>
    <s v="No"/>
    <m/>
    <m/>
    <m/>
    <m/>
    <s v="No"/>
    <m/>
    <m/>
    <n v="0"/>
    <n v="2"/>
    <m/>
    <s v="NF"/>
  </r>
  <r>
    <n v="12"/>
    <s v="C1/012"/>
    <s v="Mphatso"/>
    <s v="Steve Wilbes"/>
    <s v="Kamndaya"/>
    <x v="0"/>
    <x v="0"/>
    <s v="Malawi"/>
    <s v="University of Malawi"/>
    <s v="Mathematics and Statistics"/>
    <m/>
    <s v="University of the Witwatersrand"/>
    <s v="No"/>
    <m/>
    <s v="Married"/>
    <s v="Married"/>
    <s v="Married"/>
    <s v="mkamndaya@cartafrica.org"/>
    <s v="kamndayam@yahoo.com"/>
    <s v="+265999851477"/>
    <s v="MSc Mathematical Statistics"/>
    <d v="1976-06-07T00:00:00"/>
    <s v="Modeling indoor air pollution to improve health delivery systems and public health in Malawi "/>
    <s v="Field"/>
    <s v="No"/>
    <s v="Primary"/>
    <n v="18"/>
    <d v="2011-03-10T00:00:00"/>
    <d v="2011-03-01T00:00:00"/>
    <m/>
    <s v="Lawrence N.M. Kazembe"/>
    <s v="Dr. Liz Thomas"/>
    <m/>
    <n v="2"/>
    <s v="Home"/>
    <s v="Host"/>
    <m/>
    <s v="Yes"/>
    <s v="No"/>
    <m/>
    <s v="Academic"/>
    <s v="Lecturer"/>
    <s v="Associate Professor "/>
    <s v="Yes"/>
    <m/>
    <s v="UNIVERSITY OF MALAWI"/>
    <s v="0000-0002-7597-3339"/>
    <m/>
    <d v="2011-04-01T00:00:00"/>
    <d v="2011-12-01T00:00:00"/>
    <s v="Yes"/>
    <m/>
    <m/>
    <d v="2012-10-11T00:00:00"/>
    <m/>
    <m/>
    <s v="Multilevel analysis of determinants of HIV- related sexual risks-taking and decision making among youths in urban informal settlements in Malawi and South Africa"/>
    <d v="2013-07-01T00:00:00"/>
    <s v="Yes"/>
    <d v="2014-03-07T00:00:00"/>
    <s v="Yes"/>
    <m/>
    <m/>
    <m/>
    <d v="2016-03-31T00:00:00"/>
    <x v="0"/>
    <n v="60"/>
    <n v="52"/>
    <m/>
    <n v="0"/>
    <n v="5"/>
    <n v="10"/>
    <n v="5"/>
    <n v="0"/>
    <n v="0"/>
    <n v="0"/>
    <s v="No"/>
    <s v="No"/>
    <m/>
    <m/>
    <m/>
    <m/>
    <s v="No"/>
    <m/>
    <m/>
    <n v="1"/>
    <n v="2"/>
    <m/>
    <s v="NF"/>
  </r>
  <r>
    <n v="13"/>
    <s v="C1/013"/>
    <s v="Esther"/>
    <s v="Clyde"/>
    <s v="Nabakwe"/>
    <x v="1"/>
    <x v="0"/>
    <s v="Kenya"/>
    <s v="Moi University"/>
    <s v="Pediatrics &amp; Child health"/>
    <m/>
    <s v="Moi University"/>
    <s v="Yes"/>
    <m/>
    <s v="Single"/>
    <s v="Single"/>
    <s v="Single"/>
    <s v="nabakwe@cartafrica.org"/>
    <s v="echirwa@chanco.unima.mw_x000a_edkwalira@yahoo.com"/>
    <m/>
    <s v="M.Med Paediatrics"/>
    <d v="1963-02-21T00:00:00"/>
    <s v="Socio-cultural and economic determinants of HIV mothers' knowledge, attitude and practise of current WHO infant feeding policy and the impact on infants' outcome"/>
    <s v="Field"/>
    <s v="No"/>
    <s v="Primary"/>
    <n v="25"/>
    <d v="2011-03-03T00:00:00"/>
    <d v="2011-03-01T00:00:00"/>
    <m/>
    <s v="Prof Joshua Akong’a"/>
    <s v="Dr. Grace Ettyang"/>
    <m/>
    <n v="2"/>
    <s v="Home"/>
    <s v="Host"/>
    <m/>
    <s v="Yes"/>
    <s v="Yes"/>
    <m/>
    <s v="Academic"/>
    <m/>
    <s v="Senior Lecturer"/>
    <m/>
    <m/>
    <s v="MOI UNIVERSITY"/>
    <s v="0000-0002-0401-3373"/>
    <m/>
    <d v="2011-04-01T00:00:00"/>
    <d v="2011-12-01T00:00:00"/>
    <s v="Yes"/>
    <d v="2011-05-02T00:00:00"/>
    <d v="2011-07-03T00:00:00"/>
    <m/>
    <m/>
    <m/>
    <m/>
    <d v="2013-07-01T00:00:00"/>
    <s v="Yes"/>
    <d v="2014-03-08T00:00:00"/>
    <s v="Yes"/>
    <m/>
    <m/>
    <m/>
    <d v="2019-08-22T00:00:00"/>
    <x v="0"/>
    <n v="101"/>
    <n v="93"/>
    <s v="Sex and young people in urban slums: Exploring the material_x000a_deprivation and sexual risk nexus in_x000a_Malawi and South Africa"/>
    <n v="4"/>
    <n v="4"/>
    <n v="2"/>
    <n v="0"/>
    <n v="0"/>
    <n v="0"/>
    <n v="0"/>
    <s v="No"/>
    <s v="No"/>
    <m/>
    <m/>
    <m/>
    <m/>
    <s v="No"/>
    <m/>
    <m/>
    <n v="3"/>
    <n v="3"/>
    <m/>
    <s v="NF"/>
  </r>
  <r>
    <n v="14"/>
    <s v="C1/014"/>
    <s v="Nicole"/>
    <m/>
    <s v="De Wet"/>
    <x v="1"/>
    <x v="0"/>
    <s v="South Africa"/>
    <s v="University of the Witwatersrand"/>
    <s v="Demography"/>
    <s v="Demography and Population Studies"/>
    <s v="University of the Witwatersrand"/>
    <s v="Yes"/>
    <s v="0211542Y"/>
    <s v="Single"/>
    <s v="Married"/>
    <s v="Single"/>
    <s v="ndewet@cartafrica.org"/>
    <s v="nicole.dewet@wits.ac.za_x000a_Nic_dewet@yahoo.com"/>
    <m/>
    <s v="Master of Arts Demography and Population Studies"/>
    <d v="1984-05-13T00:00:00"/>
    <s v="Domestic Violence and child health outcomes: An investigation into the relationship between frequency of abuse and negative child health outcomes in two African countries."/>
    <s v="Field"/>
    <s v="No"/>
    <s v="Primary"/>
    <n v="22.5"/>
    <d v="2011-03-03T00:00:00"/>
    <d v="2011-03-01T00:00:00"/>
    <m/>
    <s v="Prof Clifford Odimegwu"/>
    <m/>
    <m/>
    <n v="1"/>
    <s v="Home"/>
    <m/>
    <m/>
    <s v="No"/>
    <m/>
    <m/>
    <s v="Academic"/>
    <s v="Tutor"/>
    <s v="Associate Professor "/>
    <s v="Yes"/>
    <s v="Assistant Dean for Postgraduate Studies, Faculty of Humanities"/>
    <s v="UNIVERSITY OF THE WITWATERSRAND"/>
    <s v="0000-0001-5750-2851"/>
    <m/>
    <d v="2011-04-01T00:00:00"/>
    <d v="2011-12-01T00:00:00"/>
    <s v="Yes"/>
    <m/>
    <m/>
    <m/>
    <m/>
    <m/>
    <m/>
    <d v="2013-07-01T00:00:00"/>
    <s v="Yes"/>
    <d v="2014-03-09T00:00:00"/>
    <s v="Yes"/>
    <m/>
    <m/>
    <m/>
    <d v="2013-11-30T00:00:00"/>
    <x v="0"/>
    <n v="32"/>
    <n v="24"/>
    <m/>
    <n v="0"/>
    <n v="2"/>
    <n v="56"/>
    <n v="4"/>
    <n v="6"/>
    <n v="11"/>
    <n v="7"/>
    <s v="No"/>
    <s v="No"/>
    <m/>
    <m/>
    <m/>
    <m/>
    <s v="No"/>
    <m/>
    <m/>
    <n v="0"/>
    <n v="0"/>
    <m/>
    <s v="NF"/>
  </r>
  <r>
    <n v="15"/>
    <s v="C1/015"/>
    <s v="Kennedy"/>
    <s v="S.Naviava"/>
    <s v="Otwombe"/>
    <x v="0"/>
    <x v="0"/>
    <s v="South Africa"/>
    <s v="University of the Witwatersrand"/>
    <s v=" Epidemiology &amp; Medical Biostatistics"/>
    <s v="Perinatal HIV Research Unit, Dept. Data and Statistics"/>
    <s v="University of the Witwatersrand"/>
    <s v="Yes"/>
    <m/>
    <s v="Married"/>
    <s v="Married"/>
    <s v="Married"/>
    <s v="otwombek@phru.co.za"/>
    <s v="otwombek@phru.co.za"/>
    <m/>
    <s v="M.Sc Mathematical statistics"/>
    <d v="1973-05-17T00:00:00"/>
    <s v="Use of frailty modeling with arbitrary censoring in determining predictors of mortality for a Clinical researchized HIV positive population in South Africa"/>
    <s v="Clinical research"/>
    <s v="No"/>
    <s v="Secondary"/>
    <n v="21"/>
    <d v="2011-04-05T00:00:00"/>
    <d v="2011-03-01T00:00:00"/>
    <m/>
    <s v="Dr. Tobias Chirwa"/>
    <s v="Dr. Guy de Bruyn"/>
    <m/>
    <n v="2"/>
    <s v="Home"/>
    <s v="Home"/>
    <m/>
    <s v="Yes"/>
    <s v="No"/>
    <m/>
    <s v="Other"/>
    <s v="Senior Statistician"/>
    <s v="Associate Professor "/>
    <s v="Yes"/>
    <m/>
    <s v="UNIVERSITY OF THE WITWATERSRAND"/>
    <s v="0000-0002-7433-4383"/>
    <m/>
    <d v="2011-04-01T00:00:00"/>
    <d v="2011-12-01T00:00:00"/>
    <s v="Yes"/>
    <m/>
    <m/>
    <m/>
    <m/>
    <m/>
    <m/>
    <d v="2013-07-01T00:00:00"/>
    <s v="Yes"/>
    <d v="2014-03-10T00:00:00"/>
    <s v="Yes"/>
    <m/>
    <m/>
    <m/>
    <d v="2018-07-04T00:00:00"/>
    <x v="0"/>
    <n v="88"/>
    <n v="80"/>
    <m/>
    <n v="8"/>
    <n v="45"/>
    <n v="55"/>
    <n v="5"/>
    <n v="2"/>
    <n v="0"/>
    <n v="0"/>
    <s v="No"/>
    <s v="No"/>
    <m/>
    <m/>
    <m/>
    <m/>
    <s v="No"/>
    <m/>
    <m/>
    <n v="2"/>
    <n v="2"/>
    <m/>
    <s v="NF"/>
  </r>
  <r>
    <n v="16"/>
    <s v="C1/016"/>
    <s v="Peter"/>
    <s v="Suriwakenda"/>
    <s v="Nyasulu"/>
    <x v="0"/>
    <x v="0"/>
    <s v="Malawi"/>
    <s v="University of the Witwatersrand"/>
    <s v=" Epidemiology &amp; Medical Biostatistics"/>
    <s v="Division of Epidemiology &amp; Medical Biostatistics"/>
    <s v="University of the Witwatersrand"/>
    <s v="Yes"/>
    <m/>
    <s v=""/>
    <s v="Married"/>
    <m/>
    <s v="pnyasulu@cartafrica.org"/>
    <s v="Peter.Nyasulu@wits.ac.za"/>
    <m/>
    <s v="M.Sc (Medicine)"/>
    <d v="1968-12-29T00:00:00"/>
    <s v="Surveillance of antimicrobial susceptibility patterns among pathogens isolated in public sector Clinical researchs associated with academic institutions, South Africa during a 5 year period 2005-2009"/>
    <s v="Clinical research - Retrospective"/>
    <s v="yes"/>
    <s v="Secondary"/>
    <n v="11"/>
    <d v="2011-03-03T00:00:00"/>
    <d v="2011-03-01T00:00:00"/>
    <m/>
    <s v="Prof Jill Murray"/>
    <s v="Prof. Hendrik J. Koornhof"/>
    <s v="Dr. Olga Perovic"/>
    <n v="3"/>
    <s v="Home"/>
    <s v="Home"/>
    <s v="Home"/>
    <s v="Yes"/>
    <s v="No"/>
    <s v="No"/>
    <s v="Academic"/>
    <m/>
    <s v="Associate Professor "/>
    <s v="Yes"/>
    <m/>
    <s v="STELLENBOSCH UNIVERSITY"/>
    <s v="0000-0003-2757-0663"/>
    <m/>
    <d v="2011-04-01T00:00:00"/>
    <d v="2011-12-01T00:00:00"/>
    <s v="Yes"/>
    <m/>
    <m/>
    <m/>
    <m/>
    <m/>
    <m/>
    <d v="2013-07-01T00:00:00"/>
    <s v="Yes"/>
    <d v="2014-03-11T00:00:00"/>
    <s v="Yes"/>
    <m/>
    <m/>
    <m/>
    <d v="2014-09-30T00:00:00"/>
    <x v="0"/>
    <n v="42"/>
    <n v="34"/>
    <m/>
    <n v="3"/>
    <n v="10"/>
    <n v="77"/>
    <n v="4"/>
    <n v="10"/>
    <n v="6"/>
    <n v="9"/>
    <s v="No"/>
    <s v="No"/>
    <m/>
    <m/>
    <m/>
    <m/>
    <s v="No"/>
    <m/>
    <m/>
    <s v="NF"/>
    <s v="NF"/>
    <m/>
    <s v="NF"/>
  </r>
  <r>
    <n v="17"/>
    <s v="C1/017"/>
    <s v="Rose"/>
    <s v="Okoyo"/>
    <s v="Opiyo"/>
    <x v="1"/>
    <x v="0"/>
    <s v="Kenya"/>
    <s v="University of Nairobi"/>
    <s v="Nutrition"/>
    <s v="Food Science, Nutrition and Technology"/>
    <s v="University of Nairobi"/>
    <s v="Yes"/>
    <s v="A80/82301/2011"/>
    <s v="Married"/>
    <s v="Married"/>
    <s v="Married"/>
    <s v="ropiyo@cartafrica.org"/>
    <s v="roseopiyo@uonbi.ac.ke_x000a_ roseopiyo04@yahoo.co.uk"/>
    <s v="+254 722473122"/>
    <s v="Msc Applied Human Nutrition"/>
    <d v="1962-12-12T00:00:00"/>
    <s v="Effect of Omega-3 Fatty Acids (Fish Oil) Supplementation along with Diet on Depression and Nutrition Status of HIV-Seropositive and HIV-Seronegative Pregnant Mothers among Low-income Urban Population in Nairobi"/>
    <s v="Clinical research - RCT"/>
    <s v="yes"/>
    <s v="Primary"/>
    <n v="17"/>
    <d v="2011-09-15T00:00:00"/>
    <d v="2011-03-01T00:00:00"/>
    <m/>
    <s v="Prof. Wambui Kogi-Makau"/>
    <s v="Prof. Koigi R. Kamau"/>
    <s v="Dr. Anne Obondo"/>
    <n v="3"/>
    <s v="Home"/>
    <s v="Home"/>
    <s v="Home"/>
    <s v="Yes"/>
    <s v="No"/>
    <s v="No"/>
    <s v="Academic"/>
    <s v=" Lecturer"/>
    <s v="Senior Lecturer"/>
    <s v="Yes"/>
    <s v="Member of  College of Health Sciences, University of Nairobi Committee on Guidelines for PhD Equivalent Qualifications for Clinicians."/>
    <s v="UNIVERSITY OF NAIROBI"/>
    <s v="0000-0003-1885-9991"/>
    <m/>
    <d v="2011-04-01T00:00:00"/>
    <d v="2011-12-01T00:00:00"/>
    <s v="Yes"/>
    <m/>
    <m/>
    <m/>
    <m/>
    <m/>
    <s v="Effect of fish oil Omega- 3 fatty acids on reduction of depressive symptoms among HIV - seropositive pregnant women"/>
    <d v="2013-07-01T00:00:00"/>
    <s v="Yes"/>
    <d v="2014-03-12T00:00:00"/>
    <s v="Yes"/>
    <m/>
    <m/>
    <m/>
    <d v="2015-09-30T00:00:00"/>
    <x v="0"/>
    <n v="54"/>
    <n v="46"/>
    <s v="Effect of fish oil Omega- 3 fatty acids on reduction of depressive symptoms among HIV - seropositive pregnant women"/>
    <m/>
    <n v="3"/>
    <n v="8"/>
    <n v="1"/>
    <n v="1"/>
    <n v="1"/>
    <n v="0"/>
    <s v="No"/>
    <s v="No"/>
    <m/>
    <m/>
    <m/>
    <m/>
    <s v="No"/>
    <m/>
    <m/>
    <n v="2"/>
    <n v="2"/>
    <m/>
    <s v="NF"/>
  </r>
  <r>
    <n v="18"/>
    <s v="C1/018"/>
    <s v="Sunday"/>
    <s v="Adepoju"/>
    <s v="Adedini"/>
    <x v="0"/>
    <x v="0"/>
    <s v="Nigeria"/>
    <s v="Obafemi Awolowo University"/>
    <s v="Demography and Population Studies"/>
    <s v="Demography and Population Studies"/>
    <s v="University of the Witwatersrand"/>
    <s v="No"/>
    <n v="560454"/>
    <s v="Married"/>
    <s v="Married"/>
    <s v="Married"/>
    <s v="sadedini@cartafrica.org"/>
    <s v="sunday.adedini@gmail.com_x000a_adedinisunday@yahoo.com"/>
    <s v="+234-803 397 7498"/>
    <s v="M.Sc Demography and Social Statistics "/>
    <d v="1975-04-27T00:00:00"/>
    <s v="Multilevel Analysis of Determinants of Infant and Child Mortality in West Africa"/>
    <s v="Field"/>
    <s v="No"/>
    <s v="Secondary"/>
    <n v="13"/>
    <d v="2011-02-08T00:00:00"/>
    <d v="2011-03-01T00:00:00"/>
    <m/>
    <s v="Prof Clifford Odimegwu"/>
    <s v="Dr. Samson Bamiwuye"/>
    <m/>
    <n v="2"/>
    <s v="Host"/>
    <s v="Home"/>
    <m/>
    <s v="Yes"/>
    <s v="Yes"/>
    <m/>
    <s v="Academic"/>
    <s v="Lecturer"/>
    <s v="Professor "/>
    <s v="Yes"/>
    <s v="Head Demographer; Head of Demography and Social Statistics (2021)"/>
    <s v="FEDERAL UNIVERSITY, OYE-EKITI (2020)"/>
    <s v="0000-0003-0378-1941"/>
    <m/>
    <d v="2011-04-01T00:00:00"/>
    <d v="2011-12-01T00:00:00"/>
    <s v="Yes"/>
    <m/>
    <m/>
    <m/>
    <m/>
    <m/>
    <m/>
    <d v="2013-07-01T00:00:00"/>
    <s v="Yes"/>
    <d v="2014-03-13T00:00:00"/>
    <s v="Yes"/>
    <m/>
    <m/>
    <m/>
    <d v="2013-03-01T00:00:00"/>
    <x v="0"/>
    <n v="24"/>
    <n v="16"/>
    <m/>
    <s v="NF"/>
    <n v="4"/>
    <n v="43"/>
    <n v="6"/>
    <n v="4"/>
    <n v="6"/>
    <n v="6"/>
    <s v="No"/>
    <s v="No"/>
    <m/>
    <m/>
    <m/>
    <m/>
    <s v="No"/>
    <m/>
    <m/>
    <n v="3"/>
    <n v="3"/>
    <m/>
    <s v="NF"/>
  </r>
  <r>
    <n v="19"/>
    <s v="C1/019"/>
    <s v="Sulaimon"/>
    <s v="Taiwo"/>
    <s v="Adedokun"/>
    <x v="0"/>
    <x v="0"/>
    <s v="Nigeria"/>
    <s v="Obafemi Awolowo University"/>
    <s v="Demography and Social Statistics"/>
    <s v="Demography and Social Statistics"/>
    <s v="Obafemi Awolowo University"/>
    <s v="Yes"/>
    <m/>
    <s v="Married"/>
    <s v="Married"/>
    <s v="Married"/>
    <s v="sadedokun@cartafrica.org"/>
    <s v="adedokunsulait@gmail.com"/>
    <s v="+2348051398276"/>
    <s v="M.Sc Demography and Social Statistics "/>
    <d v="1972-12-11T00:00:00"/>
    <s v="Maternal and Socio-demographic Correlates of Under-five Mortality in Yobe State, Nigeria"/>
    <s v="Field"/>
    <s v="No"/>
    <s v="Secondary"/>
    <n v="21.5"/>
    <d v="2011-03-03T00:00:00"/>
    <d v="2011-03-01T00:00:00"/>
    <m/>
    <s v="Ogunjuyigbe Peter Olasupo"/>
    <m/>
    <m/>
    <n v="1"/>
    <s v="Home"/>
    <m/>
    <m/>
    <s v="Yes"/>
    <m/>
    <m/>
    <s v="Academic"/>
    <s v="Lecturer II"/>
    <s v="Associate Professor "/>
    <s v="Yes"/>
    <m/>
    <s v="OBAFEMI AWOLOWO UNIVERSITY"/>
    <s v="0000-0003-0021-8045"/>
    <m/>
    <d v="2011-04-01T00:00:00"/>
    <d v="2011-12-01T00:00:00"/>
    <s v="Yes"/>
    <m/>
    <m/>
    <d v="2012-11-12T00:00:00"/>
    <m/>
    <m/>
    <s v="Comparative analysis of the factors accounting for under-five mortality differentials in North East and South West of Nigeria"/>
    <d v="2013-07-01T00:00:00"/>
    <s v="Yes"/>
    <d v="2015-03-01T00:00:00"/>
    <s v="No"/>
    <m/>
    <m/>
    <m/>
    <d v="2013-05-01T00:00:00"/>
    <x v="0"/>
    <n v="26"/>
    <n v="18"/>
    <s v="Comparative analysis of the factors accounting for under-five mortality differentials in North East and South West of Nigeria"/>
    <m/>
    <m/>
    <n v="12"/>
    <n v="0"/>
    <n v="0"/>
    <n v="4"/>
    <n v="1"/>
    <s v="No"/>
    <s v="No"/>
    <m/>
    <m/>
    <m/>
    <m/>
    <s v="No"/>
    <m/>
    <m/>
    <n v="3"/>
    <n v="5"/>
    <m/>
    <s v="NF"/>
  </r>
  <r>
    <n v="20"/>
    <s v="C1/020"/>
    <s v="Sulaimon"/>
    <s v="Atolagbe"/>
    <s v="Afolabi"/>
    <x v="0"/>
    <x v="0"/>
    <s v="Nigeria"/>
    <s v="AGINCOURT"/>
    <s v="Demography &amp; Population Studies"/>
    <s v="Demography &amp; Population Studies"/>
    <s v="University of the Witwatersrand"/>
    <s v="No"/>
    <s v="0607789e"/>
    <s v=""/>
    <s v="Married"/>
    <m/>
    <s v="safolabi@cartafrica.org"/>
    <s v="afolaborn@gmail.com"/>
    <s v="+2771718311"/>
    <s v="MA in Demography and Population studies"/>
    <d v="1978-09-11T00:00:00"/>
    <s v="License to move: a longitudinal study of migration and its relation to HIV and TB in high mortality post-apartheid South Africa."/>
    <s v="Field"/>
    <s v="yes"/>
    <s v="Primary"/>
    <n v="12"/>
    <d v="2011-03-07T00:00:00"/>
    <d v="2011-03-01T00:00:00"/>
    <m/>
    <s v="Dr. Mark Collinson"/>
    <s v="Prof. Philippe Bocquier"/>
    <m/>
    <n v="2"/>
    <s v="Home"/>
    <s v="Host"/>
    <m/>
    <s v="Yes"/>
    <s v="No"/>
    <m/>
    <s v="Other"/>
    <m/>
    <s v="Lead Data Scientist"/>
    <m/>
    <m/>
    <s v="UNIVERSITY OF THE WITWATERSRAND"/>
    <s v="0000-0001-9382-6386"/>
    <m/>
    <d v="2011-04-01T00:00:00"/>
    <d v="2011-12-01T00:00:00"/>
    <s v="Yes"/>
    <m/>
    <m/>
    <m/>
    <m/>
    <m/>
    <m/>
    <d v="2013-07-01T00:00:00"/>
    <s v="Yes"/>
    <d v="2014-03-14T00:00:00"/>
    <s v="Yes"/>
    <m/>
    <m/>
    <m/>
    <d v="2017-12-04T00:00:00"/>
    <x v="0"/>
    <n v="81"/>
    <n v="73"/>
    <m/>
    <n v="1"/>
    <n v="8"/>
    <n v="3"/>
    <n v="0"/>
    <n v="0"/>
    <n v="0"/>
    <n v="0"/>
    <s v="No"/>
    <s v="No"/>
    <m/>
    <m/>
    <m/>
    <m/>
    <s v="No"/>
    <m/>
    <m/>
    <s v="NF"/>
    <s v="NF"/>
    <m/>
    <s v="NF"/>
  </r>
  <r>
    <n v="22"/>
    <s v="C1/022"/>
    <s v="Theresa"/>
    <s v="Njeri"/>
    <s v="Kinyari"/>
    <x v="1"/>
    <x v="0"/>
    <s v="Kenya"/>
    <s v="University of Nairobi"/>
    <m/>
    <m/>
    <m/>
    <m/>
    <s v="NF"/>
    <s v="NF"/>
    <s v="NF"/>
    <s v="NF"/>
    <m/>
    <m/>
    <m/>
    <m/>
    <m/>
    <m/>
    <m/>
    <m/>
    <m/>
    <m/>
    <m/>
    <d v="2011-03-01T00:00:00"/>
    <d v="2011-11-18T00:00:00"/>
    <m/>
    <m/>
    <m/>
    <n v="0"/>
    <m/>
    <m/>
    <m/>
    <m/>
    <m/>
    <m/>
    <m/>
    <m/>
    <m/>
    <m/>
    <m/>
    <m/>
    <m/>
    <m/>
    <d v="2011-04-01T00:00:00"/>
    <m/>
    <m/>
    <m/>
    <m/>
    <m/>
    <m/>
    <m/>
    <m/>
    <m/>
    <m/>
    <m/>
    <m/>
    <m/>
    <m/>
    <m/>
    <m/>
    <x v="1"/>
    <s v="Terminated"/>
    <m/>
    <m/>
    <m/>
    <m/>
    <m/>
    <m/>
    <m/>
    <m/>
    <m/>
    <s v="No"/>
    <s v=""/>
    <m/>
    <m/>
    <m/>
    <m/>
    <m/>
    <m/>
    <m/>
    <m/>
    <m/>
    <m/>
    <s v="NF"/>
  </r>
  <r>
    <n v="23"/>
    <s v="C1/023"/>
    <s v="Peter "/>
    <s v="Mwamba "/>
    <s v="Maturi"/>
    <x v="0"/>
    <x v="0"/>
    <s v="Kenya"/>
    <s v="University of Nairobi"/>
    <m/>
    <m/>
    <s v="University of Nairobi"/>
    <s v="Yes"/>
    <s v="NF"/>
    <s v="NF"/>
    <s v="NF"/>
    <s v="NF"/>
    <m/>
    <m/>
    <m/>
    <m/>
    <m/>
    <m/>
    <m/>
    <m/>
    <m/>
    <m/>
    <m/>
    <d v="2011-03-01T00:00:00"/>
    <d v="2016-08-31T00:00:00"/>
    <m/>
    <m/>
    <m/>
    <n v="0"/>
    <m/>
    <m/>
    <m/>
    <m/>
    <m/>
    <m/>
    <m/>
    <m/>
    <m/>
    <m/>
    <m/>
    <m/>
    <m/>
    <m/>
    <d v="2011-04-01T00:00:00"/>
    <m/>
    <m/>
    <m/>
    <m/>
    <m/>
    <m/>
    <m/>
    <m/>
    <m/>
    <m/>
    <m/>
    <m/>
    <m/>
    <m/>
    <m/>
    <m/>
    <x v="1"/>
    <s v="Terminated"/>
    <m/>
    <m/>
    <m/>
    <m/>
    <m/>
    <m/>
    <m/>
    <m/>
    <m/>
    <s v="No"/>
    <s v=""/>
    <m/>
    <m/>
    <m/>
    <m/>
    <m/>
    <m/>
    <m/>
    <m/>
    <m/>
    <m/>
    <s v="NF"/>
  </r>
  <r>
    <n v="24"/>
    <s v="C1/024"/>
    <s v="Jaclkline"/>
    <s v="Halima"/>
    <s v="Mgumia"/>
    <x v="1"/>
    <x v="0"/>
    <s v="Tanzania"/>
    <s v="University of Dar es Salaam"/>
    <m/>
    <m/>
    <m/>
    <m/>
    <s v="NF"/>
    <s v="NF"/>
    <s v="NF"/>
    <s v="NF"/>
    <m/>
    <m/>
    <m/>
    <m/>
    <m/>
    <m/>
    <m/>
    <m/>
    <m/>
    <m/>
    <m/>
    <d v="2011-03-01T00:00:00"/>
    <d v="2012-12-31T00:00:00"/>
    <m/>
    <m/>
    <m/>
    <n v="0"/>
    <m/>
    <m/>
    <m/>
    <m/>
    <m/>
    <m/>
    <m/>
    <m/>
    <m/>
    <m/>
    <m/>
    <m/>
    <m/>
    <m/>
    <d v="2011-04-01T00:00:00"/>
    <m/>
    <m/>
    <m/>
    <m/>
    <m/>
    <m/>
    <m/>
    <m/>
    <m/>
    <m/>
    <m/>
    <m/>
    <m/>
    <m/>
    <m/>
    <m/>
    <x v="1"/>
    <s v="Terminated"/>
    <m/>
    <m/>
    <m/>
    <m/>
    <m/>
    <m/>
    <m/>
    <m/>
    <m/>
    <s v="No"/>
    <m/>
    <m/>
    <m/>
    <m/>
    <m/>
    <m/>
    <m/>
    <m/>
    <m/>
    <m/>
    <m/>
    <s v="NF"/>
  </r>
  <r>
    <n v="26"/>
    <s v="C2/001"/>
    <s v="Adebolajo"/>
    <m/>
    <s v="Adeyemo"/>
    <x v="0"/>
    <x v="1"/>
    <s v="Nigeria"/>
    <s v="University of Ibadan"/>
    <s v="Epidemiology"/>
    <m/>
    <s v="University of Ibadan"/>
    <s v="Yes"/>
    <m/>
    <s v="Married"/>
    <s v="Married"/>
    <m/>
    <s v="aadeyemo@cartafrica.org"/>
    <s v="adebolajo@hotmail.com"/>
    <m/>
    <s v="M.Sc Immunology"/>
    <d v="1974-02-02T00:00:00"/>
    <s v="Genetic epidemiology in Nigeria"/>
    <s v="Field"/>
    <s v="yes"/>
    <s v="Primary"/>
    <n v="13.5"/>
    <d v="2012-01-16T00:00:00"/>
    <d v="2012-03-01T00:00:00"/>
    <m/>
    <s v="Prof. Odunayo Moronfoluwa Oluwatosin"/>
    <s v="Prof. Omotade Olayemi Olufemi-Julius"/>
    <m/>
    <n v="2"/>
    <s v="Home"/>
    <s v="Home"/>
    <m/>
    <s v="Yes"/>
    <s v="No"/>
    <m/>
    <s v="Academic"/>
    <s v="Assistant Lecturer"/>
    <s v="Senior Medical Research Fellow"/>
    <s v="Yes"/>
    <m/>
    <s v="UNIVERSITY OF IBADAN"/>
    <s v="0000-0002-7486-5758"/>
    <m/>
    <d v="2012-03-01T00:00:00"/>
    <d v="2012-11-01T00:00:00"/>
    <s v="Yes"/>
    <m/>
    <m/>
    <m/>
    <m/>
    <m/>
    <m/>
    <d v="2014-08-01T00:00:00"/>
    <s v="Yes"/>
    <d v="2015-03-01T00:00:00"/>
    <s v="Yes"/>
    <m/>
    <m/>
    <m/>
    <d v="2023-09-14T00:00:00"/>
    <x v="0"/>
    <n v="139"/>
    <n v="131"/>
    <m/>
    <n v="1"/>
    <n v="14"/>
    <n v="0"/>
    <n v="1"/>
    <n v="0"/>
    <n v="0"/>
    <n v="0"/>
    <s v="No"/>
    <n v="0"/>
    <m/>
    <m/>
    <m/>
    <m/>
    <s v="No"/>
    <m/>
    <m/>
    <n v="2"/>
    <s v="NF"/>
    <m/>
    <s v="NF"/>
  </r>
  <r>
    <n v="27"/>
    <s v="C2/002"/>
    <s v="Alinane Linda"/>
    <m/>
    <s v="Nyondo-Mipando"/>
    <x v="1"/>
    <x v="1"/>
    <s v="Malawi"/>
    <s v="University of Malawi"/>
    <s v="Health Systems and Policy"/>
    <s v="Health Systems and Policy"/>
    <s v="University of the Malawi"/>
    <s v="Yes"/>
    <s v="-"/>
    <s v="Married"/>
    <s v="Married"/>
    <s v="Married"/>
    <s v="alinda@cartafrica.org"/>
    <s v="lindaalinane@gmail.com"/>
    <s v="+265 999 44 1212"/>
    <s v="Master of Nursing (Community Health) Online"/>
    <d v="1976-12-09T00:00:00"/>
    <s v="The feasibility of male involvement in Prevention of Mother to Child Transmission of HIV services in Malawi."/>
    <s v="Field"/>
    <s v="No"/>
    <s v="Primary"/>
    <n v="18"/>
    <d v="2012-01-09T00:00:00"/>
    <d v="2012-03-01T00:00:00"/>
    <m/>
    <s v="Dr. Angela Chimwaza"/>
    <s v="Dr. Adamson Muula"/>
    <m/>
    <n v="2"/>
    <s v="Home"/>
    <s v="Home"/>
    <m/>
    <s v="Yes"/>
    <s v="Yes"/>
    <m/>
    <s v="Academic"/>
    <s v="Project Coordinator"/>
    <s v="Associate Professor"/>
    <s v="Yes"/>
    <s v="Deputy Dean, SPH and coordinator of Postgraduate Programs, School of Governance"/>
    <s v="_x000a_UNIVERSITY OF LIVERPOOL, DEPARTMENT OF WOMEN'S AND CHILDREN'S HEALTH (2022)"/>
    <s v=" 0000-0002-3572-3810"/>
    <m/>
    <d v="2012-03-01T00:00:00"/>
    <d v="2012-11-01T00:00:00"/>
    <s v="Yes"/>
    <m/>
    <m/>
    <m/>
    <m/>
    <m/>
    <m/>
    <d v="2014-08-01T00:00:00"/>
    <s v="Yes"/>
    <d v="2015-03-01T00:00:00"/>
    <s v="Yes"/>
    <m/>
    <m/>
    <m/>
    <d v="2016-03-31T00:00:00"/>
    <x v="0"/>
    <n v="49"/>
    <n v="41"/>
    <m/>
    <n v="0"/>
    <n v="4"/>
    <n v="36"/>
    <n v="1"/>
    <n v="0"/>
    <n v="1"/>
    <n v="1"/>
    <s v="No"/>
    <n v="0"/>
    <m/>
    <m/>
    <m/>
    <m/>
    <s v="No"/>
    <m/>
    <m/>
    <n v="2"/>
    <n v="2"/>
    <m/>
    <s v="FF"/>
  </r>
  <r>
    <n v="28"/>
    <s v="C2/003"/>
    <s v="Austin"/>
    <s v="Henderson"/>
    <s v="Mtethiwa"/>
    <x v="0"/>
    <x v="1"/>
    <s v="Malawi"/>
    <s v="University of Malawi"/>
    <s v="Environmental Sciences"/>
    <m/>
    <s v="University of the Malawi"/>
    <s v="Yes"/>
    <m/>
    <m/>
    <s v="NF"/>
    <m/>
    <s v="amtethiwa@cartafrica.org"/>
    <m/>
    <s v="+265888316331"/>
    <s v="M. Sc Limnology &amp; Wetland Ecosystems"/>
    <n v="26796"/>
    <s v="Contribution of domestic waste water treatment plants to proliferation of schistosomiasis and pollution of aquatic resources and ability herbaceous plants for waste water treatment"/>
    <s v="Field"/>
    <s v="yes"/>
    <s v="Primary"/>
    <n v="12"/>
    <d v="2012-03-09T00:00:00"/>
    <d v="2012-03-01T00:00:00"/>
    <m/>
    <s v="Wilson Mandala"/>
    <s v="Dr. Lucy Namkinga"/>
    <m/>
    <n v="2"/>
    <s v="Home"/>
    <s v="Other"/>
    <m/>
    <s v="Yes"/>
    <s v="Yes"/>
    <m/>
    <s v="Academic"/>
    <s v="Lecturer"/>
    <s v="Associate Professor"/>
    <s v="Yes"/>
    <m/>
    <s v="UNIVERSITY OF MALAWI"/>
    <s v="0000-0003-0793-5186"/>
    <m/>
    <d v="2012-03-01T00:00:00"/>
    <d v="2012-11-01T00:00:00"/>
    <s v="Yes"/>
    <m/>
    <m/>
    <m/>
    <m/>
    <m/>
    <m/>
    <d v="2014-08-01T00:00:00"/>
    <s v="Yes"/>
    <d v="2015-03-01T00:00:00"/>
    <s v="Yes"/>
    <m/>
    <m/>
    <m/>
    <d v="2016-11-30T00:00:00"/>
    <x v="0"/>
    <n v="57"/>
    <n v="49"/>
    <m/>
    <n v="2"/>
    <n v="1"/>
    <n v="9"/>
    <n v="1"/>
    <n v="1"/>
    <n v="0"/>
    <n v="0"/>
    <s v="No"/>
    <n v="0"/>
    <m/>
    <m/>
    <m/>
    <m/>
    <s v="No"/>
    <m/>
    <m/>
    <s v="NF"/>
    <s v="NF"/>
    <m/>
    <s v="CARNEGIE 2"/>
  </r>
  <r>
    <n v="29"/>
    <s v="C2/004"/>
    <s v="Diana"/>
    <s v="-"/>
    <s v="Menya"/>
    <x v="1"/>
    <x v="1"/>
    <s v="Kenya"/>
    <s v="Moi University"/>
    <s v="Medical Epidemiology"/>
    <s v="Library"/>
    <s v="Moi University"/>
    <s v="Yes"/>
    <m/>
    <s v="Married"/>
    <s v="Married"/>
    <m/>
    <s v="dmenya@cartafrica.org"/>
    <s v="dianamenya@gmail.com"/>
    <s v="+254 720352579/+254 733777500"/>
    <s v="MSc. Clinical Epidemiology"/>
    <d v="1975-05-17T00:00:00"/>
    <m/>
    <s v="Clinical research"/>
    <s v="unkown"/>
    <s v="Primary"/>
    <m/>
    <d v="2013-03-01T00:00:00"/>
    <d v="2012-03-01T00:00:00"/>
    <m/>
    <s v="Prof. Odipo Osano"/>
    <s v="Prof Rafael Carel"/>
    <m/>
    <n v="2"/>
    <s v="Other "/>
    <s v="Other"/>
    <m/>
    <s v="No"/>
    <s v="No"/>
    <m/>
    <s v="Academic"/>
    <s v="Senior Lecturer"/>
    <s v="Associate Professor"/>
    <s v="Yes"/>
    <m/>
    <s v="MOI UNIVERSITY"/>
    <s v="000 0000337081871"/>
    <m/>
    <d v="2012-03-01T00:00:00"/>
    <d v="2012-11-01T00:00:00"/>
    <s v="Yes"/>
    <m/>
    <m/>
    <m/>
    <m/>
    <m/>
    <m/>
    <d v="2014-08-01T00:00:00"/>
    <s v="Yes"/>
    <d v="2015-03-01T00:00:00"/>
    <s v="Yes"/>
    <m/>
    <m/>
    <m/>
    <d v="2016-11-30T00:00:00"/>
    <x v="0"/>
    <n v="57"/>
    <n v="49"/>
    <s v="Behavioral, Nutritional and Environmental Factors_x000a_associated with Esophageal Cancer in western Kenya"/>
    <n v="8"/>
    <n v="19"/>
    <n v="43"/>
    <n v="2"/>
    <n v="2"/>
    <n v="1"/>
    <n v="0"/>
    <s v="No"/>
    <n v="0"/>
    <m/>
    <m/>
    <m/>
    <m/>
    <s v="No"/>
    <m/>
    <m/>
    <n v="2"/>
    <n v="2"/>
    <n v="2"/>
    <s v="NF"/>
  </r>
  <r>
    <n v="30"/>
    <s v="C2/005"/>
    <s v="Evaline"/>
    <m/>
    <s v="Mcharo"/>
    <x v="1"/>
    <x v="1"/>
    <s v="Tanzania"/>
    <s v="University of Dar es Salaam"/>
    <s v="Epidemiology"/>
    <s v="Geography"/>
    <s v="University of Nairobi"/>
    <s v="No"/>
    <m/>
    <s v="Single"/>
    <s v="Single"/>
    <s v="Single"/>
    <s v="emcharo@cartafrica.org"/>
    <s v="mcharoevaline@gmail.com;_x000a_evalinemcharo@yahoo.co.uk"/>
    <m/>
    <s v="MA in demography (online)"/>
    <d v="1979-07-28T00:00:00"/>
    <s v="Socioeconomic determinants of unsafe abortion and its implication to women in Tanzania."/>
    <s v="Field"/>
    <s v="No"/>
    <s v="Primary"/>
    <n v="21.5"/>
    <d v="2012-02-07T00:00:00"/>
    <d v="2012-03-01T00:00:00"/>
    <m/>
    <s v="Dr. Lawrence Ikamari"/>
    <s v="Dr. Alfred Agwanda Otieno"/>
    <m/>
    <n v="2"/>
    <s v="Host"/>
    <s v="Host"/>
    <m/>
    <s v="Yes"/>
    <s v="Yes"/>
    <m/>
    <s v="Researcher"/>
    <s v="Assistant Lecturer"/>
    <s v="Lecturer"/>
    <s v="Yes"/>
    <m/>
    <s v="UNIVERSITY OF DAR ES SALAAM"/>
    <m/>
    <m/>
    <d v="2012-03-01T00:00:00"/>
    <d v="2012-11-01T00:00:00"/>
    <s v="Yes"/>
    <m/>
    <m/>
    <m/>
    <m/>
    <m/>
    <m/>
    <d v="2014-08-01T00:00:00"/>
    <s v="Yes"/>
    <d v="2015-03-01T00:00:00"/>
    <s v="Yes"/>
    <m/>
    <m/>
    <m/>
    <d v="2016-12-31T00:00:00"/>
    <x v="0"/>
    <n v="58"/>
    <n v="50"/>
    <m/>
    <s v="NF"/>
    <n v="0"/>
    <n v="1"/>
    <n v="0"/>
    <n v="0"/>
    <n v="0"/>
    <n v="1"/>
    <s v="No"/>
    <n v="0"/>
    <m/>
    <m/>
    <m/>
    <m/>
    <s v="No"/>
    <m/>
    <m/>
    <s v="NF"/>
    <s v="NF"/>
    <m/>
    <s v="WT"/>
  </r>
  <r>
    <n v="31"/>
    <s v="C2/006"/>
    <s v="Stephen"/>
    <s v="Ojiambo"/>
    <s v="Wandera"/>
    <x v="0"/>
    <x v="1"/>
    <s v="Uganda"/>
    <s v="Makerere University"/>
    <s v="Epidemiology"/>
    <s v="Department of Population Studies"/>
    <s v="Makerere University"/>
    <s v="Yes"/>
    <m/>
    <s v="Married"/>
    <s v="Married"/>
    <s v="Married"/>
    <s v="swandera@cartafrica.org"/>
    <s v="swandera@gmail.com"/>
    <s v="+256774976879"/>
    <s v="M.Sc Population &amp; Reproductive Health"/>
    <d v="1984-01-16T00:00:00"/>
    <s v="Intergenerational Support and Health of the Ageing Population In Rural Uganda"/>
    <s v="Field"/>
    <s v="No"/>
    <s v="Primary"/>
    <n v="2"/>
    <d v="2012-02-07T00:00:00"/>
    <d v="2012-03-01T00:00:00"/>
    <m/>
    <s v="Dr. James Ntozi"/>
    <s v="Dr. Betty Kwagala"/>
    <m/>
    <n v="2"/>
    <s v="Home"/>
    <s v="Home"/>
    <m/>
    <s v="Yes"/>
    <s v="No"/>
    <m/>
    <s v="Academic"/>
    <s v="Assistant Lecturer"/>
    <s v="Senior Lecturer"/>
    <s v="Yes"/>
    <s v="Head of Department"/>
    <s v="MAKERERE UNIVERISTY"/>
    <s v="0000-0002-5617-0274"/>
    <m/>
    <d v="2012-03-01T00:00:00"/>
    <d v="2012-11-01T00:00:00"/>
    <s v="Yes"/>
    <m/>
    <m/>
    <m/>
    <m/>
    <m/>
    <s v="Disaparities in health and access to healthcare among older persons in Uganda"/>
    <d v="2014-08-01T00:00:00"/>
    <s v="Yes"/>
    <d v="2015-03-01T00:00:00"/>
    <s v="Yes"/>
    <m/>
    <m/>
    <m/>
    <d v="2016-03-31T00:00:00"/>
    <x v="0"/>
    <n v="49"/>
    <n v="41"/>
    <s v="Disaparities in health and access to healthcare among older persons in Uganda"/>
    <n v="0"/>
    <n v="10"/>
    <n v="16"/>
    <n v="6"/>
    <n v="2"/>
    <n v="2"/>
    <n v="0"/>
    <s v="No"/>
    <n v="0"/>
    <m/>
    <m/>
    <m/>
    <m/>
    <s v="No"/>
    <m/>
    <m/>
    <n v="2"/>
    <n v="3"/>
    <m/>
    <s v="WT"/>
  </r>
  <r>
    <n v="32"/>
    <s v="C2/007"/>
    <s v="Adeniyi"/>
    <s v="Francis"/>
    <s v="Fagbamigbe"/>
    <x v="0"/>
    <x v="1"/>
    <s v="Nigeria"/>
    <s v="University of Ibadan"/>
    <s v="BIOSTATISTICS"/>
    <s v="Epidemiology and Medical Statistics"/>
    <s v="University of Ibadan"/>
    <s v="Yes"/>
    <n v="152419"/>
    <m/>
    <s v="Married"/>
    <m/>
    <s v="fadeniyi@cartafrica.org"/>
    <s v="franstel74@yahoo.com"/>
    <s v="+2348061348165"/>
    <s v="Masters in medical statistics"/>
    <d v="1974-02-16T00:00:00"/>
    <s v="Modeling association between bivariate censored outcomes: a case study of bipolar disorder"/>
    <s v="Field"/>
    <s v="No"/>
    <s v="Primary"/>
    <n v="4"/>
    <d v="2012-03-19T00:00:00"/>
    <d v="2012-03-01T00:00:00"/>
    <m/>
    <s v="Prof. Elijah Afolabi Bamgboye"/>
    <m/>
    <m/>
    <n v="1"/>
    <s v="Home"/>
    <m/>
    <m/>
    <s v="Yes"/>
    <m/>
    <m/>
    <s v="Academic"/>
    <s v="Lecturer II "/>
    <s v="Professor "/>
    <s v="Yes"/>
    <m/>
    <s v="UNIVERSITY OF IBADAN"/>
    <s v="0000-0001-9184-8258"/>
    <m/>
    <d v="2012-03-01T00:00:00"/>
    <d v="2012-11-01T00:00:00"/>
    <s v="Yes"/>
    <m/>
    <m/>
    <m/>
    <m/>
    <m/>
    <m/>
    <d v="2014-08-01T00:00:00"/>
    <s v="Yes"/>
    <d v="2015-03-01T00:00:00"/>
    <s v="Yes"/>
    <m/>
    <m/>
    <m/>
    <d v="2014-03-31T00:00:00"/>
    <x v="0"/>
    <n v="25"/>
    <n v="17"/>
    <m/>
    <n v="6"/>
    <n v="6"/>
    <n v="93"/>
    <n v="8"/>
    <n v="4"/>
    <n v="18"/>
    <n v="4"/>
    <s v="No"/>
    <n v="0"/>
    <m/>
    <m/>
    <m/>
    <m/>
    <s v="No"/>
    <m/>
    <m/>
    <s v="NF"/>
    <n v="2"/>
    <m/>
    <s v="MAC"/>
  </r>
  <r>
    <n v="33"/>
    <s v="C2/008"/>
    <s v="Tumwine"/>
    <m/>
    <s v="Gabriel"/>
    <x v="0"/>
    <x v="1"/>
    <s v="Uganda"/>
    <s v="Makerere University"/>
    <s v="Epidemiology"/>
    <m/>
    <s v="Makerere University"/>
    <s v="Yes"/>
    <m/>
    <m/>
    <s v="NF"/>
    <m/>
    <s v="gtumwine@cartafrica.org"/>
    <s v="gtumwine@vetmed.mak.ac.ug; tumwinegabriel@gmail.com _x000a_"/>
    <s v="+256782194819"/>
    <s v="M.Sc Molecular Biology"/>
    <d v="1981-08-27T00:00:00"/>
    <s v="Malaria and filariasis co-infection during pregnancy in high malaria transmission areas of Uganda: Impacts on pregnancy outcomes, immune response and antifolates effects"/>
    <s v="Clinical research"/>
    <s v="yes"/>
    <s v="Primary"/>
    <n v="18.5"/>
    <d v="2012-01-25T00:00:00"/>
    <d v="2012-03-01T00:00:00"/>
    <m/>
    <s v="Dr. Enock Matovu"/>
    <s v="Dr. Jean Langhorne"/>
    <m/>
    <n v="2"/>
    <s v="Home"/>
    <s v="Other"/>
    <m/>
    <s v="Yes"/>
    <s v="No"/>
    <m/>
    <s v="Academic"/>
    <s v="Teaching Assistant"/>
    <m/>
    <m/>
    <m/>
    <s v="MAKERERE UNIVERSITY"/>
    <s v="0000-0003-3338-5333"/>
    <m/>
    <d v="2012-03-01T00:00:00"/>
    <d v="2012-11-01T00:00:00"/>
    <s v="Yes"/>
    <m/>
    <m/>
    <m/>
    <m/>
    <m/>
    <m/>
    <d v="2014-08-01T00:00:00"/>
    <s v="Yes"/>
    <d v="2015-03-01T00:00:00"/>
    <s v="Yes"/>
    <m/>
    <m/>
    <m/>
    <m/>
    <x v="2"/>
    <m/>
    <m/>
    <m/>
    <n v="1"/>
    <n v="9"/>
    <n v="0"/>
    <n v="1"/>
    <n v="0"/>
    <n v="0"/>
    <n v="0"/>
    <s v="No"/>
    <n v="0"/>
    <m/>
    <m/>
    <m/>
    <m/>
    <s v="No"/>
    <m/>
    <m/>
    <n v="3"/>
    <s v="NF"/>
    <m/>
    <s v="CARNEGIE 2"/>
  </r>
  <r>
    <n v="34"/>
    <s v="C2/009"/>
    <s v="Herbert"/>
    <s v="Hudson"/>
    <s v="Longwe"/>
    <x v="0"/>
    <x v="1"/>
    <s v="Malawi"/>
    <s v="University of Malawi"/>
    <s v="Epidemiology"/>
    <s v="Department of Population Studies"/>
    <s v="University of the Malawi"/>
    <s v="Yes"/>
    <m/>
    <s v="Married"/>
    <s v="Married"/>
    <s v="Married"/>
    <s v="hlongwe@cartafrica.org"/>
    <s v="Herbert.longwe@gmail.com,  hlongwe@medcol.mw "/>
    <m/>
    <s v="Master of Philosophy (Tropical Medicine)."/>
    <d v="1979-09-24T00:00:00"/>
    <s v="Investigating the effect of daily cotrimoxazole prophylaxis on the acquisition of malaria specific immunity in HIV exposed children and HIV infected children "/>
    <s v="Clinical research"/>
    <s v="yes"/>
    <s v="Primary"/>
    <n v="5.5"/>
    <d v="2012-02-22T00:00:00"/>
    <d v="2012-03-01T00:00:00"/>
    <m/>
    <s v="Dr. Wilson Mandala"/>
    <s v="Dr. Adam Cunningham"/>
    <s v="Cal MacLennan"/>
    <n v="3"/>
    <s v="Home"/>
    <s v="Other"/>
    <m/>
    <s v="Yes"/>
    <s v="No"/>
    <m/>
    <m/>
    <s v="Research Scientist"/>
    <s v="Deputy Director Laboratory Support, ICAP at Columbia University"/>
    <s v="Yes"/>
    <m/>
    <s v="COLUMBIA UNIVERSITY, SOUTH AFRICA"/>
    <s v="0000-0002-2496-896X"/>
    <m/>
    <d v="2012-03-01T00:00:00"/>
    <d v="2012-11-01T00:00:00"/>
    <s v="Yes"/>
    <m/>
    <m/>
    <m/>
    <m/>
    <m/>
    <s v="Efect of daily contrimoxazole prophylaxis on naturally acquired plasmodium falciparum -Specific Immune Responses in HIV - exposed uninfected Malawian Children"/>
    <d v="2014-08-01T00:00:00"/>
    <s v="Yes"/>
    <d v="2015-03-01T00:00:00"/>
    <s v="Yes"/>
    <m/>
    <m/>
    <m/>
    <d v="2015-06-30T00:00:00"/>
    <x v="0"/>
    <n v="40"/>
    <n v="32"/>
    <s v="Efect of daily contrimoxazole prophylaxis on naturally acquired plasmodium falciparum -Specific Immune Responses in HIV - exposed uninfected Malawian Children"/>
    <n v="3"/>
    <n v="1"/>
    <n v="13"/>
    <n v="3"/>
    <n v="0"/>
    <n v="0"/>
    <n v="0"/>
    <s v="No"/>
    <n v="0"/>
    <m/>
    <m/>
    <m/>
    <m/>
    <s v="No"/>
    <m/>
    <m/>
    <n v="1"/>
    <n v="2"/>
    <m/>
    <s v="NF"/>
  </r>
  <r>
    <n v="35"/>
    <s v="C2/010"/>
    <s v="Joseph"/>
    <s v="Maurice"/>
    <s v="Mutisya"/>
    <x v="0"/>
    <x v="1"/>
    <s v="Kenya"/>
    <s v="APHRC"/>
    <s v="Public Health"/>
    <s v="Education Research Program"/>
    <s v="University of the Witwatersrand"/>
    <s v="No"/>
    <m/>
    <s v="Married"/>
    <s v="Married"/>
    <s v="Married"/>
    <s v="jmutisya@cartafrica.org"/>
    <s v="mmutisya@aphrc.org_x000a_mmutisya@ymail.com "/>
    <s v="+25421987850"/>
    <s v="MSC (Population Based Epidemiology)"/>
    <d v="1980-04-11T00:00:00"/>
    <s v="Knowledge, Attitude and Beliefs on Stigma and Discrimination among people living with HIV &amp; AIDS in Kenya: Individual and Community Level Effects"/>
    <s v="Field"/>
    <s v="yes"/>
    <s v="Primary"/>
    <n v="2"/>
    <d v="2012-03-19T00:00:00"/>
    <d v="2012-03-01T00:00:00"/>
    <m/>
    <s v="Dr. Moses Ngware"/>
    <s v="Dr. Caroline Kabiru"/>
    <s v="Dr. Kandala Ngianga"/>
    <n v="3"/>
    <s v="Home"/>
    <s v="Home"/>
    <s v="Other"/>
    <s v="Yes"/>
    <s v="Yes"/>
    <s v="No"/>
    <s v="Researcher"/>
    <s v="Data Analyst"/>
    <s v="Director Research at Zizi Afrique_x000a_"/>
    <s v="Yes"/>
    <m/>
    <s v="ZIZI AFRIQUE FOUNDATION, KENYA (2022)"/>
    <s v="0000-0001-5981-6344"/>
    <m/>
    <d v="2012-03-05T00:00:00"/>
    <d v="2012-11-12T00:00:00"/>
    <s v="Yes"/>
    <d v="2014-04-11T00:00:00"/>
    <m/>
    <d v="2014-08-29T00:00:00"/>
    <m/>
    <m/>
    <m/>
    <d v="2014-08-01T00:00:00"/>
    <s v="Yes"/>
    <d v="2015-03-01T00:00:00"/>
    <s v="Yes"/>
    <d v="2017-05-04T00:00:00"/>
    <d v="2017-05-04T00:00:00"/>
    <d v="2017-11-08T00:00:00"/>
    <d v="2018-12-04T00:00:00"/>
    <x v="0"/>
    <n v="81"/>
    <n v="73"/>
    <s v="Household food security, child Nutrition, and education: A longitudinal Analysis in Two urban informal Settlements in Kenya"/>
    <n v="6"/>
    <n v="20"/>
    <n v="7"/>
    <n v="1"/>
    <n v="2"/>
    <n v="0"/>
    <n v="0"/>
    <s v="No"/>
    <n v="0"/>
    <m/>
    <m/>
    <m/>
    <m/>
    <s v="No"/>
    <m/>
    <m/>
    <n v="1"/>
    <n v="3"/>
    <m/>
    <s v="CARNEGIE 2"/>
  </r>
  <r>
    <n v="36"/>
    <s v="C2/011"/>
    <s v="Njuguna"/>
    <s v="John"/>
    <s v="Njenga"/>
    <x v="0"/>
    <x v="1"/>
    <s v="Kenya"/>
    <s v="University of Nairobi"/>
    <s v="Demography &amp; Social statistics"/>
    <s v="Population Studies and Research Institute (PSRI"/>
    <s v="University of Nairobi"/>
    <s v="Yes"/>
    <m/>
    <m/>
    <s v="NF"/>
    <m/>
    <s v="jnjega@cartafrica.org"/>
    <m/>
    <s v="+254721473921"/>
    <s v="NF"/>
    <d v="1972-03-11T00:00:00"/>
    <s v="Determinants of Active Life Expectancy among Adult HIV/AIDS Patients in Kenya"/>
    <s v="Field"/>
    <s v="No"/>
    <s v="Primary"/>
    <n v="15"/>
    <d v="2012-02-20T00:00:00"/>
    <d v="2012-03-01T00:00:00"/>
    <m/>
    <s v="Dr. Lawrence Ikamari"/>
    <s v="Dr. Murungaru Kimani"/>
    <m/>
    <n v="2"/>
    <s v="Home"/>
    <s v="Home"/>
    <m/>
    <s v="Yes"/>
    <s v="No"/>
    <m/>
    <s v="Academic"/>
    <m/>
    <m/>
    <m/>
    <m/>
    <s v="NF"/>
    <s v="0000-0001-7130-1626"/>
    <m/>
    <d v="2012-03-01T00:00:00"/>
    <d v="2012-11-01T00:00:00"/>
    <s v="Yes"/>
    <m/>
    <m/>
    <m/>
    <m/>
    <m/>
    <m/>
    <d v="2014-08-01T00:00:00"/>
    <s v="Yes"/>
    <d v="2015-03-01T00:00:00"/>
    <s v="Yes"/>
    <m/>
    <m/>
    <m/>
    <d v="2016-12-31T00:00:00"/>
    <x v="0"/>
    <n v="58"/>
    <n v="50"/>
    <m/>
    <n v="1"/>
    <n v="6"/>
    <n v="6"/>
    <n v="0"/>
    <n v="0"/>
    <n v="0"/>
    <n v="0"/>
    <s v="No"/>
    <n v="0"/>
    <m/>
    <m/>
    <m/>
    <m/>
    <s v="No"/>
    <m/>
    <m/>
    <s v="NF"/>
    <s v="NF"/>
    <m/>
    <s v="WT"/>
  </r>
  <r>
    <n v="37"/>
    <s v="C2/012"/>
    <s v="Mary"/>
    <s v="Oluwafunke"/>
    <s v="Obiyan"/>
    <x v="1"/>
    <x v="1"/>
    <s v="Nigeria"/>
    <s v="Obafemi Awolowo University"/>
    <s v="Demography"/>
    <s v="Demography and Social Statistics"/>
    <s v="Obafemi Awolowo University"/>
    <s v="Yes"/>
    <m/>
    <s v="Married"/>
    <s v="Married"/>
    <s v="Married"/>
    <s v="mobiyan@cartafrica.org"/>
    <s v="maryobiyan@gmail.com"/>
    <s v="+2348038161303"/>
    <s v="M.Sc Demography and Social Statistics "/>
    <d v="1980-06-08T00:00:00"/>
    <s v="Wealth Quintile and Fertility Differentials among Households in Nigeria"/>
    <s v="Field"/>
    <s v="No"/>
    <s v="Primary"/>
    <n v="11"/>
    <d v="2012-02-22T00:00:00"/>
    <d v="2012-03-01T00:00:00"/>
    <m/>
    <s v="Prof. Peter O. Ogunjuyigbe"/>
    <s v="Ambrose Akinlo"/>
    <m/>
    <n v="2"/>
    <s v="Home"/>
    <m/>
    <m/>
    <s v="Yes"/>
    <m/>
    <m/>
    <s v="Academic"/>
    <s v="Lecturer II"/>
    <s v="Senior Lecturer"/>
    <s v="Yes"/>
    <m/>
    <s v="OBAFEMI AWOLOWO UNIVERSITY"/>
    <s v="0000-0003-3583-0138"/>
    <m/>
    <d v="2012-03-01T00:00:00"/>
    <d v="2012-11-01T00:00:00"/>
    <s v="Yes"/>
    <m/>
    <m/>
    <m/>
    <m/>
    <m/>
    <m/>
    <d v="2014-08-01T00:00:00"/>
    <s v="Yes"/>
    <d v="2015-03-01T00:00:00"/>
    <s v="Yes"/>
    <m/>
    <m/>
    <m/>
    <d v="2014-03-31T00:00:00"/>
    <x v="0"/>
    <n v="25"/>
    <n v="17"/>
    <m/>
    <n v="1"/>
    <n v="0"/>
    <n v="12"/>
    <n v="1"/>
    <n v="0"/>
    <n v="1"/>
    <n v="0"/>
    <s v="GW, 2016"/>
    <n v="0"/>
    <m/>
    <m/>
    <m/>
    <m/>
    <s v="No"/>
    <m/>
    <m/>
    <n v="2"/>
    <n v="3"/>
    <m/>
    <s v="WT"/>
  </r>
  <r>
    <n v="38"/>
    <s v="C2/013"/>
    <s v="Abiodun"/>
    <s v="Olufunke"/>
    <s v="Oluwatoba"/>
    <x v="1"/>
    <x v="1"/>
    <s v="Nigeria"/>
    <s v="University of Ibadan"/>
    <s v="Environmental Sciences"/>
    <m/>
    <s v="University of Ibadan"/>
    <s v="Yes"/>
    <m/>
    <m/>
    <s v="Married"/>
    <s v="Married"/>
    <s v="ooluwatoba@cartafrica.org"/>
    <s v="oluwatobang@yahoo.com"/>
    <s v="+2348023451103"/>
    <s v="M.Sc. Cellular Parasitology, M.Sc Epidemiology"/>
    <d v="1971-12-17T00:00:00"/>
    <s v="Impact of environmental pollution on the prevalence of soil transmitted helminthes infection among primary school children in Ibadan"/>
    <s v="Field"/>
    <s v="No"/>
    <s v="Primary"/>
    <n v="17"/>
    <d v="2012-01-12T00:00:00"/>
    <d v="2012-03-01T00:00:00"/>
    <m/>
    <s v="Dr. Roseangela Nwuba"/>
    <m/>
    <m/>
    <n v="1"/>
    <s v="Home"/>
    <m/>
    <m/>
    <s v="Yes"/>
    <m/>
    <m/>
    <s v="Academic"/>
    <m/>
    <s v="Lecturer"/>
    <m/>
    <m/>
    <s v="UNIVERSITY OF IBADAN"/>
    <s v="0000-0003-1781-2550"/>
    <m/>
    <d v="2012-03-01T00:00:00"/>
    <d v="2012-11-01T00:00:00"/>
    <s v="Yes"/>
    <m/>
    <m/>
    <m/>
    <m/>
    <m/>
    <m/>
    <d v="2014-08-01T00:00:00"/>
    <s v="Yes"/>
    <d v="2015-03-01T00:00:00"/>
    <s v="Yes"/>
    <m/>
    <m/>
    <m/>
    <d v="2019-11-18T00:00:00"/>
    <x v="0"/>
    <n v="93"/>
    <n v="85"/>
    <m/>
    <n v="4"/>
    <n v="0"/>
    <n v="0"/>
    <n v="0"/>
    <n v="0"/>
    <n v="0"/>
    <n v="0"/>
    <s v="No"/>
    <n v="0"/>
    <m/>
    <m/>
    <m/>
    <m/>
    <s v="No"/>
    <m/>
    <m/>
    <n v="3"/>
    <n v="3"/>
    <m/>
    <s v="NF"/>
  </r>
  <r>
    <n v="39"/>
    <s v="C2/014"/>
    <s v="Peter"/>
    <s v="Mpasho"/>
    <s v="Mwamtobe"/>
    <x v="0"/>
    <x v="1"/>
    <s v="Malawi"/>
    <s v="University of Malawi"/>
    <s v="Disease Epidemiology"/>
    <s v="MATHEMATICS AND STATISTICS"/>
    <s v="University of the Malawi"/>
    <s v="Yes"/>
    <m/>
    <m/>
    <s v="Married"/>
    <s v="Married"/>
    <s v="pmwamtobe@cartafrica.org"/>
    <s v="pmwamtobe@gmail.com,  pmwamtobe@poly.ac.mw "/>
    <s v="265999458069/265888626168"/>
    <s v="MSc in Mathematical Epidemiology (online)"/>
    <d v="1976-03-07T00:00:00"/>
    <s v="Optimal (control of) intervention strategies for malaria – TB co-infection"/>
    <s v="Clinical research"/>
    <s v="yes"/>
    <s v="Primary"/>
    <n v="8"/>
    <d v="2012-10-04T00:00:00"/>
    <d v="2012-03-01T00:00:00"/>
    <m/>
    <s v="Prof. Ebrahim Momoniat"/>
    <s v="Prof. Shirley Abelman"/>
    <s v="Prof. Jean M. Tchuenche"/>
    <n v="3"/>
    <s v="Other "/>
    <s v="Other "/>
    <s v="Other "/>
    <s v="No"/>
    <s v="No"/>
    <s v="No"/>
    <s v="Academic"/>
    <s v="Lecturer"/>
    <s v="Lecturer"/>
    <s v="No"/>
    <s v="Senior Lecturer, Head of Applied Studies Dept"/>
    <s v="UNIVERSITY OF MALAWI"/>
    <s v="0000-0003-1861-3377"/>
    <m/>
    <d v="2012-03-01T00:00:00"/>
    <d v="2012-11-01T00:00:00"/>
    <s v="Yes"/>
    <m/>
    <m/>
    <m/>
    <m/>
    <m/>
    <m/>
    <d v="2014-08-01T00:00:00"/>
    <s v="Yes"/>
    <d v="2015-03-01T00:00:00"/>
    <s v="Yes"/>
    <m/>
    <m/>
    <m/>
    <d v="2015-03-01T00:00:00"/>
    <x v="0"/>
    <n v="37"/>
    <n v="29"/>
    <m/>
    <n v="0"/>
    <n v="2"/>
    <n v="6"/>
    <n v="1"/>
    <n v="0"/>
    <n v="1"/>
    <n v="0"/>
    <s v="No"/>
    <n v="0"/>
    <m/>
    <m/>
    <m/>
    <m/>
    <s v="No"/>
    <m/>
    <m/>
    <n v="5"/>
    <n v="6"/>
    <m/>
    <s v="NF"/>
  </r>
  <r>
    <n v="40"/>
    <s v="C2/015"/>
    <s v="Siphesihle"/>
    <s v="Primrose Theodora"/>
    <s v="Mtshali"/>
    <x v="1"/>
    <x v="1"/>
    <s v="South Africa"/>
    <s v="University of the Witwatersrand"/>
    <s v="Kinesiology"/>
    <s v="Department of Physiotherapy"/>
    <s v="University of the Witwatersrand"/>
    <s v="Yes"/>
    <m/>
    <m/>
    <s v="NF"/>
    <m/>
    <s v="pmtshali@cartafrica.org"/>
    <s v="Siphe.mtshali@wits.ac.za"/>
    <s v="+27723106078"/>
    <s v="M.SC Physiotherapy"/>
    <d v="1975-03-17T00:00:00"/>
    <s v="Impact of an education programme on coaches’ knowledge, attitudes and practices on injury prevention amongst football players."/>
    <s v="Field"/>
    <s v="No"/>
    <s v="Primary"/>
    <n v="15.5"/>
    <d v="2012-02-13T00:00:00"/>
    <d v="2012-03-01T00:00:00"/>
    <d v="2025-03-25T00:00:00"/>
    <s v="Prof. Mbambo-Kekana Nonceba Priscilla"/>
    <s v="Dr. Hellen Myezwa"/>
    <s v="Dr. Kerith Aginsky"/>
    <n v="3"/>
    <s v="Other "/>
    <s v="Home"/>
    <s v="Home/ Host"/>
    <s v="Yes"/>
    <s v="Yes"/>
    <s v="Yes"/>
    <s v="Academic"/>
    <s v="Lecturer"/>
    <m/>
    <m/>
    <m/>
    <s v="NF"/>
    <s v="0000-0002-8343-0342"/>
    <m/>
    <d v="2012-03-01T00:00:00"/>
    <d v="2012-11-01T00:00:00"/>
    <s v="Yes"/>
    <m/>
    <m/>
    <m/>
    <m/>
    <m/>
    <m/>
    <d v="2014-08-01T00:00:00"/>
    <s v="Yes"/>
    <d v="2015-03-01T00:00:00"/>
    <s v="Yes"/>
    <m/>
    <m/>
    <m/>
    <m/>
    <x v="1"/>
    <m/>
    <m/>
    <m/>
    <n v="1"/>
    <n v="0"/>
    <n v="0"/>
    <n v="0"/>
    <n v="0"/>
    <n v="0"/>
    <n v="0"/>
    <s v="No"/>
    <n v="0"/>
    <m/>
    <m/>
    <m/>
    <m/>
    <s v="No"/>
    <m/>
    <m/>
    <n v="1"/>
    <s v="NF"/>
    <m/>
    <s v="NF"/>
  </r>
  <r>
    <n v="41"/>
    <s v="C2/016"/>
    <s v="Nalugo"/>
    <s v="Scovia"/>
    <s v="Mbalinda"/>
    <x v="1"/>
    <x v="1"/>
    <s v="Uganda"/>
    <s v="Makerere University"/>
    <s v="Epidemiology"/>
    <s v="Dept of Nursing"/>
    <s v="Makerere University"/>
    <s v="Yes"/>
    <m/>
    <s v="Married"/>
    <s v="Married"/>
    <s v="Married"/>
    <s v="smbalinda@cartafrica.org"/>
    <s v="snmbalinda@gmail.com,  snmbalinda@chs.mak.ac.ug"/>
    <s v="+256782212151"/>
    <s v="MSc. Population and Reproductive Health (online)"/>
    <d v="1978-06-16T00:00:00"/>
    <s v="Assessment of rural Ugandan HIV+ young adults women’s reproductive needs and rights to design a positive prevention service framework"/>
    <s v="Field"/>
    <s v="No"/>
    <s v="Primary"/>
    <n v="29"/>
    <d v="2011-11-20T00:00:00"/>
    <d v="2012-03-01T00:00:00"/>
    <m/>
    <s v="Dr. Daniel Kabonge Kaye"/>
    <s v="Dr. Noah Kiwanuka"/>
    <s v="Prof. Fred Wabwire-Mangen"/>
    <n v="3"/>
    <s v="Home"/>
    <s v="Home"/>
    <s v="Home/ Host"/>
    <s v="Yes"/>
    <s v="No"/>
    <s v="No"/>
    <s v="Academic"/>
    <s v="Lecturer"/>
    <s v="Lecturer"/>
    <s v="No"/>
    <m/>
    <s v="MAKERERE UNIVERISTY"/>
    <s v="0000-0002-4945-130X"/>
    <m/>
    <d v="2012-03-01T00:00:00"/>
    <d v="2012-11-01T00:00:00"/>
    <s v="Yes"/>
    <m/>
    <m/>
    <m/>
    <m/>
    <m/>
    <m/>
    <d v="2014-08-01T00:00:00"/>
    <s v="Yes"/>
    <d v="2015-03-01T00:00:00"/>
    <s v="Yes"/>
    <m/>
    <m/>
    <m/>
    <d v="2018-01-08T00:00:00"/>
    <x v="0"/>
    <n v="71"/>
    <n v="63"/>
    <m/>
    <n v="6"/>
    <n v="20"/>
    <n v="18"/>
    <n v="5"/>
    <n v="0"/>
    <n v="0"/>
    <n v="0"/>
    <s v="JAS 2, 2012"/>
    <n v="0"/>
    <m/>
    <m/>
    <m/>
    <m/>
    <s v="No"/>
    <m/>
    <m/>
    <n v="3"/>
    <n v="3"/>
    <m/>
    <s v="NF"/>
  </r>
  <r>
    <n v="42"/>
    <s v="C2/017"/>
    <s v="Nakubulwa"/>
    <m/>
    <s v="Sarah"/>
    <x v="1"/>
    <x v="1"/>
    <s v="Uganda"/>
    <s v="Makerere University"/>
    <s v="Obstertrics and reproductive health nursing"/>
    <m/>
    <s v="Makerere University"/>
    <s v="Yes"/>
    <m/>
    <m/>
    <s v="NF"/>
    <m/>
    <s v="snakubulwa@cartafrica.org"/>
    <s v="sarahug@gmail.com"/>
    <s v="+256772443416"/>
    <s v="M.Mc Obstetrics &amp; Gynaecology"/>
    <d v="1973-08-16T00:00:00"/>
    <s v="Herpes Simplex Virus type 2 in pregnancy: Assessing the burden and associated factors in women with pre-labour rupture of membranes and exploring the effect of acyclovir on obstetric outcomes in this population in Mulago Clinical research."/>
    <s v="Clinical research"/>
    <s v="No"/>
    <s v="Primary"/>
    <n v="19"/>
    <d v="2012-01-23T00:00:00"/>
    <d v="2012-03-01T00:00:00"/>
    <m/>
    <s v="Dr. Nazarius Mbona Tumwesigye"/>
    <s v="Dr. Florence Mirembe"/>
    <s v="Dr. Daniel Kabonge Kaye"/>
    <n v="3"/>
    <s v="Home"/>
    <s v="Home"/>
    <s v="Home/ Host"/>
    <s v="Yes"/>
    <s v="No"/>
    <s v="Yes"/>
    <m/>
    <s v="Lecturer"/>
    <s v="Senior Lecturer"/>
    <s v="Yes"/>
    <m/>
    <s v="MAKERERE UNIVERISTY"/>
    <s v=" 000 0002 1433 7312"/>
    <m/>
    <d v="2012-03-01T00:00:00"/>
    <d v="2012-11-01T00:00:00"/>
    <s v="Yes"/>
    <m/>
    <m/>
    <m/>
    <m/>
    <m/>
    <m/>
    <d v="2014-08-01T00:00:00"/>
    <s v="Yes"/>
    <d v="2015-03-01T00:00:00"/>
    <s v="Yes"/>
    <m/>
    <m/>
    <m/>
    <d v="2017-01-31T00:00:00"/>
    <x v="0"/>
    <n v="59"/>
    <n v="51"/>
    <m/>
    <s v="NF"/>
    <n v="2"/>
    <n v="0"/>
    <n v="1"/>
    <n v="0"/>
    <n v="0"/>
    <n v="0"/>
    <s v="No"/>
    <n v="0"/>
    <m/>
    <m/>
    <m/>
    <m/>
    <s v="No"/>
    <m/>
    <m/>
    <s v="NF"/>
    <s v="NF"/>
    <m/>
    <s v="NF"/>
  </r>
  <r>
    <n v="43"/>
    <s v="C2/018"/>
    <s v="Simbaharshe"/>
    <m/>
    <s v="Takuva"/>
    <x v="0"/>
    <x v="1"/>
    <s v="South Africa"/>
    <s v="University of the Witwatersrand"/>
    <s v="Epidemiology"/>
    <m/>
    <s v="University of the Witwatersrand"/>
    <s v="Yes"/>
    <m/>
    <m/>
    <s v="NF"/>
    <m/>
    <s v="stakuva@cartafrica.org"/>
    <m/>
    <s v="27727577369"/>
    <s v="M.Sc Epidiomology"/>
    <d v="1977-05-25T00:00:00"/>
    <s v="Epidemiological Studies of Impact of Vitamin D Status and Vitamin D Gene Polymorphisms on HIV Disease Progression and Tuberculosis Susceptibility among HIV-infected Patients"/>
    <s v="Clinical research"/>
    <s v="No"/>
    <s v="Primary"/>
    <n v="1.5"/>
    <d v="2011-12-15T00:00:00"/>
    <d v="2012-03-01T00:00:00"/>
    <d v="2025-03-25T00:00:00"/>
    <s v="Dr. Tobias Chirwa"/>
    <s v="Dr. Patrick MacPhail"/>
    <s v="Prof. Ian M. Sanne"/>
    <n v="3"/>
    <s v="Home"/>
    <s v="Home"/>
    <s v="Home/ Host"/>
    <s v="Yes"/>
    <s v="No"/>
    <s v="No"/>
    <s v="Researcher"/>
    <s v="Joint Faculty"/>
    <m/>
    <m/>
    <m/>
    <s v="UNIVERSITY OF THE WITWATERSRAND"/>
    <s v="0000-0001-6030-2359"/>
    <m/>
    <d v="2012-03-01T00:00:00"/>
    <d v="2012-11-01T00:00:00"/>
    <s v="Yes"/>
    <m/>
    <m/>
    <m/>
    <m/>
    <m/>
    <m/>
    <d v="2014-08-01T00:00:00"/>
    <s v="Yes"/>
    <s v="Not attended"/>
    <s v="No"/>
    <m/>
    <m/>
    <m/>
    <m/>
    <x v="1"/>
    <m/>
    <m/>
    <m/>
    <n v="1"/>
    <n v="31"/>
    <n v="0"/>
    <n v="7"/>
    <n v="3"/>
    <n v="0"/>
    <n v="0"/>
    <s v="No"/>
    <n v="0"/>
    <m/>
    <m/>
    <m/>
    <m/>
    <s v="No"/>
    <m/>
    <m/>
    <s v="NF"/>
    <s v="NF"/>
    <m/>
    <s v="NF"/>
  </r>
  <r>
    <n v="44"/>
    <s v="C2/019"/>
    <s v="Gloria"/>
    <s v="Susan"/>
    <s v="Omosa - Momanyi"/>
    <x v="1"/>
    <x v="1"/>
    <s v="Kenya"/>
    <s v="University of Nairobi"/>
    <m/>
    <m/>
    <s v="University of the Witwatersrand"/>
    <s v="No"/>
    <s v="NF"/>
    <s v="NF"/>
    <s v="NF"/>
    <s v="NF"/>
    <m/>
    <m/>
    <m/>
    <m/>
    <m/>
    <m/>
    <m/>
    <m/>
    <m/>
    <n v="4"/>
    <m/>
    <d v="2012-03-01T00:00:00"/>
    <d v="2016-10-19T00:00:00"/>
    <m/>
    <m/>
    <m/>
    <n v="0"/>
    <m/>
    <m/>
    <m/>
    <m/>
    <m/>
    <m/>
    <m/>
    <m/>
    <m/>
    <m/>
    <m/>
    <m/>
    <m/>
    <m/>
    <d v="2012-03-01T00:00:00"/>
    <m/>
    <m/>
    <m/>
    <m/>
    <m/>
    <m/>
    <m/>
    <m/>
    <m/>
    <m/>
    <m/>
    <m/>
    <m/>
    <m/>
    <m/>
    <m/>
    <x v="1"/>
    <s v="Terminated"/>
    <m/>
    <m/>
    <m/>
    <m/>
    <m/>
    <m/>
    <m/>
    <m/>
    <m/>
    <s v="No"/>
    <m/>
    <m/>
    <m/>
    <m/>
    <m/>
    <m/>
    <m/>
    <m/>
    <m/>
    <m/>
    <m/>
    <s v="WT"/>
  </r>
  <r>
    <n v="45"/>
    <s v="C2/020"/>
    <s v="Phanuel"/>
    <s v="Humphrey Jacob"/>
    <s v="Shao"/>
    <x v="0"/>
    <x v="1"/>
    <s v="Tanzania"/>
    <s v="Ifakara Health Institute"/>
    <m/>
    <s v="TB Clinic"/>
    <s v="University of Dar es Salaam"/>
    <s v="No"/>
    <s v="NF"/>
    <s v="NF"/>
    <s v="NF"/>
    <s v="NF"/>
    <s v="hshao@cartafrica.org"/>
    <s v="humphreyshao@gmail.com"/>
    <m/>
    <m/>
    <m/>
    <m/>
    <m/>
    <m/>
    <m/>
    <n v="22.5"/>
    <m/>
    <d v="2012-03-01T00:00:00"/>
    <d v="2016-01-11T00:00:00"/>
    <m/>
    <m/>
    <m/>
    <n v="0"/>
    <m/>
    <m/>
    <m/>
    <m/>
    <m/>
    <m/>
    <m/>
    <m/>
    <m/>
    <m/>
    <m/>
    <m/>
    <m/>
    <m/>
    <d v="2012-03-01T00:00:00"/>
    <m/>
    <m/>
    <m/>
    <m/>
    <m/>
    <m/>
    <m/>
    <m/>
    <m/>
    <m/>
    <m/>
    <m/>
    <m/>
    <m/>
    <m/>
    <m/>
    <x v="1"/>
    <s v="Terminated"/>
    <m/>
    <m/>
    <m/>
    <m/>
    <m/>
    <m/>
    <m/>
    <m/>
    <m/>
    <s v="No"/>
    <m/>
    <m/>
    <m/>
    <m/>
    <m/>
    <m/>
    <m/>
    <m/>
    <m/>
    <m/>
    <m/>
    <s v="NF"/>
  </r>
  <r>
    <n v="47"/>
    <s v="C3/001"/>
    <s v="Adefolarin"/>
    <s v="Olufolake"/>
    <s v="Adeyinka"/>
    <x v="1"/>
    <x v="2"/>
    <s v="Nigeria"/>
    <s v="University of Ibadan"/>
    <s v="Health Promotion Professional"/>
    <s v="Health Promotion and Education"/>
    <s v="University of Ibadan"/>
    <s v="Yes"/>
    <s v="PGX12112012314129"/>
    <s v="Single"/>
    <s v="Single"/>
    <s v="Single"/>
    <s v="aadefolarin@cartafrica.org"/>
    <s v="yinkuss2000@yahoo.com"/>
    <s v="+2348033915930"/>
    <s v="Masters of Public Health (Health Promotion), Master of Social Work"/>
    <d v="1972-08-29T00:00:00"/>
    <s v="Maternal Mental Health and Fetal Outcome Among Pregnant Women Attending University College Clinical research Antenatal Clinic, Ibadan, Nigeria"/>
    <s v="Clinical research"/>
    <s v="No"/>
    <s v="Primary"/>
    <n v="17"/>
    <d v="2013-02-20T00:00:00"/>
    <d v="2013-03-01T00:00:00"/>
    <m/>
    <s v="Oyedunni Arulogun"/>
    <s v="PROF Oye Gureje"/>
    <m/>
    <n v="2"/>
    <s v="Home"/>
    <m/>
    <m/>
    <s v="Yes"/>
    <m/>
    <m/>
    <s v="Other"/>
    <s v="Principal Social Worker 1"/>
    <s v="Lecturer "/>
    <s v="Yes"/>
    <s v="Secretary of Ibadan Public Health Conference"/>
    <s v="UNIVERSITY OF IBADAN"/>
    <s v="0000-0001-7238-2413"/>
    <m/>
    <d v="2013-03-01T00:00:00"/>
    <d v="2013-11-01T00:00:00"/>
    <s v="Yes"/>
    <d v="2014-10-01T00:00:00"/>
    <m/>
    <d v="2015-05-29T00:00:00"/>
    <m/>
    <m/>
    <s v="Effect of training and supervision on health talk delivery on maternal depression among primary health care workers in Ibadan, Nigeria"/>
    <d v="2015-08-01T00:00:00"/>
    <s v="Yes"/>
    <d v="2016-02-28T00:00:00"/>
    <s v="Yes"/>
    <d v="2017-08-29T00:00:00"/>
    <d v="2017-10-03T00:00:00"/>
    <d v="2017-10-30T00:00:00"/>
    <d v="2017-10-30T00:00:00"/>
    <x v="0"/>
    <n v="56"/>
    <n v="48"/>
    <s v="Effect of training and supervision on health talk delivery on maternal depression among primary health care workers in Ibadan, Nigeria"/>
    <n v="0"/>
    <n v="0"/>
    <n v="5"/>
    <n v="2"/>
    <n v="0"/>
    <n v="0"/>
    <n v="0"/>
    <s v="No"/>
    <n v="0"/>
    <m/>
    <m/>
    <m/>
    <m/>
    <s v="No"/>
    <m/>
    <m/>
    <n v="1"/>
    <n v="1"/>
    <m/>
    <s v="WT"/>
  </r>
  <r>
    <n v="48"/>
    <s v="C3/002"/>
    <s v="Angeline"/>
    <m/>
    <s v="Chepchirchir"/>
    <x v="1"/>
    <x v="2"/>
    <s v="Kenya"/>
    <s v="University of Nairobi"/>
    <s v="Epidemiology"/>
    <m/>
    <s v="University of Nairobi"/>
    <s v="Yes"/>
    <m/>
    <s v="Married"/>
    <s v="Married"/>
    <s v="Married"/>
    <s v="achepchirchir@cartafrica.org"/>
    <s v="chepchirchir@uonbi.ac.ke"/>
    <s v="254720440665"/>
    <s v="NF"/>
    <d v="1975-11-04T00:00:00"/>
    <s v="Determination of the Pathogen burden and individual variability in immune response: a comparative study of non-hypertensive and hypertensive subjects at Kenyatta National Clinical research."/>
    <s v="Clinical research"/>
    <s v="yes"/>
    <s v="Primary"/>
    <n v="18.5"/>
    <d v="2013-02-24T00:00:00"/>
    <d v="2013-03-01T00:00:00"/>
    <m/>
    <s v="Prof. Nyagol Akelo Joshua"/>
    <s v="Prof. Jaoko Walter"/>
    <m/>
    <n v="2"/>
    <s v="Home"/>
    <m/>
    <m/>
    <s v="Yes"/>
    <m/>
    <m/>
    <s v="Academic"/>
    <m/>
    <s v="Lecturer"/>
    <s v="Yes"/>
    <m/>
    <s v="UNIVERSITY OF NAIROBI"/>
    <s v="0000-0002-4033-7869"/>
    <m/>
    <d v="2013-03-01T00:00:00"/>
    <d v="2013-11-01T00:00:00"/>
    <s v="Yes"/>
    <m/>
    <m/>
    <m/>
    <m/>
    <m/>
    <m/>
    <d v="2015-08-01T00:00:00"/>
    <s v="Yes"/>
    <d v="2016-02-28T00:00:00"/>
    <s v="Yes"/>
    <m/>
    <m/>
    <m/>
    <d v="2019-12-20T00:00:00"/>
    <x v="0"/>
    <n v="82"/>
    <n v="74"/>
    <m/>
    <n v="2"/>
    <n v="1"/>
    <n v="1"/>
    <n v="0"/>
    <n v="0"/>
    <n v="0"/>
    <n v="0"/>
    <s v="No"/>
    <n v="0"/>
    <m/>
    <m/>
    <m/>
    <m/>
    <s v="No"/>
    <m/>
    <m/>
    <n v="1"/>
    <n v="4"/>
    <m/>
    <s v="WT"/>
  </r>
  <r>
    <n v="49"/>
    <s v="C3/003"/>
    <s v="Anne"/>
    <s v="Majuma"/>
    <s v="Khisa"/>
    <x v="1"/>
    <x v="2"/>
    <s v="Kenya"/>
    <s v="University of Nairobi"/>
    <s v="Obstertrics and reproductive health nursing"/>
    <s v="Reseach Capacity Strengtheniing Division"/>
    <s v="University of Nairobi"/>
    <s v="Yes"/>
    <s v="H80/83881/2012"/>
    <s v="Single"/>
    <s v="Single"/>
    <m/>
    <s v="akhisa@cartafrica.org"/>
    <s v="annekhisa@gmail.com"/>
    <s v="+254 724 348 661"/>
    <s v="MA in Gender and Development Studies"/>
    <d v="1983-10-31T00:00:00"/>
    <s v="Health Seeking Behaviour and Reintegration of Patients with Obstetric Fistula in Kenya "/>
    <s v="Field"/>
    <s v="No"/>
    <s v="Primary"/>
    <n v="6.5"/>
    <d v="2012-07-07T00:00:00"/>
    <d v="2013-03-01T00:00:00"/>
    <m/>
    <s v="Grace Omoni"/>
    <s v="Prof Isaac Nyamongo"/>
    <s v="Dr Sabina Wakasiaka"/>
    <n v="3"/>
    <s v="Home"/>
    <s v="Home"/>
    <s v="Home"/>
    <s v="Yes"/>
    <s v="No"/>
    <s v="No"/>
    <s v="Other"/>
    <s v="Part Time Lecturer"/>
    <s v="Post Doc Research Fellow"/>
    <s v="Yes"/>
    <m/>
    <m/>
    <s v="0000-0001-6110-0118"/>
    <m/>
    <d v="2013-03-01T00:00:00"/>
    <d v="2013-11-01T00:00:00"/>
    <s v="Yes"/>
    <m/>
    <m/>
    <m/>
    <m/>
    <m/>
    <s v="A grounded theory of regaining normalcy: Health seeking behaviour and reintegration of patients with obstetric fistula in Kenya"/>
    <d v="2015-08-01T00:00:00"/>
    <s v="Yes"/>
    <d v="2016-02-28T00:00:00"/>
    <s v="Yes"/>
    <m/>
    <m/>
    <m/>
    <d v="2016-12-31T00:00:00"/>
    <x v="0"/>
    <n v="46"/>
    <n v="38"/>
    <s v="A grounded theory of regaining normalcy: Health seeking behaviour and reintegration of patients with obstetric fistula in Kenya"/>
    <n v="1"/>
    <n v="1"/>
    <n v="4"/>
    <n v="1"/>
    <n v="0"/>
    <n v="0"/>
    <n v="0"/>
    <s v="No"/>
    <n v="0"/>
    <m/>
    <m/>
    <m/>
    <m/>
    <s v="No"/>
    <m/>
    <m/>
    <n v="0"/>
    <n v="0"/>
    <m/>
    <s v="WT"/>
  </r>
  <r>
    <n v="50"/>
    <s v="C3/004"/>
    <s v="Adesola"/>
    <s v="Oluwafunmilola"/>
    <s v="Olumide"/>
    <x v="1"/>
    <x v="2"/>
    <s v="Nigeria"/>
    <s v="University of Ibadan"/>
    <s v="Adolescent health"/>
    <s v="Institute of Child health"/>
    <s v="University of Ibadan"/>
    <s v="Yes"/>
    <m/>
    <s v="Single"/>
    <s v="Single"/>
    <m/>
    <s v="asangowawa@cartafrica.org"/>
    <s v="daisyolu@yahoo.com"/>
    <s v="+2348033265796"/>
    <s v="MPH"/>
    <d v="1973-09-06T00:00:00"/>
    <s v="Epidemiology and Costs of Injuries Among Adolescents in Ibadan, South-Western Nigeria"/>
    <s v="Field"/>
    <s v="No"/>
    <s v="Primary"/>
    <n v="6.5"/>
    <d v="2013-02-21T00:00:00"/>
    <d v="2013-03-01T00:00:00"/>
    <m/>
    <s v="Olayemi Omotade"/>
    <m/>
    <m/>
    <n v="1"/>
    <s v="Home"/>
    <m/>
    <m/>
    <s v="Yes"/>
    <m/>
    <m/>
    <s v="Academic"/>
    <s v="Senior Research Fellow"/>
    <s v="Senior Medical Research Fellow"/>
    <s v="No"/>
    <s v="Head and Actg director Institute of Child Health"/>
    <s v="UNIVERSITY OF IBADAN"/>
    <s v="0000-0003-4372-9822"/>
    <m/>
    <d v="2013-03-01T00:00:00"/>
    <d v="2013-11-01T00:00:00"/>
    <s v="Yes"/>
    <m/>
    <m/>
    <m/>
    <m/>
    <m/>
    <m/>
    <d v="2015-08-01T00:00:00"/>
    <s v="Yes"/>
    <d v="2016-02-28T00:00:00"/>
    <s v="Yes"/>
    <m/>
    <m/>
    <m/>
    <d v="2017-06-30T00:00:00"/>
    <x v="0"/>
    <n v="52"/>
    <n v="44"/>
    <m/>
    <n v="0"/>
    <n v="18"/>
    <n v="17"/>
    <n v="11"/>
    <n v="1"/>
    <n v="0"/>
    <n v="0"/>
    <s v="No"/>
    <n v="0"/>
    <m/>
    <m/>
    <m/>
    <m/>
    <s v="No"/>
    <m/>
    <m/>
    <n v="0"/>
    <n v="0"/>
    <m/>
    <s v="MAC"/>
  </r>
  <r>
    <n v="51"/>
    <s v="C3/005"/>
    <s v="Kato"/>
    <s v="Charles"/>
    <s v="Drago "/>
    <x v="0"/>
    <x v="2"/>
    <s v="Uganda"/>
    <s v="Makerere University"/>
    <s v="Immunity and Infection"/>
    <m/>
    <s v="Makerere University"/>
    <s v="Yes"/>
    <m/>
    <s v="Married"/>
    <s v="Married"/>
    <s v="Married"/>
    <s v="ckato@cartafrica.org"/>
    <s v="katodrago@yahoo.com"/>
    <s v="+256712959954"/>
    <s v="MSc. Structural Molecular Biology"/>
    <d v="1979-08-16T00:00:00"/>
    <s v="Cytokine responses &amp; parasite genotypes associated with the pathogenesis of human African trypanosomiasis (HAT) in north-eastern Uganda"/>
    <s v="Experimental model"/>
    <s v="yes"/>
    <s v="Primary"/>
    <n v="18.5"/>
    <d v="2012-09-11T00:00:00"/>
    <d v="2013-03-01T00:00:00"/>
    <m/>
    <s v="Prof. Matovu Enock"/>
    <s v="Dr. Vincent Pius Alibu"/>
    <m/>
    <n v="2"/>
    <s v="Home"/>
    <m/>
    <m/>
    <s v="Yes"/>
    <m/>
    <m/>
    <s v="Academic"/>
    <s v="Assistant Lecturer"/>
    <s v="Lecturer"/>
    <s v="Yes"/>
    <m/>
    <s v="MAKERERE UNIVERISTY"/>
    <s v="0000-0003-3160-6657"/>
    <m/>
    <d v="2013-03-01T00:00:00"/>
    <d v="2013-11-01T00:00:00"/>
    <s v="Yes"/>
    <m/>
    <m/>
    <m/>
    <m/>
    <m/>
    <m/>
    <d v="2015-08-01T00:00:00"/>
    <s v="Yes"/>
    <d v="2016-02-28T00:00:00"/>
    <s v="Yes"/>
    <m/>
    <m/>
    <m/>
    <d v="2016-03-31T00:00:00"/>
    <x v="0"/>
    <n v="37"/>
    <n v="29"/>
    <m/>
    <n v="0"/>
    <n v="6"/>
    <n v="31"/>
    <n v="0"/>
    <n v="1"/>
    <n v="0"/>
    <n v="0"/>
    <s v="No"/>
    <n v="0"/>
    <m/>
    <m/>
    <m/>
    <m/>
    <s v="No"/>
    <m/>
    <m/>
    <n v="1"/>
    <n v="2"/>
    <m/>
    <s v="SIDA"/>
  </r>
  <r>
    <n v="52"/>
    <s v="C3/006"/>
    <s v="Charles "/>
    <s v="Masulani"/>
    <s v="Mwale"/>
    <x v="0"/>
    <x v="2"/>
    <s v="Rwanda"/>
    <s v="University of Rwanda"/>
    <s v="Public Health"/>
    <m/>
    <s v="University of Rwanda"/>
    <s v="Yes"/>
    <m/>
    <m/>
    <s v="NF"/>
    <m/>
    <s v="cmwale@cartafrica.org"/>
    <s v="cmmwale@hotmail.com"/>
    <s v="+265999927938"/>
    <s v="Master of Public Health"/>
    <d v="1977-09-27T00:00:00"/>
    <s v="A cross-sectional study on the mental health service delivery for people living with AIDS (PLWAs) in Malawi"/>
    <s v="Field"/>
    <s v="No"/>
    <s v="Primary"/>
    <n v="15"/>
    <d v="2012-10-18T00:00:00"/>
    <d v="2013-03-01T00:00:00"/>
    <m/>
    <s v="Pascal Mathanga"/>
    <m/>
    <m/>
    <n v="1"/>
    <s v="Home"/>
    <m/>
    <m/>
    <s v="Yes"/>
    <m/>
    <m/>
    <s v="Academic"/>
    <s v="Part Time Senior Lecturer"/>
    <s v="Part Time Senior Lecturer"/>
    <s v="No"/>
    <m/>
    <s v="UNIVERSITY OF MALAWI"/>
    <s v="0000-0001-8676-1713"/>
    <m/>
    <d v="2013-03-01T00:00:00"/>
    <d v="2013-11-01T00:00:00"/>
    <s v="Yes"/>
    <m/>
    <m/>
    <m/>
    <m/>
    <m/>
    <s v="A mixed methods study on designing and testing effectiveness of a psychosocial training intervention (Titukulane) in improving psychological wellbeing of parents for intellectually disabled children in Malawi"/>
    <d v="2015-08-01T00:00:00"/>
    <s v="Yes"/>
    <d v="2016-02-28T00:00:00"/>
    <s v="Yes"/>
    <m/>
    <m/>
    <m/>
    <d v="2017-11-30T00:00:00"/>
    <x v="0"/>
    <n v="57"/>
    <n v="49"/>
    <s v="A mixed methods study on designing and testing effectiveness of a psychosocial training intervention (Titukulane) in improving psychological wellbeing of parents for intellectually disabled children in Malawi"/>
    <n v="0"/>
    <n v="3"/>
    <n v="3"/>
    <n v="2"/>
    <n v="0"/>
    <n v="0"/>
    <n v="0"/>
    <s v="No"/>
    <n v="0"/>
    <m/>
    <m/>
    <m/>
    <m/>
    <s v="No"/>
    <m/>
    <m/>
    <s v="NF"/>
    <s v="NF"/>
    <m/>
    <s v="WT"/>
  </r>
  <r>
    <n v="53"/>
    <s v="C3/007"/>
    <s v="Olusegun"/>
    <s v="Emmanuel"/>
    <s v="Thomas"/>
    <x v="0"/>
    <x v="2"/>
    <s v="Nigeria"/>
    <s v="University of Ibadan"/>
    <s v="Pharmaceutical Sciences"/>
    <s v="Pharmaceutical Chemistry"/>
    <s v="University of Ibadan"/>
    <s v="Yes"/>
    <n v="95534"/>
    <s v="Married"/>
    <s v="Married"/>
    <s v="Married"/>
    <s v="tolusegun@cartafrica.org"/>
    <s v="seguntom@yahoo.com"/>
    <s v="+2348034198737"/>
    <s v="MSc. Pharmaceutical Chemistry and Drug Analysis"/>
    <d v="1978-08-06T00:00:00"/>
    <s v="Design, synthesis and genotoxicity evaluation of non-toxic azo dyes based on tetracyclic structures"/>
    <s v="Experimental model"/>
    <s v="yes"/>
    <s v="Primary"/>
    <n v="14.5"/>
    <d v="2012-04-05T00:00:00"/>
    <d v="2013-03-01T00:00:00"/>
    <m/>
    <s v="Prof. Adegoke Aremu Olajire"/>
    <m/>
    <m/>
    <n v="1"/>
    <s v="Home"/>
    <m/>
    <m/>
    <s v="Yes"/>
    <m/>
    <m/>
    <s v="Academic"/>
    <s v="Lecturer"/>
    <s v="Senior Lecturer"/>
    <s v="Yes"/>
    <m/>
    <s v="UNIVERSITY OF IBADAN"/>
    <s v="0000-0001-8519-2125"/>
    <m/>
    <d v="2013-03-01T00:00:00"/>
    <d v="2013-11-01T00:00:00"/>
    <s v="Yes"/>
    <m/>
    <m/>
    <m/>
    <m/>
    <m/>
    <m/>
    <d v="2015-08-01T00:00:00"/>
    <s v="Yes"/>
    <d v="2017-02-28T00:00:00"/>
    <s v="No"/>
    <m/>
    <m/>
    <m/>
    <d v="2017-08-31T00:00:00"/>
    <x v="0"/>
    <n v="54"/>
    <n v="46"/>
    <m/>
    <n v="0"/>
    <n v="3"/>
    <n v="4"/>
    <n v="2"/>
    <n v="0"/>
    <n v="0"/>
    <n v="0"/>
    <s v="No"/>
    <n v="0"/>
    <m/>
    <m/>
    <m/>
    <m/>
    <s v="No"/>
    <m/>
    <m/>
    <m/>
    <n v="1"/>
    <m/>
    <s v="MAC"/>
  </r>
  <r>
    <n v="54"/>
    <s v="C3/008"/>
    <s v="Tonney"/>
    <s v="Stophen"/>
    <s v="Nyirenda"/>
    <x v="0"/>
    <x v="2"/>
    <s v="Malawi"/>
    <s v="University of Malawi"/>
    <s v="Immunity and Infection"/>
    <s v="Pathology"/>
    <s v="University of the Malawi"/>
    <s v="Yes"/>
    <m/>
    <m/>
    <s v="Married"/>
    <m/>
    <s v="tnyirenda@cartafrica.org"/>
    <s v="tnyirenda@medcol.mw"/>
    <s v="+265995573845"/>
    <s v="MSc. Immunology"/>
    <d v="1981-04-21T00:00:00"/>
    <s v="Development of adaptive immunity to non-typhoidal Salmonella in Children "/>
    <s v="Field"/>
    <s v="yes"/>
    <s v="Primary"/>
    <n v="10.5"/>
    <d v="2011-11-01T00:00:00"/>
    <d v="2013-03-01T00:00:00"/>
    <m/>
    <s v="Wilson Mandala"/>
    <m/>
    <m/>
    <n v="1"/>
    <s v="Home"/>
    <m/>
    <m/>
    <s v="Yes"/>
    <m/>
    <m/>
    <s v="Academic"/>
    <s v="PhD Student"/>
    <s v="Lecturer"/>
    <s v="Yes"/>
    <m/>
    <s v="UNIVERSITY OF MALAWI"/>
    <s v="0000-0002-4874-9518"/>
    <m/>
    <d v="2013-03-01T00:00:00"/>
    <d v="2013-11-01T00:00:00"/>
    <s v="Yes"/>
    <m/>
    <m/>
    <m/>
    <m/>
    <m/>
    <m/>
    <d v="2015-08-01T00:00:00"/>
    <s v="Yes"/>
    <d v="2016-02-28T00:00:00"/>
    <s v="Yes"/>
    <m/>
    <m/>
    <m/>
    <d v="2015-06-18T00:00:00"/>
    <x v="0"/>
    <n v="28"/>
    <n v="20"/>
    <m/>
    <n v="1"/>
    <n v="1"/>
    <n v="15"/>
    <n v="2"/>
    <n v="0"/>
    <n v="2"/>
    <n v="0"/>
    <s v="No"/>
    <n v="0"/>
    <m/>
    <m/>
    <m/>
    <m/>
    <s v="No"/>
    <m/>
    <m/>
    <s v="NF"/>
    <s v="NF"/>
    <m/>
    <s v="SIDA"/>
  </r>
  <r>
    <n v="55"/>
    <s v="C3/009"/>
    <s v="Evangeline"/>
    <s v="Wawira"/>
    <s v="Njiru"/>
    <x v="1"/>
    <x v="2"/>
    <s v="Kenya"/>
    <s v="Moi University"/>
    <s v="MEDICAL ANTHROPOLOGY"/>
    <s v="ANTHROPOLOGY AND HUMAN ECOLOGY"/>
    <s v="Moi University"/>
    <s v="Yes"/>
    <s v="SASS/DPHIL/ANT/02/12"/>
    <s v="Married"/>
    <s v="Separated"/>
    <m/>
    <s v="enjiru@cartafrica.org"/>
    <s v="oyungueva@yahoo.com"/>
    <s v="+254-722-624-353"/>
    <s v="Masters in Medicine"/>
    <d v="1973-03-27T00:00:00"/>
    <s v="Situational analysis of cancer care in the Western Kenya population"/>
    <s v="Field"/>
    <s v="No"/>
    <s v="Primary"/>
    <n v="15"/>
    <d v="2012-09-01T00:00:00"/>
    <d v="2013-03-01T00:00:00"/>
    <m/>
    <s v="Jamin Masinde"/>
    <s v="Dr. Harrison Maithya"/>
    <m/>
    <n v="2"/>
    <s v="Home"/>
    <s v="Home"/>
    <m/>
    <s v="Yes"/>
    <s v="Yes"/>
    <m/>
    <s v="Academic"/>
    <s v="Lecturer"/>
    <m/>
    <m/>
    <m/>
    <s v="MOI UNIVERSITY"/>
    <s v="0000-0002-0064-8777"/>
    <m/>
    <d v="2013-03-01T00:00:00"/>
    <d v="2013-11-01T00:00:00"/>
    <s v="Yes"/>
    <m/>
    <m/>
    <m/>
    <m/>
    <m/>
    <m/>
    <d v="2016-08-03T00:00:00"/>
    <s v="No"/>
    <d v="2017-02-27T00:00:00"/>
    <s v="No"/>
    <m/>
    <m/>
    <m/>
    <m/>
    <x v="2"/>
    <m/>
    <m/>
    <m/>
    <n v="0"/>
    <n v="7"/>
    <n v="0"/>
    <n v="0"/>
    <n v="0"/>
    <n v="0"/>
    <n v="0"/>
    <s v="No"/>
    <n v="0"/>
    <m/>
    <m/>
    <m/>
    <m/>
    <s v="No"/>
    <m/>
    <m/>
    <n v="3"/>
    <s v="NF"/>
    <m/>
    <s v="SIDA"/>
  </r>
  <r>
    <n v="56"/>
    <s v="C3/010"/>
    <s v="Samanta"/>
    <s v="Tresha"/>
    <s v="Lalla-Edward"/>
    <x v="1"/>
    <x v="2"/>
    <s v="South Africa"/>
    <s v="University of the Witwatersrand"/>
    <s v="Public Health"/>
    <s v="Wits Reproductive Health and HIV Institute"/>
    <s v="University of the Witwatersrand"/>
    <s v="Yes"/>
    <n v="705854"/>
    <m/>
    <s v="Married"/>
    <m/>
    <s v="esamanta@cartafrica.org"/>
    <s v="slallaedward@ezintsha.org;"/>
    <n v="113585404"/>
    <s v="Masters in Social Behaviour Studies in HIV/AIDS"/>
    <d v="1980-02-07T00:00:00"/>
    <s v="The effect of combination HIV prevention interventions: a comparison between men who have sex with men (MSM) sex workers and MSM non-sex workers"/>
    <s v="Field"/>
    <s v="No"/>
    <s v="Primary"/>
    <n v="8.5"/>
    <d v="2013-10-01T00:00:00"/>
    <d v="2013-03-01T00:00:00"/>
    <m/>
    <s v="Maria Elizabeth Rabe"/>
    <m/>
    <m/>
    <n v="1"/>
    <s v="Other "/>
    <m/>
    <m/>
    <s v="No"/>
    <m/>
    <m/>
    <s v="Other"/>
    <s v="M&amp;E Technical Specialist - Wits"/>
    <s v="Program Manager"/>
    <s v="Yes"/>
    <m/>
    <s v="EZINTSHA, SOUTH AFRICA (2021)"/>
    <s v="0000-0003-3597-1643"/>
    <m/>
    <d v="2013-03-01T00:00:00"/>
    <d v="2013-11-01T00:00:00"/>
    <s v="Yes"/>
    <m/>
    <m/>
    <m/>
    <m/>
    <m/>
    <s v="A process evaluation of newly implementing South African Roadside wellness clinics for truck drivers"/>
    <d v="2015-08-01T00:00:00"/>
    <s v="Yes"/>
    <d v="2016-02-28T00:00:00"/>
    <s v="Yes"/>
    <m/>
    <m/>
    <m/>
    <d v="2018-07-10T00:00:00"/>
    <x v="0"/>
    <n v="65"/>
    <n v="57"/>
    <s v="A process evaluation of newly implementing South African Roadside wellness clinics for truck drivers"/>
    <n v="0"/>
    <n v="5"/>
    <n v="31"/>
    <n v="1"/>
    <n v="0"/>
    <n v="0"/>
    <n v="0"/>
    <s v="No"/>
    <n v="0"/>
    <m/>
    <m/>
    <m/>
    <m/>
    <s v="No"/>
    <m/>
    <m/>
    <n v="1"/>
    <n v="2"/>
    <m/>
    <s v="FF"/>
  </r>
  <r>
    <n v="57"/>
    <s v="C3/011"/>
    <s v="Emmanuel"/>
    <m/>
    <s v="Shema"/>
    <x v="0"/>
    <x v="2"/>
    <s v="Rwanda"/>
    <s v="University of Rwanda"/>
    <s v="Demography"/>
    <m/>
    <s v="Moi University"/>
    <s v="No"/>
    <s v="EDU/D.Phil/CM/1010/16"/>
    <s v="Married"/>
    <s v="Married"/>
    <m/>
    <s v="esebahutu@cartafrica.org"/>
    <s v="esebahutu@nur.ac.rw_x000a_ sebem01@yahoo.fr"/>
    <s v="250788647761"/>
    <s v="Masters in Social Educational research Methods"/>
    <d v="1976-08-25T00:00:00"/>
    <s v="Building Awareness of both Men and Women through Formal Education with regard to Women’s Sexual and Reproductive Rights towards the Reduction of Fertility Rates in Rwanda: Challenges and Future Trends."/>
    <s v="Field"/>
    <s v="No"/>
    <s v="Primary"/>
    <n v="17.5"/>
    <d v="2013-03-27T00:00:00"/>
    <d v="2013-03-01T00:00:00"/>
    <m/>
    <s v="Prof Mukwa Wekesa Christopher"/>
    <s v="Dr. Wanyonyi Wamamili David"/>
    <m/>
    <n v="2"/>
    <s v="Host"/>
    <m/>
    <m/>
    <s v="Yes"/>
    <m/>
    <m/>
    <s v="Academic"/>
    <s v="Assistant Lecturer"/>
    <s v="Assistant Lecturer"/>
    <s v="No"/>
    <m/>
    <s v="UNIVERSITY OF RWANDA"/>
    <m/>
    <m/>
    <d v="2013-03-01T00:00:00"/>
    <d v="2013-11-01T00:00:00"/>
    <s v="Yes"/>
    <d v="2017-05-05T00:00:00"/>
    <d v="2017-05-05T00:00:00"/>
    <m/>
    <m/>
    <m/>
    <s v="Factors Associated with the Integration of Internet in Teaching Comprehensive Sexuality Education in Southern Province, Rwanda"/>
    <d v="2017-08-01T00:00:00"/>
    <s v="No"/>
    <d v="2018-03-05T00:00:00"/>
    <s v="No"/>
    <m/>
    <m/>
    <m/>
    <m/>
    <x v="2"/>
    <m/>
    <m/>
    <m/>
    <n v="0"/>
    <n v="0"/>
    <n v="0"/>
    <n v="0"/>
    <n v="0"/>
    <n v="0"/>
    <n v="0"/>
    <s v="No"/>
    <n v="0"/>
    <m/>
    <m/>
    <m/>
    <m/>
    <s v="No"/>
    <m/>
    <m/>
    <n v="4"/>
    <n v="5"/>
    <m/>
    <s v="FF"/>
  </r>
  <r>
    <n v="58"/>
    <s v="C3/012"/>
    <s v="Fredrick"/>
    <s v="Okoth"/>
    <s v="Okaka"/>
    <x v="0"/>
    <x v="2"/>
    <s v="Kenya"/>
    <s v="Moi University"/>
    <s v="Human Geography"/>
    <s v="Geography"/>
    <s v="Moi University"/>
    <s v="Yes"/>
    <s v="SASS/GEO/DPHIL/01/12"/>
    <s v="Married"/>
    <s v="Married"/>
    <s v="Married"/>
    <s v="fokaka@cartafrica.org"/>
    <s v="fredrickokaka@yaoo.com_x000a_fredrickokaka@gmail.com"/>
    <s v="+254 722 260034"/>
    <s v="Masters of Art (Settlement Geography)"/>
    <d v="1973-05-03T00:00:00"/>
    <s v="Urban Residents’ Perception of Climate Change as a Human Health Risk in Kenya: The Case of Kisumu and Mombasa Urban Centers"/>
    <s v="Field"/>
    <s v="No"/>
    <s v="Primary"/>
    <n v="22.5"/>
    <d v="2012-08-09T00:00:00"/>
    <d v="2013-03-01T00:00:00"/>
    <m/>
    <s v="Prof. Paul Omondi"/>
    <s v="Prof. Beneah D. O. Odhiambo"/>
    <m/>
    <n v="2"/>
    <s v="Home"/>
    <m/>
    <m/>
    <s v="Yes"/>
    <m/>
    <m/>
    <s v="Academic"/>
    <s v="Assistant Lecturer"/>
    <s v="Senior Lecturer"/>
    <s v="Yes"/>
    <m/>
    <s v="MOI UNIVERSITY"/>
    <s v="0000-0002-7140-0306"/>
    <m/>
    <d v="2013-03-01T00:00:00"/>
    <d v="2013-11-01T00:00:00"/>
    <s v="Yes"/>
    <d v="2014-06-12T00:00:00"/>
    <m/>
    <d v="2014-11-17T00:00:00"/>
    <m/>
    <m/>
    <s v="Urban residents' perception and adaptive capacity and behaviour to the health risks of climate change in Mombasa city, Kenya"/>
    <d v="2015-08-01T00:00:00"/>
    <s v="Yes"/>
    <d v="2016-02-28T00:00:00"/>
    <s v="Yes"/>
    <d v="2016-06-01T00:00:00"/>
    <d v="2016-10-17T00:00:00"/>
    <d v="2016-11-04T00:00:00"/>
    <d v="2016-11-04T00:00:00"/>
    <x v="0"/>
    <n v="45"/>
    <n v="37"/>
    <s v="Urban residents' perception and adaptive capacity and behaviour to the health risks of climate change in Mombasa city, Kenya"/>
    <n v="0"/>
    <n v="1"/>
    <n v="4"/>
    <n v="0"/>
    <n v="0"/>
    <n v="2"/>
    <n v="0"/>
    <s v="No"/>
    <n v="0"/>
    <m/>
    <m/>
    <m/>
    <m/>
    <s v="No"/>
    <m/>
    <m/>
    <n v="3"/>
    <n v="3"/>
    <m/>
    <s v="WT"/>
  </r>
  <r>
    <n v="59"/>
    <s v="C3/013"/>
    <s v="Joel"/>
    <s v="Olayiwola"/>
    <s v="Faronbi"/>
    <x v="0"/>
    <x v="2"/>
    <s v="Nigeria"/>
    <s v="Obafemi Awolowo University"/>
    <s v="Epidemiology"/>
    <m/>
    <s v="Obafemi Awolowo University"/>
    <s v="Yes"/>
    <m/>
    <s v="Married"/>
    <s v="Married"/>
    <s v="Married"/>
    <s v="jfaronbi@cartafrica.org"/>
    <s v="faronbiy2k@yahoh.co.uk"/>
    <s v="+2348033383018"/>
    <s v="MSC Nursing"/>
    <d v="1972-11-05T00:00:00"/>
    <s v="Impact of Nurse Moderated Intervention on the Quality of Life, Burden and Coping Strategies of Caregivers of the Elderly with Chronic Illness."/>
    <s v="Field"/>
    <s v="No"/>
    <s v="Primary"/>
    <n v="20"/>
    <d v="2012-09-26T00:00:00"/>
    <d v="2013-03-01T00:00:00"/>
    <m/>
    <s v="Olaogun Adenike Ayobola"/>
    <m/>
    <m/>
    <n v="1"/>
    <s v="Home"/>
    <m/>
    <m/>
    <s v="Yes"/>
    <m/>
    <m/>
    <s v="Academic"/>
    <s v="Lecturer II"/>
    <s v="Senior Lecturer"/>
    <s v="Yes"/>
    <s v="Department Postgraduate programme cordinator"/>
    <s v="OBAFEMI AWOLOWO UNIVERSITY"/>
    <s v="0000-0003-3392-4472"/>
    <m/>
    <d v="2013-03-01T00:00:00"/>
    <d v="2013-11-01T00:00:00"/>
    <s v="Yes"/>
    <d v="2013-08-20T00:00:00"/>
    <m/>
    <d v="2018-10-30T00:00:00"/>
    <m/>
    <m/>
    <s v="Burden, coping strategies and health related quality of life of caregivers of elderly with chronic illness in Osun State, Nigeria"/>
    <d v="2015-08-01T00:00:00"/>
    <s v="Yes"/>
    <d v="2016-02-28T00:00:00"/>
    <s v="Yes"/>
    <d v="2015-07-20T00:00:00"/>
    <d v="2015-08-15T00:00:00"/>
    <d v="2015-09-11T00:00:00"/>
    <d v="2015-12-12T00:00:00"/>
    <x v="0"/>
    <n v="34"/>
    <n v="26"/>
    <s v="Burden, coping strategies and health related quality of life of caregivers of elderly with chronic illness in Osun State, Nigeria"/>
    <n v="3"/>
    <n v="1"/>
    <n v="13"/>
    <n v="2"/>
    <n v="0"/>
    <n v="3"/>
    <n v="0"/>
    <s v="No"/>
    <n v="0"/>
    <m/>
    <m/>
    <m/>
    <m/>
    <s v="No"/>
    <m/>
    <m/>
    <n v="2"/>
    <n v="3"/>
    <m/>
    <s v="WT"/>
  </r>
  <r>
    <n v="60"/>
    <s v="C3/014"/>
    <s v="Judith"/>
    <s v="Nekesa"/>
    <s v="Mangeni"/>
    <x v="1"/>
    <x v="2"/>
    <s v="Kenya"/>
    <s v="Moi University"/>
    <s v="Epidemiology"/>
    <s v="Epidemiology and Biostatistics"/>
    <s v="University of Nairobi"/>
    <s v="No"/>
    <s v="H80/92321/2013"/>
    <s v="Married"/>
    <s v="Married"/>
    <s v="Married"/>
    <s v="jmangeni@cartafrica.org"/>
    <s v="nakholi2001@yahoo.com"/>
    <s v="+254-722-647-415"/>
    <s v="MPH (Epidemiology and Disease control tract"/>
    <d v="1977-06-17T00:00:00"/>
    <s v="Motivational Interventions in community hypertension screening in western Kenya"/>
    <s v="Field"/>
    <s v="No"/>
    <s v="Primary"/>
    <n v="3.5"/>
    <d v="2013-06-07T00:00:00"/>
    <d v="2013-03-01T00:00:00"/>
    <m/>
    <s v="Anne Wanjiru Mwangi"/>
    <m/>
    <m/>
    <n v="1"/>
    <s v="Home"/>
    <m/>
    <m/>
    <s v="Yes"/>
    <m/>
    <m/>
    <s v="Academic"/>
    <s v="Assistant Lecturer"/>
    <s v="Lecturer"/>
    <s v="Yes"/>
    <s v="Head ISO Quality Management system"/>
    <s v="MOI UNIVERSITY"/>
    <s v="0000-0001-7333-9329"/>
    <m/>
    <d v="2013-03-01T00:00:00"/>
    <d v="2013-11-01T00:00:00"/>
    <s v="Yes"/>
    <m/>
    <m/>
    <m/>
    <m/>
    <m/>
    <m/>
    <d v="2015-08-01T00:00:00"/>
    <s v="Yes"/>
    <d v="2016-02-28T00:00:00"/>
    <s v="Yes"/>
    <m/>
    <m/>
    <m/>
    <d v="2017-04-30T00:00:00"/>
    <x v="0"/>
    <n v="50"/>
    <n v="42"/>
    <m/>
    <n v="3"/>
    <n v="3"/>
    <n v="10"/>
    <n v="4"/>
    <n v="1"/>
    <n v="0"/>
    <n v="0"/>
    <s v="No"/>
    <n v="0"/>
    <m/>
    <m/>
    <m/>
    <m/>
    <s v="No"/>
    <m/>
    <m/>
    <n v="3"/>
    <n v="3"/>
    <m/>
    <s v="SIDA"/>
  </r>
  <r>
    <n v="61"/>
    <s v="C3/015"/>
    <s v="Ojo"/>
    <s v="Melvin"/>
    <s v="Agunbiade"/>
    <x v="0"/>
    <x v="2"/>
    <s v="Nigeria"/>
    <s v="Obafemi Awolowo University"/>
    <s v="Sociology"/>
    <s v="Sociology"/>
    <s v="University of the Witwatersrand"/>
    <s v="No"/>
    <n v="671975"/>
    <s v="Married"/>
    <s v="Married"/>
    <s v="Married"/>
    <s v="magunbiade@cartafrica.org"/>
    <s v="ojomelvin@yahoo.com_x000a_ojomelvin@gmail.com"/>
    <s v="+2348059221715"/>
    <s v="MSC Sociology and Anthropology (Medical Sociology option)"/>
    <d v="1976-04-07T00:00:00"/>
    <s v="Attitudes towards Sexuality in Later Life among Yoruba People in Southwestern Nigeria"/>
    <s v="Field"/>
    <s v="No"/>
    <s v="Primary"/>
    <n v="11.5"/>
    <d v="2013-02-25T00:00:00"/>
    <d v="2013-03-01T00:00:00"/>
    <m/>
    <s v="Emeritus Professor Gilbert Leah"/>
    <m/>
    <m/>
    <n v="1"/>
    <s v="Host"/>
    <m/>
    <m/>
    <s v="No"/>
    <m/>
    <m/>
    <s v="Academic"/>
    <s v="Lecturer II"/>
    <s v="Professor"/>
    <s v="Yes"/>
    <s v="Co-ordinator the University wide research methodology for all doctoral candidates at OAU"/>
    <s v="OBAFEMI AWOLOWO UNIVERSITY"/>
    <s v="0000-0001-8566-0662"/>
    <m/>
    <d v="2013-03-04T00:00:00"/>
    <d v="2013-11-01T00:00:00"/>
    <s v="Yes"/>
    <d v="2013-07-30T00:00:00"/>
    <m/>
    <d v="2013-11-29T00:00:00"/>
    <m/>
    <m/>
    <m/>
    <d v="2015-08-11T00:00:00"/>
    <s v="Yes"/>
    <d v="2016-02-29T00:00:00"/>
    <s v="Yes"/>
    <d v="2016-02-29T00:00:00"/>
    <d v="2016-07-08T00:00:00"/>
    <d v="2016-09-05T00:00:00"/>
    <d v="2016-09-07T00:00:00"/>
    <x v="0"/>
    <n v="43"/>
    <n v="35"/>
    <s v="Socio-cultural constructions of Sexuality and help-seeking behaviour among eldeerly Yoruba people in Urban Ibadan, SouthWest Nigeria"/>
    <n v="9"/>
    <n v="5"/>
    <n v="10"/>
    <n v="4"/>
    <n v="2"/>
    <n v="2"/>
    <n v="1"/>
    <s v="No"/>
    <n v="0"/>
    <m/>
    <m/>
    <m/>
    <m/>
    <s v="No"/>
    <m/>
    <m/>
    <n v="1"/>
    <n v="3"/>
    <m/>
    <s v="FF"/>
  </r>
  <r>
    <n v="62"/>
    <s v="C3/016"/>
    <s v="Marjorie"/>
    <s v="Kyomuhendo"/>
    <s v="Niyitegeka"/>
    <x v="1"/>
    <x v="2"/>
    <s v="Uganda"/>
    <s v="Makerere University"/>
    <s v="Public Health"/>
    <s v="Department of Journalism and Communication"/>
    <s v="Makerere University"/>
    <s v="Yes"/>
    <m/>
    <s v="Married"/>
    <s v="Married"/>
    <s v="Married"/>
    <s v="mkyomuhendo@cartafrica.org"/>
    <s v="marjorie@masscom.mak.ac.ug_x000a_ marjkyom@gmail.com"/>
    <s v="+256776672000/256772672300"/>
    <s v="Master of Philosophy (media studies)"/>
    <d v="1977-12-10T00:00:00"/>
    <s v="Awareness to practice: Improving the Effectiveness of Family Planning Communication in Uganda"/>
    <s v="Field"/>
    <s v="No"/>
    <s v="Primary"/>
    <n v="20.5"/>
    <d v="2013-02-20T00:00:00"/>
    <d v="2013-03-01T00:00:00"/>
    <m/>
    <s v="Monica Chibita"/>
    <s v="Fred Ntoni Nuwaha"/>
    <m/>
    <n v="2"/>
    <s v="Other "/>
    <s v="Home"/>
    <m/>
    <s v="No"/>
    <m/>
    <m/>
    <s v="Administrative"/>
    <s v="Assistant Lecturer"/>
    <m/>
    <m/>
    <m/>
    <s v="MAKERERE UNIVERSITY"/>
    <m/>
    <m/>
    <d v="2013-03-01T00:00:00"/>
    <d v="2013-11-01T00:00:00"/>
    <s v="Yes"/>
    <m/>
    <m/>
    <m/>
    <m/>
    <m/>
    <m/>
    <d v="2015-08-01T00:00:00"/>
    <s v="Yes"/>
    <d v="2016-02-28T00:00:00"/>
    <s v="Yes"/>
    <m/>
    <d v="2022-01-17T00:00:00"/>
    <m/>
    <d v="2022-01-17T00:00:00"/>
    <x v="0"/>
    <n v="107"/>
    <n v="99"/>
    <s v="Family planning communication in Uganda: An interrogation of media reporting, communication campaigns and audience perspectives"/>
    <n v="0"/>
    <n v="0"/>
    <n v="0"/>
    <n v="0"/>
    <n v="0"/>
    <n v="0"/>
    <n v="0"/>
    <s v="No"/>
    <n v="0"/>
    <m/>
    <m/>
    <m/>
    <m/>
    <s v="No"/>
    <m/>
    <m/>
    <n v="2"/>
    <n v="2"/>
    <m/>
    <s v="WT"/>
  </r>
  <r>
    <n v="63"/>
    <s v="C3/017"/>
    <s v="Nicolette"/>
    <s v="Prea"/>
    <s v="Naidoo"/>
    <x v="1"/>
    <x v="2"/>
    <s v="South Africa"/>
    <s v="University of the Witwatersrand"/>
    <s v="Public Health"/>
    <m/>
    <s v="University of the Witwatersrand"/>
    <s v="Yes"/>
    <m/>
    <m/>
    <s v="NF"/>
    <m/>
    <s v="nnaidoo@cartafrica.org"/>
    <s v="nnaidoo@wrhi.ac.za"/>
    <s v="0824901214"/>
    <s v="MPH (Health Management)"/>
    <d v="1981-10-06T00:00:00"/>
    <s v="An individually randomised multisite controlled trial of a comprehensive mobile phone intervention compared to the standard of care for improving adherence and retention outcomes in adult patients accessing HIV testing and treatment services in the inner city of Johannesburg, South Africa. "/>
    <s v="Field"/>
    <s v="No"/>
    <s v="Primary"/>
    <n v="4"/>
    <d v="2013-03-12T00:00:00"/>
    <d v="2013-03-01T00:00:00"/>
    <d v="2025-03-25T00:00:00"/>
    <s v="Sinead-Delany Moretlwe"/>
    <s v="Prof Alain Labrique"/>
    <m/>
    <n v="2"/>
    <s v="Home"/>
    <s v="Other"/>
    <m/>
    <s v="Yes"/>
    <s v="No"/>
    <m/>
    <s v="Academic"/>
    <s v="Researcher"/>
    <m/>
    <m/>
    <m/>
    <s v="UNIVERSITY OF THE WITWATERSRAND"/>
    <s v="0000-0002-7197-9426"/>
    <m/>
    <d v="2013-03-01T00:00:00"/>
    <d v="2013-11-01T00:00:00"/>
    <s v="Yes"/>
    <m/>
    <m/>
    <m/>
    <m/>
    <m/>
    <m/>
    <d v="2015-08-01T00:00:00"/>
    <s v="Yes"/>
    <d v="2016-02-28T00:00:00"/>
    <s v="Yes"/>
    <m/>
    <m/>
    <m/>
    <m/>
    <x v="1"/>
    <m/>
    <m/>
    <m/>
    <n v="1"/>
    <n v="13"/>
    <n v="0"/>
    <n v="0"/>
    <n v="0"/>
    <n v="0"/>
    <n v="0"/>
    <s v="No"/>
    <n v="0"/>
    <m/>
    <m/>
    <m/>
    <m/>
    <s v="No"/>
    <m/>
    <m/>
    <s v="NF"/>
    <s v="NF"/>
    <m/>
    <s v="NF"/>
  </r>
  <r>
    <n v="64"/>
    <s v="C3/018"/>
    <s v="Olufunmilayo"/>
    <s v="Olufunmilola"/>
    <s v="Banjo"/>
    <x v="1"/>
    <x v="2"/>
    <s v="Nigeria"/>
    <s v="Obafemi Awolowo University"/>
    <s v="Demography"/>
    <s v="Demography &amp; Social Statistics"/>
    <s v="Obafemi Awolowo University"/>
    <s v="Yes"/>
    <s v="SSP/08/09/H/1290"/>
    <s v="Married"/>
    <s v="Married"/>
    <s v="Married"/>
    <s v="obanjo@cartafrica.org"/>
    <s v="banjoolufunmilayo@gmail.com"/>
    <s v="+2348034962623"/>
    <s v="MSc. Demography and Social Statistics"/>
    <d v="1976-06-15T00:00:00"/>
    <s v="Women status and fertility in sub Saharan Africa. "/>
    <s v="Field"/>
    <s v="No"/>
    <s v="Secondary"/>
    <n v="19.5"/>
    <d v="2013-01-30T00:00:00"/>
    <d v="2013-03-01T00:00:00"/>
    <m/>
    <s v="Bisiriyu Adeleke Luqman"/>
    <s v="Dr. BAMIWUYE, Samson Olusina "/>
    <m/>
    <n v="2"/>
    <s v="Home"/>
    <s v="Home"/>
    <m/>
    <s v="Yes"/>
    <s v="Yes"/>
    <m/>
    <s v="Academic"/>
    <s v="Lecturer II"/>
    <s v="Professor"/>
    <s v="Yes"/>
    <s v="Acting Director, Centre for Gender and Social policy"/>
    <s v="OBAFEMI AWOLOWO UNIVERSITY"/>
    <s v="0000-0001-6433-9300"/>
    <m/>
    <d v="2013-03-01T00:00:00"/>
    <d v="2013-11-01T00:00:00"/>
    <s v="Yes"/>
    <m/>
    <m/>
    <m/>
    <m/>
    <m/>
    <m/>
    <d v="2015-08-01T00:00:00"/>
    <s v="Yes"/>
    <d v="2016-02-28T00:00:00"/>
    <s v="Yes"/>
    <m/>
    <m/>
    <m/>
    <d v="2015-05-27T00:00:00"/>
    <x v="0"/>
    <n v="27"/>
    <n v="19"/>
    <m/>
    <n v="1"/>
    <n v="0"/>
    <n v="12"/>
    <n v="0"/>
    <n v="0"/>
    <n v="1"/>
    <n v="1"/>
    <s v="JAS 1, 2013"/>
    <n v="0"/>
    <m/>
    <m/>
    <m/>
    <m/>
    <s v="No"/>
    <m/>
    <m/>
    <n v="5"/>
    <n v="5"/>
    <m/>
    <s v="WT"/>
  </r>
  <r>
    <n v="65"/>
    <s v="C3/019"/>
    <s v="Obasola"/>
    <s v="Ireti"/>
    <s v="Oluwaseun"/>
    <x v="1"/>
    <x v="2"/>
    <s v="Nigeria"/>
    <s v="University of Ibadan"/>
    <s v="Public Health"/>
    <m/>
    <s v="University of Ibadan"/>
    <s v="Yes"/>
    <m/>
    <s v="Married"/>
    <s v="Married"/>
    <s v="Married"/>
    <s v="oobasola@cartafrica.org"/>
    <s v="olaseun@yahoo.com"/>
    <s v="+2348033517020"/>
    <s v="Master of Library Science, Archival and information Studies"/>
    <d v="1977-02-11T00:00:00"/>
    <s v="Impact of ICT Utilization in the Provision of Health Information on Maternal and Child Health in Nigeria."/>
    <s v="Field"/>
    <s v="No"/>
    <s v="Primary"/>
    <n v="15"/>
    <d v="2012-09-26T00:00:00"/>
    <d v="2013-03-01T00:00:00"/>
    <m/>
    <s v="Iyabo Mabawonku"/>
    <m/>
    <m/>
    <n v="1"/>
    <s v="Home"/>
    <m/>
    <m/>
    <s v="Yes"/>
    <m/>
    <m/>
    <s v="Academic"/>
    <s v="Librarian II"/>
    <s v="Senior Librarian_x000a_"/>
    <s v="Yes"/>
    <m/>
    <s v="UNIVERSITY OF IBADAN TO 2020_x000a_INTERNATIONAL ATOMIC ENERGY AGENCY"/>
    <s v="0000-0001-8164-3953"/>
    <m/>
    <d v="2013-03-04T00:00:00"/>
    <d v="2013-11-18T00:00:00"/>
    <s v="Yes"/>
    <d v="2014-09-01T00:00:00"/>
    <m/>
    <d v="2015-02-05T00:00:00"/>
    <m/>
    <m/>
    <m/>
    <d v="2015-08-01T00:00:00"/>
    <s v="Yes"/>
    <d v="2016-02-29T00:00:00"/>
    <s v="Yes"/>
    <m/>
    <s v="27/5/2015"/>
    <d v="2017-08-10T00:00:00"/>
    <d v="2017-03-31T00:00:00"/>
    <x v="0"/>
    <n v="49"/>
    <n v="41"/>
    <s v="Mothers’ Perception of ICT use by Health Workers and Disseminated Information on_x000a_Maternal Health Practices in Nigeria"/>
    <n v="1"/>
    <n v="3"/>
    <n v="6"/>
    <n v="3"/>
    <n v="0"/>
    <n v="0"/>
    <n v="0"/>
    <s v="No"/>
    <n v="0"/>
    <m/>
    <m/>
    <m/>
    <m/>
    <s v="No"/>
    <m/>
    <m/>
    <n v="3"/>
    <n v="3"/>
    <m/>
    <s v="SIDA"/>
  </r>
  <r>
    <n v="66"/>
    <s v="C3/020"/>
    <s v="Anitha"/>
    <s v="-"/>
    <s v="Philbert"/>
    <x v="1"/>
    <x v="2"/>
    <s v="Tanzania"/>
    <s v="University of Dar es Salaam"/>
    <s v="Zoology/Ecology"/>
    <s v="Zoology and Wildlife Conservation"/>
    <s v="University of Dar es Salaam"/>
    <s v="Yes"/>
    <s v="2012-04-00184"/>
    <s v="Married"/>
    <s v="Married"/>
    <s v="Married"/>
    <s v="panitha@cartafrica.org"/>
    <s v="annybyabato@yahoo.com"/>
    <s v="+255784454541"/>
    <s v="MSC. Applied Zoology"/>
    <d v="1980-09-12T00:00:00"/>
    <s v="Causes and Consequences of Insecticide Resistance in Malaria Vectors.  A Case Study of Dar es Salaam, Tanzania"/>
    <s v="Experimental model"/>
    <s v="yes"/>
    <s v="Primary"/>
    <n v="19.5"/>
    <d v="2012-10-23T00:00:00"/>
    <d v="2012-03-01T00:00:00"/>
    <m/>
    <s v="Nkwengulila Gamba"/>
    <s v="DR SYLVESTER LYANTAGAYE"/>
    <m/>
    <n v="2"/>
    <s v="Home"/>
    <s v="Home"/>
    <m/>
    <s v="Yes"/>
    <s v="No"/>
    <m/>
    <s v="Academic"/>
    <s v="Assistant Lecturer"/>
    <s v="Senior Lecturer"/>
    <s v="Yes"/>
    <m/>
    <s v="UNIVERSITY OF DAR ES SALAAM"/>
    <s v="0000-0002-0301-2272"/>
    <m/>
    <d v="2013-03-01T00:00:00"/>
    <d v="2013-11-01T00:00:00"/>
    <s v="Yes"/>
    <d v="2013-06-07T00:00:00"/>
    <m/>
    <d v="2013-11-12T00:00:00"/>
    <m/>
    <m/>
    <s v="Insecticide resistance in malaria vectors: seasonal susceptibility mechanisms and relationships to agricultural practices in Magu and Sengerema Agro-Ecosystem Zone"/>
    <d v="2015-08-01T00:00:00"/>
    <s v="Yes"/>
    <d v="2016-02-28T00:00:00"/>
    <s v="Yes"/>
    <d v="2015-09-13T00:00:00"/>
    <d v="2016-07-14T00:00:00"/>
    <d v="2016-08-30T00:00:00"/>
    <d v="2016-08-30T00:00:00"/>
    <x v="0"/>
    <n v="42"/>
    <n v="34"/>
    <s v="Insecticide resistance in malaria vectors: seasonal susceptibility mechanisms and relationships to agricultural practices in Magu and Sengerema Agro-Ecosystem Zone"/>
    <n v="0"/>
    <n v="0"/>
    <n v="8"/>
    <n v="2"/>
    <n v="0"/>
    <n v="0"/>
    <n v="0"/>
    <s v="No"/>
    <n v="0"/>
    <m/>
    <m/>
    <m/>
    <m/>
    <s v="No"/>
    <m/>
    <m/>
    <n v="2"/>
    <n v="2"/>
    <s v="1 by thesis"/>
    <s v="WT"/>
  </r>
  <r>
    <n v="67"/>
    <s v="C3/021"/>
    <s v="Providence"/>
    <s v="Jechirchir"/>
    <s v="Kiptoo"/>
    <x v="1"/>
    <x v="2"/>
    <s v="Kenya"/>
    <s v="Moi University"/>
    <s v="ENVIRONMENTAL HEALTH"/>
    <s v="ENVIRONMENTAL HEALTH AND BIOLOGY"/>
    <s v="Moi University"/>
    <s v="Yes"/>
    <s v="SES/DPHIL/05/12"/>
    <m/>
    <s v="Married"/>
    <m/>
    <s v="pkiptoo@cartafrica.org"/>
    <s v="providencechiri@gmail.com"/>
    <s v="+254722421678"/>
    <s v="MOH (Epidemiology &amp; Disease Control)"/>
    <d v="1979-01-02T00:00:00"/>
    <s v="Maternal pesticide exposures and birth outcomes among flower farm workers in Kenya-A case control study."/>
    <s v="Field"/>
    <s v="No"/>
    <s v="Primary"/>
    <n v="5"/>
    <d v="2012-09-01T00:00:00"/>
    <d v="2013-03-01T00:00:00"/>
    <m/>
    <s v="Peter M. Gatongi"/>
    <s v="Prof Odipo Osano"/>
    <m/>
    <n v="2"/>
    <s v="Home"/>
    <s v="Other"/>
    <m/>
    <n v="2013"/>
    <m/>
    <m/>
    <m/>
    <s v="Assistant Lecturer"/>
    <m/>
    <m/>
    <m/>
    <s v="MOI UNIVERSITY"/>
    <s v="0000-0001-6975-5434"/>
    <m/>
    <d v="2013-03-01T00:00:00"/>
    <d v="2013-11-01T00:00:00"/>
    <s v="Yes"/>
    <m/>
    <m/>
    <m/>
    <m/>
    <m/>
    <m/>
    <d v="2016-08-01T00:00:00"/>
    <s v="No"/>
    <d v="2017-02-27T00:00:00"/>
    <s v="No"/>
    <m/>
    <m/>
    <m/>
    <m/>
    <x v="2"/>
    <m/>
    <m/>
    <m/>
    <n v="0"/>
    <n v="0"/>
    <n v="0"/>
    <n v="0"/>
    <n v="0"/>
    <n v="0"/>
    <n v="0"/>
    <s v="JAS 4, 2017"/>
    <n v="0"/>
    <m/>
    <m/>
    <m/>
    <m/>
    <s v="No"/>
    <m/>
    <m/>
    <s v="NF"/>
    <s v="NF"/>
    <m/>
    <s v="SIDA"/>
  </r>
  <r>
    <n v="68"/>
    <s v="C3/022"/>
    <s v="Save"/>
    <m/>
    <s v="Kumwenda"/>
    <x v="0"/>
    <x v="2"/>
    <s v="Malawi"/>
    <s v="University of Malawi"/>
    <s v="Public Health"/>
    <s v="Public Health"/>
    <s v="University of the Malawi"/>
    <s v="Yes"/>
    <s v="201380012518"/>
    <m/>
    <s v="Married"/>
    <s v="Married"/>
    <s v="skumwenda@cartafrica.org"/>
    <s v="skumwenda@gmail.com"/>
    <s v="+265888389452"/>
    <s v="Master of Public Health"/>
    <d v="1977-02-11T00:00:00"/>
    <s v="Comparative analysis of determinants of access to good maternal health care services"/>
    <s v="Field"/>
    <s v="yes"/>
    <s v="Primary"/>
    <n v="8.5"/>
    <d v="2013-11-01T00:00:00"/>
    <d v="2013-03-01T00:00:00"/>
    <m/>
    <s v="Dr. Chisomo Msefula"/>
    <s v="Dr. Bagrey Ngwira"/>
    <m/>
    <n v="2"/>
    <s v="Home"/>
    <s v="Home"/>
    <m/>
    <s v="No"/>
    <s v="No"/>
    <m/>
    <s v="Academic"/>
    <s v="Lecturer"/>
    <s v="Associate Professor"/>
    <s v="Yes"/>
    <m/>
    <s v="UNIVERSITY OF MALAWI"/>
    <s v="0000-0002-3329-5875"/>
    <m/>
    <d v="2013-03-01T00:00:00"/>
    <d v="2013-11-01T00:00:00"/>
    <s v="Yes"/>
    <d v="2013-05-21T00:00:00"/>
    <d v="2014-03-02T00:00:00"/>
    <m/>
    <m/>
    <m/>
    <s v="Pathogen survival in Ecosan latrines and the associated health risks"/>
    <d v="2015-08-01T00:00:00"/>
    <s v="Yes"/>
    <d v="2016-02-28T00:00:00"/>
    <s v="Yes"/>
    <m/>
    <m/>
    <m/>
    <d v="2019-04-13T00:00:00"/>
    <x v="0"/>
    <n v="74"/>
    <n v="66"/>
    <m/>
    <n v="1"/>
    <n v="16"/>
    <n v="5"/>
    <n v="5"/>
    <n v="1"/>
    <n v="0"/>
    <n v="0"/>
    <s v="No"/>
    <n v="0"/>
    <m/>
    <m/>
    <m/>
    <m/>
    <s v="No"/>
    <m/>
    <m/>
    <n v="1"/>
    <n v="3"/>
    <m/>
    <s v="SIDA"/>
  </r>
  <r>
    <n v="70"/>
    <s v="C3/024"/>
    <s v="Steven"/>
    <m/>
    <s v="Pentz"/>
    <x v="0"/>
    <x v="2"/>
    <s v="South Africa"/>
    <s v="University of the Witwatersrand"/>
    <m/>
    <m/>
    <s v="University of the Witwatersrand"/>
    <s v="No"/>
    <s v="NF"/>
    <s v="NF"/>
    <s v="NF"/>
    <s v="NF"/>
    <m/>
    <m/>
    <m/>
    <m/>
    <m/>
    <m/>
    <m/>
    <m/>
    <m/>
    <m/>
    <m/>
    <d v="2013-03-01T00:00:00"/>
    <d v="2014-12-31T00:00:00"/>
    <m/>
    <m/>
    <m/>
    <n v="0"/>
    <m/>
    <m/>
    <m/>
    <m/>
    <m/>
    <m/>
    <m/>
    <m/>
    <m/>
    <m/>
    <m/>
    <m/>
    <m/>
    <m/>
    <d v="2013-03-01T00:00:00"/>
    <m/>
    <m/>
    <m/>
    <m/>
    <m/>
    <m/>
    <m/>
    <m/>
    <m/>
    <m/>
    <m/>
    <m/>
    <m/>
    <m/>
    <m/>
    <m/>
    <x v="1"/>
    <s v="Terminated"/>
    <m/>
    <m/>
    <m/>
    <m/>
    <m/>
    <m/>
    <m/>
    <m/>
    <m/>
    <s v="No"/>
    <m/>
    <m/>
    <m/>
    <m/>
    <m/>
    <m/>
    <m/>
    <m/>
    <m/>
    <m/>
    <m/>
    <s v="NF"/>
  </r>
  <r>
    <n v="71"/>
    <s v="C4/001"/>
    <s v="Ayodele"/>
    <s v="John"/>
    <s v="Alonge"/>
    <x v="0"/>
    <x v="3"/>
    <s v="Nigeria"/>
    <s v="University of Ibadan"/>
    <s v="Communication and Information"/>
    <s v="School of Journalism and Mass Communication"/>
    <s v="University of Nairobi"/>
    <s v="No"/>
    <s v="K90/97550/2015"/>
    <s v="Married"/>
    <s v="Married"/>
    <m/>
    <s v="aalonge@cartafrica.org"/>
    <s v="ayoalonge@gmail.com"/>
    <s v="+2348023594427"/>
    <s v="Master of Publishing and Copyright Studies"/>
    <d v="1976-05-26T00:00:00"/>
    <s v="Efficacy of Social Media and Mobile Technology Use for HIV/AIDS Knowledge and Prevention among Teenagers in South-West Nigeria"/>
    <s v="Field"/>
    <s v="No"/>
    <s v="Primary"/>
    <n v="33"/>
    <d v="2015-09-30T00:00:00"/>
    <d v="2014-03-01T00:00:00"/>
    <m/>
    <s v="Prof wanbii Kiai"/>
    <s v="Dr  Ndei Ndati"/>
    <m/>
    <n v="2"/>
    <s v="Host"/>
    <m/>
    <m/>
    <s v="Yes"/>
    <m/>
    <m/>
    <s v="Academic"/>
    <s v="Librarian II"/>
    <s v="Lecturer II"/>
    <s v="Yes"/>
    <m/>
    <s v="UNIVERSITY OF IBADAN"/>
    <s v=" 0000-0001-6014-3271"/>
    <m/>
    <d v="2014-03-02T00:00:00"/>
    <d v="2014-11-03T00:00:00"/>
    <s v="Yes"/>
    <m/>
    <m/>
    <m/>
    <m/>
    <m/>
    <s v="The use of social media for HIV and AIDS communication among university undergraduatres in South - West Nigeria"/>
    <d v="2016-08-03T00:00:00"/>
    <s v="Yes"/>
    <d v="2017-02-27T00:00:00"/>
    <s v="Yes"/>
    <d v="2017-08-04T00:00:00"/>
    <m/>
    <m/>
    <d v="2017-12-20T00:00:00"/>
    <x v="0"/>
    <n v="46"/>
    <n v="38"/>
    <m/>
    <n v="2"/>
    <n v="0"/>
    <n v="2"/>
    <n v="3"/>
    <n v="1"/>
    <n v="0"/>
    <n v="1"/>
    <s v="No"/>
    <n v="0"/>
    <m/>
    <m/>
    <m/>
    <m/>
    <s v="No"/>
    <m/>
    <m/>
    <n v="2"/>
    <n v="3"/>
    <n v="2"/>
    <s v="FF"/>
  </r>
  <r>
    <n v="72"/>
    <s v="C4/002"/>
    <s v="Admire"/>
    <s v="Takuranhamo"/>
    <s v="Chikandiwa"/>
    <x v="0"/>
    <x v="3"/>
    <s v="South Africa"/>
    <s v="University of the Witwatersrand"/>
    <s v="Epidemiology"/>
    <s v="WITS  Reproductive and HIV Research Institute"/>
    <s v="University of the Witwatersrand"/>
    <s v="Yes"/>
    <n v="769258"/>
    <s v="Married"/>
    <s v="Married"/>
    <s v="Married"/>
    <s v="achikandiwa@cartafrica.org"/>
    <s v="achikandiwa@gmail.com"/>
    <s v="27717388187"/>
    <s v="Master of Public Health"/>
    <d v="1981-09-11T00:00:00"/>
    <s v="The effects of HIV infection and treatment on the epidemiology of sexually transmitted infections in men in South Africa"/>
    <s v="Clinical research"/>
    <s v="yes"/>
    <s v="Primary"/>
    <n v="6"/>
    <d v="2017-03-15T00:00:00"/>
    <d v="2014-03-01T00:00:00"/>
    <m/>
    <s v="Sinead Delany - Moretlwe"/>
    <m/>
    <m/>
    <n v="1"/>
    <s v="Home"/>
    <m/>
    <m/>
    <s v="Yes"/>
    <m/>
    <m/>
    <s v="Researcher"/>
    <s v="Researcher"/>
    <s v="Epidemiologist"/>
    <s v="Yes"/>
    <m/>
    <s v="UNIVERSITY OF THE WITWATERSRAND"/>
    <s v="0000-0003-4954-2225"/>
    <m/>
    <d v="2014-03-02T00:00:00"/>
    <d v="2014-11-03T00:00:00"/>
    <s v="Yes"/>
    <d v="2015-12-03T00:00:00"/>
    <d v="2016-07-28T00:00:00"/>
    <m/>
    <m/>
    <m/>
    <s v="Epidemiology of HPV infection and related diseases among HIV positive men in South Africa"/>
    <d v="2017-08-03T00:00:00"/>
    <s v="No"/>
    <d v="2018-03-05T00:00:00"/>
    <s v="No"/>
    <m/>
    <m/>
    <m/>
    <d v="2019-11-30T00:00:00"/>
    <x v="0"/>
    <n v="69"/>
    <n v="61"/>
    <m/>
    <n v="1"/>
    <n v="17"/>
    <n v="11"/>
    <n v="4"/>
    <n v="0"/>
    <n v="0"/>
    <n v="0"/>
    <s v="No"/>
    <n v="0"/>
    <m/>
    <m/>
    <m/>
    <m/>
    <s v="No"/>
    <m/>
    <m/>
    <n v="1"/>
    <s v="NF"/>
    <m/>
    <s v="SIDA"/>
  </r>
  <r>
    <n v="73"/>
    <s v="C4/003"/>
    <s v="Andrew"/>
    <s v="-"/>
    <s v="Tamale"/>
    <x v="0"/>
    <x v="3"/>
    <s v="Uganda"/>
    <s v="Makerere University"/>
    <s v="Public Health"/>
    <s v="Wild life and Aquatic Animal Resources"/>
    <s v="Makerere University"/>
    <s v="Yes"/>
    <s v="2011/HD17/18372U"/>
    <s v="Married"/>
    <s v="Married"/>
    <s v="Married"/>
    <s v="atamale@cartafrica.org"/>
    <s v="andietam@gmail.com"/>
    <s v="+256752330207/256788671192"/>
    <s v="Master of Public Health"/>
    <d v="1977-10-02T00:00:00"/>
    <s v="Risk Assessment of mercury and lead along the fish value chain in the lake Victoria Basin"/>
    <s v="Experimental model"/>
    <s v="yes"/>
    <s v="Primary"/>
    <n v="25.5"/>
    <d v="2014-03-12T00:00:00"/>
    <d v="2014-03-01T00:00:00"/>
    <m/>
    <s v="Assoc. Prof. Francis Ejobi"/>
    <s v="Prof MUYANJA Charles"/>
    <s v="Dr. Naigaga Irene"/>
    <n v="3"/>
    <s v="Home"/>
    <m/>
    <m/>
    <s v="No"/>
    <m/>
    <m/>
    <s v="Academic"/>
    <s v="Assistant Lecturer"/>
    <s v="Lecturer"/>
    <s v="No"/>
    <m/>
    <s v="MAKERERE UNIVERISTY"/>
    <s v="0000-0002-9742-1172"/>
    <m/>
    <d v="2014-03-02T00:00:00"/>
    <d v="2014-11-03T00:00:00"/>
    <s v="Yes"/>
    <m/>
    <m/>
    <m/>
    <m/>
    <m/>
    <m/>
    <d v="2016-08-03T00:00:00"/>
    <s v="Yes"/>
    <d v="2017-02-27T00:00:00"/>
    <s v="Yes"/>
    <m/>
    <m/>
    <m/>
    <d v="2017-03-30T00:00:00"/>
    <x v="0"/>
    <n v="37"/>
    <n v="29"/>
    <m/>
    <n v="1"/>
    <n v="4"/>
    <n v="8"/>
    <n v="1"/>
    <n v="0"/>
    <n v="0"/>
    <n v="0"/>
    <s v="No"/>
    <n v="0"/>
    <m/>
    <m/>
    <m/>
    <m/>
    <s v="No"/>
    <m/>
    <m/>
    <n v="3"/>
    <n v="4"/>
    <m/>
    <s v="SIDA"/>
  </r>
  <r>
    <n v="74"/>
    <s v="C4/004"/>
    <s v="Boladale"/>
    <s v="Moyosore"/>
    <s v="Mapayi"/>
    <x v="1"/>
    <x v="3"/>
    <s v="Nigeria"/>
    <s v="Obafemi Awolowo University"/>
    <s v="Psychology"/>
    <s v="Mental Health"/>
    <s v="Obafemi Awolowo University"/>
    <s v="Yes"/>
    <s v="CLI/12/13/H/2219"/>
    <s v="Married"/>
    <s v="Married"/>
    <s v="Married"/>
    <s v="bmapayi@cartafrica.org"/>
    <s v="daledosu@yahoo.com"/>
    <s v="+2348033930096"/>
    <s v="Msc Clinical Psychology"/>
    <d v="1974-05-03T00:00:00"/>
    <s v="Integration of FP Services into Mental Health services: An Assessment of Psychosocial Correlates of uptake and continuance of mentally ill females at the Psychiatric Clinic of OAU Teaching Clinical research"/>
    <s v="Clinical research"/>
    <s v="No"/>
    <s v="Primary"/>
    <n v="14"/>
    <d v="2013-03-15T00:00:00"/>
    <d v="2014-03-01T00:00:00"/>
    <m/>
    <s v="Ukpong Morenike"/>
    <s v="Harrison Abigail"/>
    <m/>
    <n v="2"/>
    <s v="Home"/>
    <m/>
    <m/>
    <s v="Yes"/>
    <m/>
    <m/>
    <s v="Academic"/>
    <s v="Lecturer"/>
    <s v="Associate Professor"/>
    <s v="Yes"/>
    <s v="Vice Dean, Faculty of clinical Sciences"/>
    <s v="OBAFEMI AWOLOWO UNIVERSITY"/>
    <s v="0000-0002-0596-2132"/>
    <m/>
    <d v="2014-03-02T00:00:00"/>
    <d v="2014-11-03T00:00:00"/>
    <s v="Yes"/>
    <m/>
    <m/>
    <m/>
    <m/>
    <m/>
    <s v="Integratining family planning into mental helath services for women attending the psychiatric outpatient clinic of Obafemi Awolowo University Teaching Clinical researchs Complex, Ile-Ife"/>
    <d v="2016-08-03T00:00:00"/>
    <s v="Yes"/>
    <d v="2017-02-27T00:00:00"/>
    <s v="Yes"/>
    <m/>
    <m/>
    <m/>
    <d v="2017-03-31T00:00:00"/>
    <x v="0"/>
    <n v="37"/>
    <n v="29"/>
    <s v="Integratining family planning into mental helath services for women attending the psychiatric outpatient clinic of Obafemi Awolowo University Teaching Clinical researchs Complex, Ile-Ife"/>
    <n v="9"/>
    <n v="6"/>
    <n v="15"/>
    <n v="0"/>
    <n v="1"/>
    <n v="0"/>
    <n v="0"/>
    <s v="No"/>
    <n v="0"/>
    <m/>
    <m/>
    <m/>
    <m/>
    <s v="No"/>
    <m/>
    <m/>
    <n v="3"/>
    <n v="3"/>
    <m/>
    <s v="SIDA"/>
  </r>
  <r>
    <n v="75"/>
    <s v="C4/005"/>
    <s v="Bolutife"/>
    <s v="Ayokunnu"/>
    <s v="Olusanya"/>
    <x v="0"/>
    <x v="3"/>
    <s v="Nigeria"/>
    <s v="University of Ibadan"/>
    <s v="Medicine"/>
    <s v="Epidemiology and Medical Statistics"/>
    <s v="University of Ibadan"/>
    <s v="Yes"/>
    <n v="65466"/>
    <s v="Married"/>
    <s v="Married"/>
    <s v="Married"/>
    <s v="bolusanya@cartafrica.org"/>
    <s v="bolutifeo@yahoo.com"/>
    <s v="+2348034051563"/>
    <s v="M.Sc Epidemiology &amp; Medical Statistics"/>
    <d v="1975-10-20T00:00:00"/>
    <s v="Assessment of the magnitude, causes and risk factors of childhood blindness in Oyo state, Nigeria"/>
    <s v="Field"/>
    <s v="No"/>
    <s v="Primary"/>
    <n v="3"/>
    <d v="2014-07-10T00:00:00"/>
    <d v="2014-03-01T00:00:00"/>
    <m/>
    <s v="Prof. Ajayi Ikeoluwapo"/>
    <s v="Prof Baiyeroju Aderonke"/>
    <m/>
    <n v="2"/>
    <s v="Home"/>
    <m/>
    <m/>
    <s v="Yes"/>
    <m/>
    <m/>
    <s v="Academic"/>
    <s v="Lecturer"/>
    <s v="Associate Professor"/>
    <s v="Yes"/>
    <m/>
    <s v="UNIVERSITY OF IBADAN"/>
    <s v="0000-0002-8027-2844"/>
    <m/>
    <d v="2014-03-02T00:00:00"/>
    <d v="2014-11-03T00:00:00"/>
    <s v="Yes"/>
    <d v="2017-05-11T00:00:00"/>
    <d v="2017-04-04T00:00:00"/>
    <d v="2017-05-08T00:00:00"/>
    <m/>
    <m/>
    <s v="Development and validation of a screening tool for the early detection of blinding eye diseases among infants attending immunization centres in Ibadan, Nigeria "/>
    <d v="2017-08-03T00:00:00"/>
    <s v="No"/>
    <d v="2018-03-05T00:00:00"/>
    <s v="No"/>
    <m/>
    <m/>
    <m/>
    <d v="2021-03-05T00:00:00"/>
    <x v="0"/>
    <n v="85"/>
    <n v="77"/>
    <m/>
    <n v="14"/>
    <n v="17"/>
    <n v="2"/>
    <n v="5"/>
    <n v="5"/>
    <n v="0"/>
    <n v="0"/>
    <s v="No"/>
    <n v="0"/>
    <m/>
    <m/>
    <m/>
    <m/>
    <s v="No"/>
    <m/>
    <m/>
    <n v="2"/>
    <n v="2"/>
    <m/>
    <s v="WT"/>
  </r>
  <r>
    <n v="76"/>
    <s v="C4/006"/>
    <s v="Chrispus"/>
    <s v="-"/>
    <s v="Mayora"/>
    <x v="0"/>
    <x v="3"/>
    <s v="Uganda"/>
    <s v="Makerere University"/>
    <s v="Public Health"/>
    <s v="School of public health"/>
    <s v="University of the Witwatersrand"/>
    <s v="No"/>
    <n v="1018550"/>
    <s v="Married"/>
    <s v="Married"/>
    <s v="Married"/>
    <s v="cmayora@cartafrica.org"/>
    <s v="cmayora@musph.ac.ug"/>
    <s v="+256773313016"/>
    <s v="Master of Health Economics"/>
    <d v="1981-08-09T00:00:00"/>
    <s v="Scaling up Community Health workers (CHWs) program in Uganda: Implications for Human Resources for Health Management (HRHM)"/>
    <s v="Field"/>
    <s v="No"/>
    <s v="Primary"/>
    <n v="13.5"/>
    <d v="2015-01-01T00:00:00"/>
    <d v="2014-03-01T00:00:00"/>
    <m/>
    <s v="Prof. Ngianga Kandala Bakwin"/>
    <s v="Dr. Henry Wamani"/>
    <s v="Dr. Elizabeth Ekirapa-Kiracho"/>
    <n v="3"/>
    <s v="Host"/>
    <m/>
    <m/>
    <s v="Yes"/>
    <m/>
    <m/>
    <s v="Academic"/>
    <s v="Assistant Lecturer"/>
    <s v="Assistant Lecturer"/>
    <s v="No"/>
    <m/>
    <s v="MAKERERE UNIVERSITY"/>
    <s v="0000-0002-6640-6519"/>
    <m/>
    <d v="2014-03-02T00:00:00"/>
    <d v="2014-11-03T00:00:00"/>
    <s v="Yes"/>
    <d v="2015-04-10T00:00:00"/>
    <d v="2015-04-15T00:00:00"/>
    <m/>
    <m/>
    <m/>
    <m/>
    <d v="2016-08-03T00:00:00"/>
    <s v="Yes"/>
    <d v="2017-02-27T00:00:00"/>
    <s v="Yes"/>
    <m/>
    <m/>
    <m/>
    <d v="2021-06-18T00:00:00"/>
    <x v="0"/>
    <n v="88"/>
    <n v="80"/>
    <s v="Retail drug shops market in Uganda: Incentives, effect on health care system, and implications care system, and implications for child health"/>
    <n v="1"/>
    <n v="11"/>
    <n v="3"/>
    <n v="2"/>
    <n v="0"/>
    <n v="0"/>
    <n v="0"/>
    <s v="No"/>
    <n v="0"/>
    <m/>
    <m/>
    <m/>
    <m/>
    <s v="No"/>
    <m/>
    <m/>
    <n v="1"/>
    <n v="2"/>
    <m/>
    <s v="SIDA"/>
  </r>
  <r>
    <n v="77"/>
    <s v="C4/007"/>
    <s v="Caroline"/>
    <s v="Jepkoech"/>
    <s v="Sawe"/>
    <x v="1"/>
    <x v="3"/>
    <s v="Kenya"/>
    <s v="Moi University"/>
    <s v="Applied Human Nutrition"/>
    <s v="Department of Food Science, Nutrition and Technology"/>
    <s v="University of Nairobi"/>
    <s v="No"/>
    <s v="A80/96627/2014"/>
    <s v="Married"/>
    <s v="Married"/>
    <m/>
    <s v="csawe@cartafrica.org"/>
    <s v="carolsawej@yahoo.com"/>
    <s v="+254721540248"/>
    <s v="Master of Public Health"/>
    <d v="1980-05-04T00:00:00"/>
    <s v="Assess the Impact of Community strategy program in Nutritional Status of children under five years in Uasin Gishu County"/>
    <s v="Field"/>
    <s v="No"/>
    <s v="Primary"/>
    <n v="17"/>
    <d v="2014-04-01T00:00:00"/>
    <d v="2014-03-01T00:00:00"/>
    <m/>
    <s v="Prof W Kogi-Makau"/>
    <s v="Prof Grace A. Ettyang "/>
    <s v="Dr Charkes O Kimamo"/>
    <n v="2"/>
    <s v="Host"/>
    <m/>
    <m/>
    <s v="Yes"/>
    <m/>
    <m/>
    <s v="Academic"/>
    <s v="Administrator"/>
    <s v="Lecturer"/>
    <s v="Yes"/>
    <m/>
    <s v="MOI UNIVERSITY"/>
    <s v="0000-0002-9808-4091"/>
    <m/>
    <d v="2014-03-02T00:00:00"/>
    <d v="2014-11-03T00:00:00"/>
    <s v="Yes"/>
    <d v="2015-02-12T00:00:00"/>
    <d v="2015-03-10T00:00:00"/>
    <m/>
    <m/>
    <m/>
    <s v="Impact of community health workers on nutritional status and cognitive development of children aged less than two years in Kisumu County, Kenya"/>
    <d v="2016-08-03T00:00:00"/>
    <s v="Yes"/>
    <d v="2017-02-27T00:00:00"/>
    <s v="Yes"/>
    <m/>
    <m/>
    <m/>
    <d v="2021-09-03T00:00:00"/>
    <x v="0"/>
    <n v="91"/>
    <n v="83"/>
    <m/>
    <n v="0"/>
    <n v="0"/>
    <n v="0"/>
    <n v="0"/>
    <n v="0"/>
    <n v="0"/>
    <n v="0"/>
    <s v="JAS 3, 2016"/>
    <n v="0"/>
    <m/>
    <m/>
    <m/>
    <m/>
    <s v="No"/>
    <m/>
    <m/>
    <n v="1"/>
    <n v="2"/>
    <m/>
    <s v="SIDA"/>
  </r>
  <r>
    <n v="78"/>
    <s v="C4/008"/>
    <s v="Dieter"/>
    <m/>
    <s v="Hartmann"/>
    <x v="0"/>
    <x v="3"/>
    <s v="South Africa"/>
    <s v="University of the Witwatersrand"/>
    <s v="Civil Engineering"/>
    <s v="School of Mechanical, Industrial and Aeronautical Engineering"/>
    <s v="University of the Witwatersrand"/>
    <s v="Yes"/>
    <m/>
    <s v="Married"/>
    <s v="Married"/>
    <s v="Married"/>
    <s v="dhartmann@cartafrica.org"/>
    <s v="Dieter.Hartmann@wits.ac.za"/>
    <n v="27716861252"/>
    <s v="M.Sc Industrial Enginnering"/>
    <d v="1981-07-14T00:00:00"/>
    <s v="Determining a framework of benchmarks for efficient healthcare delivery in South Africa. "/>
    <s v="Clinical research"/>
    <s v="No"/>
    <s v="Primary"/>
    <n v="12"/>
    <d v="2013-12-09T00:00:00"/>
    <d v="2014-03-01T00:00:00"/>
    <m/>
    <s v="Prof. Alex van den Heever"/>
    <m/>
    <m/>
    <n v="1"/>
    <s v="Home"/>
    <m/>
    <m/>
    <s v="No"/>
    <m/>
    <m/>
    <s v="Academic"/>
    <s v="Lecturer"/>
    <m/>
    <m/>
    <m/>
    <s v="UNIVERSITY OF THE WITWATERSRAND"/>
    <s v="0000-0001-9641-0095"/>
    <m/>
    <d v="2014-03-02T00:00:00"/>
    <d v="2014-11-03T00:00:00"/>
    <s v="Yes"/>
    <d v="2017-04-21T00:00:00"/>
    <d v="2016-05-19T00:00:00"/>
    <m/>
    <m/>
    <m/>
    <s v="Demand management in South African Public Healthcare: The case for failure demand"/>
    <d v="2018-08-03T00:00:00"/>
    <s v="No"/>
    <d v="2019-03-04T00:00:00"/>
    <s v="No"/>
    <m/>
    <m/>
    <m/>
    <d v="2022-04-07T00:00:00"/>
    <x v="0"/>
    <n v="98"/>
    <n v="90"/>
    <s v="Demand management in healthcare service delivery: The case for failure demand"/>
    <n v="4"/>
    <n v="5"/>
    <n v="0"/>
    <n v="2"/>
    <n v="3"/>
    <n v="0"/>
    <n v="0"/>
    <s v="No"/>
    <n v="0"/>
    <m/>
    <m/>
    <m/>
    <m/>
    <s v="No"/>
    <m/>
    <m/>
    <n v="0"/>
    <n v="1"/>
    <m/>
    <s v="SIDA"/>
  </r>
  <r>
    <n v="79"/>
    <s v="C4/009"/>
    <s v="Winnie"/>
    <s v="Chepkurui"/>
    <s v="Mutai"/>
    <x v="1"/>
    <x v="3"/>
    <s v="Kenya"/>
    <s v="University of Nairobi"/>
    <s v="Medical Bacteriology"/>
    <s v="Medical Microbiology"/>
    <s v="University of Nairobi"/>
    <s v="Yes"/>
    <s v="H80/99967/2015"/>
    <s v="Married"/>
    <s v="Separated"/>
    <s v="Separated"/>
    <s v="wmutai@cartafrica.org"/>
    <s v="vynnmutai@gmail.com; vynnemutai@yahoo.com"/>
    <s v="+254724886584"/>
    <s v="Master in medical microbiology"/>
    <d v="1981-09-13T00:00:00"/>
    <s v="Molecular epidemiology of Clostridium difficile among patients in Kenyatta National Clinical research"/>
    <s v="Clinical research"/>
    <s v="yes"/>
    <s v="Primary"/>
    <n v="37"/>
    <d v="2015-03-15T00:00:00"/>
    <d v="2014-03-01T00:00:00"/>
    <m/>
    <s v="Prof. Omu Anzala"/>
    <m/>
    <m/>
    <n v="1"/>
    <s v="Home"/>
    <m/>
    <m/>
    <s v="Yes"/>
    <m/>
    <m/>
    <s v="Academic"/>
    <s v="Tutorial Fellow"/>
    <s v="Tutorial Fellow"/>
    <m/>
    <m/>
    <s v="UNIVERSITY OF NAIROBI"/>
    <s v="0000-0003-0612-9430"/>
    <m/>
    <d v="2014-03-02T00:00:00"/>
    <d v="2014-11-03T00:00:00"/>
    <s v="Yes"/>
    <d v="2019-08-22T00:00:00"/>
    <d v="2015-08-22T00:00:00"/>
    <m/>
    <m/>
    <m/>
    <m/>
    <d v="2016-08-03T00:00:00"/>
    <s v="Yes"/>
    <d v="2017-02-27T00:00:00"/>
    <s v="Yes"/>
    <m/>
    <m/>
    <m/>
    <d v="2023-09-22T00:00:00"/>
    <x v="0"/>
    <n v="115"/>
    <n v="107"/>
    <s v="Molecular Epidemiology of Clostridiodes Difficile Among Inpatients Presenting with Diarrhea in Selected Clinical researchs in Nairobi, Kenya.’"/>
    <n v="0"/>
    <n v="5"/>
    <n v="0"/>
    <n v="1"/>
    <n v="0"/>
    <n v="0"/>
    <n v="0"/>
    <s v="JAS 3, 2016"/>
    <n v="0"/>
    <m/>
    <m/>
    <m/>
    <m/>
    <s v="No"/>
    <m/>
    <m/>
    <n v="1"/>
    <n v="3"/>
    <m/>
    <s v="SIDA"/>
  </r>
  <r>
    <n v="80"/>
    <s v="C4/010"/>
    <s v="Tumaini"/>
    <s v="Chiseko"/>
    <s v="Malenga"/>
    <x v="1"/>
    <x v="3"/>
    <s v="Malawi"/>
    <s v="University of Malawi"/>
    <s v="Medical Athropology"/>
    <s v="Health Systems and Policy Development"/>
    <s v="University of the Malawi"/>
    <s v="Yes"/>
    <s v="201380012572"/>
    <s v="Single"/>
    <s v="Married"/>
    <s v="Married"/>
    <s v="tmalenga@cartafrica.org"/>
    <s v="tmalenga@gmail.com"/>
    <s v="+265999544544"/>
    <s v="M.Sc International Development"/>
    <d v="1984-09-08T00:00:00"/>
    <s v="Determining the predominant motivations that promote transactional sex in densely populated areas in Malawi. "/>
    <s v="Field"/>
    <s v="No"/>
    <s v="Primary"/>
    <n v="36"/>
    <d v="2014-03-31T00:00:00"/>
    <d v="2014-03-01T00:00:00"/>
    <m/>
    <s v="Prof  Umar Eric "/>
    <s v="Prof Griffiths Frances"/>
    <s v="Prof Van den Berg  Marrit"/>
    <n v="3"/>
    <s v="Home"/>
    <m/>
    <m/>
    <s v="Yes"/>
    <m/>
    <m/>
    <s v="Researcher"/>
    <s v="Research Administrator"/>
    <s v="Research and Policy Analyst"/>
    <s v="Yes"/>
    <m/>
    <s v="African Institute For Development Policy (AFIDEP)"/>
    <s v="0000-0002-7269-0405"/>
    <m/>
    <d v="2014-03-02T00:00:00"/>
    <d v="2014-11-03T00:00:00"/>
    <s v="Yes"/>
    <m/>
    <m/>
    <m/>
    <m/>
    <m/>
    <m/>
    <d v="2016-08-03T00:00:00"/>
    <s v="Yes"/>
    <d v="2017-02-27T00:00:00"/>
    <s v="Yes"/>
    <m/>
    <d v="2020-12-11T00:00:00"/>
    <m/>
    <d v="2021-12-09T00:00:00"/>
    <x v="0"/>
    <n v="94"/>
    <n v="86"/>
    <m/>
    <n v="0"/>
    <n v="6"/>
    <n v="0"/>
    <n v="1"/>
    <n v="0"/>
    <n v="0"/>
    <n v="0"/>
    <s v="No"/>
    <n v="0"/>
    <m/>
    <m/>
    <m/>
    <m/>
    <s v="No"/>
    <m/>
    <m/>
    <n v="0"/>
    <n v="1"/>
    <m/>
    <s v="FF"/>
  </r>
  <r>
    <n v="81"/>
    <s v="C4/011"/>
    <s v="Flavia"/>
    <s v="Kiweewa"/>
    <s v="Matovu"/>
    <x v="1"/>
    <x v="3"/>
    <s v="Uganda"/>
    <s v="Makerere University"/>
    <s v="Public Health"/>
    <s v="PUBLIC HEALTH"/>
    <s v="University of the Witwatersrand"/>
    <s v="No"/>
    <n v="1060654"/>
    <s v="Married"/>
    <s v="Married"/>
    <s v="Married"/>
    <s v="fmatovu@cartafrica.org"/>
    <s v="fmatovu@mujhu.org"/>
    <s v="+256772544759/256702544759"/>
    <s v="M.Sc Epidemiology"/>
    <d v="1976-11-16T00:00:00"/>
    <s v="Bone Mineral Density Study in Young Adult Women on Depot-medroxyprogesterone  at the Mulago FP Clinic, Uganda"/>
    <s v="Clinical research"/>
    <s v="yes"/>
    <s v="Primary"/>
    <n v="15.5"/>
    <d v="2017-05-31T00:00:00"/>
    <d v="2014-03-01T00:00:00"/>
    <m/>
    <s v="Dr. Mags Beksinska"/>
    <m/>
    <m/>
    <n v="1"/>
    <s v="Host"/>
    <m/>
    <m/>
    <s v="Yes"/>
    <m/>
    <m/>
    <s v="Researcher"/>
    <s v="Researcher"/>
    <s v="Director of Research"/>
    <s v="Yes"/>
    <m/>
    <s v="MAKERERE UNIVERSITY"/>
    <s v="0000-0002-0046-4353"/>
    <m/>
    <d v="2014-03-02T00:00:00"/>
    <d v="2014-11-03T00:00:00"/>
    <s v="Yes"/>
    <d v="2015-07-22T00:00:00"/>
    <d v="2019-02-07T00:00:00"/>
    <m/>
    <m/>
    <m/>
    <s v="Bone mineral density in a cohort of young women using Tenofovir and Depo-Provera"/>
    <d v="2016-08-03T00:00:00"/>
    <s v="Yes"/>
    <d v="2017-02-27T00:00:00"/>
    <s v="Yes"/>
    <m/>
    <m/>
    <m/>
    <d v="2021-11-08T00:00:00"/>
    <x v="0"/>
    <n v="93"/>
    <n v="85"/>
    <m/>
    <n v="1"/>
    <n v="15"/>
    <n v="6"/>
    <n v="1"/>
    <n v="1"/>
    <n v="0"/>
    <n v="0"/>
    <s v="No"/>
    <n v="0"/>
    <m/>
    <m/>
    <m/>
    <m/>
    <s v="No"/>
    <m/>
    <m/>
    <s v="NF"/>
    <s v="NF"/>
    <m/>
    <s v="WT"/>
  </r>
  <r>
    <n v="82"/>
    <s v="C4/012"/>
    <s v="Grace"/>
    <s v="Wambura"/>
    <s v="Mbuthia"/>
    <x v="1"/>
    <x v="3"/>
    <s v="Kenya"/>
    <s v="Moi University"/>
    <s v="Anthropology"/>
    <s v="Medical anthropology"/>
    <s v="University of Nairobi"/>
    <s v="No"/>
    <s v="N79/94988/14"/>
    <s v="Married"/>
    <s v="Married"/>
    <s v="Married"/>
    <s v="gmbuthia@cartafrica.org"/>
    <s v="gmbuthia2002@yahoo.co.uk"/>
    <s v="+254 722 287 196"/>
    <s v="MPH-Epidemiology and disease control"/>
    <d v="1979-11-13T00:00:00"/>
    <s v="Assessment of the impact of community health workers programme in the control of tuberculosis in remote pastoralists communities -Kenya  "/>
    <s v="Field"/>
    <s v="No"/>
    <s v="Primary"/>
    <n v="10"/>
    <d v="2014-10-01T00:00:00"/>
    <d v="2014-03-01T00:00:00"/>
    <m/>
    <s v="Prof. Charles Owour Olungah"/>
    <s v="Dr. Tom Ondicho"/>
    <m/>
    <n v="2"/>
    <s v="Host"/>
    <m/>
    <m/>
    <s v="Yes"/>
    <m/>
    <m/>
    <s v="Academic"/>
    <s v="Assistant Lecturer"/>
    <s v="Lecturer"/>
    <s v="Yes"/>
    <m/>
    <s v="JKUAT"/>
    <s v="0000-0003-0994-5249"/>
    <m/>
    <d v="2014-03-03T00:00:00"/>
    <d v="2014-11-03T00:00:00"/>
    <s v="Yes"/>
    <m/>
    <m/>
    <m/>
    <m/>
    <m/>
    <s v="Perceptions, stigma and treatment pathways among Tuberclosis patients in West Pokot County, Kenya"/>
    <d v="2016-08-03T00:00:00"/>
    <s v="Yes"/>
    <d v="2017-02-27T00:00:00"/>
    <s v="Yes"/>
    <m/>
    <m/>
    <m/>
    <d v="2018-05-22T00:00:00"/>
    <x v="0"/>
    <n v="51"/>
    <n v="43"/>
    <s v="Treatment pathways perceptions and stigma among tuberculosis _x000a_patients in West- Pokot County Kenya"/>
    <n v="2"/>
    <n v="3"/>
    <n v="5"/>
    <n v="6"/>
    <n v="1"/>
    <n v="0"/>
    <n v="0"/>
    <s v="No"/>
    <n v="0"/>
    <m/>
    <m/>
    <m/>
    <m/>
    <s v="No"/>
    <m/>
    <m/>
    <n v="2"/>
    <n v="3"/>
    <m/>
    <s v="WT"/>
  </r>
  <r>
    <n v="83"/>
    <s v="C4/013"/>
    <s v="Henry"/>
    <m/>
    <s v="Zakumumpa"/>
    <x v="0"/>
    <x v="3"/>
    <s v="Uganda"/>
    <s v="Makerere University"/>
    <s v="Public Health"/>
    <s v="Health Policy, Planning and Management"/>
    <s v="Makerere University"/>
    <s v="Yes"/>
    <m/>
    <s v="Married"/>
    <s v="Married"/>
    <s v="Married"/>
    <s v="hzakumpa@cartafrica.org"/>
    <s v="zakumumpa@yahoo.com"/>
    <s v="+256772 520519"/>
    <s v="Master of Arts (Social Sector Planning)"/>
    <d v="1975-11-14T00:00:00"/>
    <s v="Characterizing the sustainability of donor-funded ART  programs in Uganda:"/>
    <s v="Field"/>
    <s v="No"/>
    <s v="Primary"/>
    <n v="9.5"/>
    <d v="2013-11-26T00:00:00"/>
    <d v="2014-03-01T00:00:00"/>
    <m/>
    <s v="Prof. Freddie Ssemgooba"/>
    <s v="Prof Sara Bennett"/>
    <m/>
    <n v="2"/>
    <s v="Home"/>
    <m/>
    <m/>
    <s v="Yes"/>
    <m/>
    <m/>
    <s v="Academic"/>
    <s v="Assistant Registrar"/>
    <s v="Post Doc Research Fellow"/>
    <s v="Yes"/>
    <m/>
    <s v="MAKERERE UNIVERISTY"/>
    <s v="0000-0002-8169-1151"/>
    <m/>
    <d v="2014-03-04T00:00:00"/>
    <d v="2014-11-03T00:00:00"/>
    <s v="Yes"/>
    <m/>
    <m/>
    <m/>
    <m/>
    <m/>
    <s v="Examining the sustainability of anti - retroviral therapy  (ART) scale - up implementation in health facilities in Uganda"/>
    <d v="2016-08-03T00:00:00"/>
    <s v="Yes"/>
    <d v="2018-03-05T00:00:00"/>
    <s v="No"/>
    <d v="2018-06-05T00:00:00"/>
    <d v="2018-10-05T00:00:00"/>
    <d v="2018-10-26T00:00:00"/>
    <d v="2018-10-26T00:00:00"/>
    <x v="0"/>
    <n v="56"/>
    <n v="48"/>
    <s v="Examining the sustainability of anti - retroviral therapy  (ART) scale - up implementation in health facilities in Uganda"/>
    <n v="0"/>
    <n v="6"/>
    <n v="19"/>
    <n v="3"/>
    <n v="0"/>
    <n v="0"/>
    <n v="0"/>
    <s v="No"/>
    <n v="0"/>
    <m/>
    <m/>
    <m/>
    <m/>
    <s v="No"/>
    <m/>
    <m/>
    <n v="2"/>
    <n v="3"/>
    <m/>
    <s v="SIDA"/>
  </r>
  <r>
    <n v="84"/>
    <s v="C4/014"/>
    <s v="Irene"/>
    <s v="Richard"/>
    <s v="Moshi"/>
    <x v="1"/>
    <x v="3"/>
    <s v="Tanzania"/>
    <s v="Ifakara Health Institute"/>
    <s v="Social Sciences/Medical Athropology"/>
    <s v="Centre for Health Policy"/>
    <s v="University of the Witwatersrand"/>
    <s v="No"/>
    <n v="1197596"/>
    <m/>
    <s v="Married"/>
    <s v="Married"/>
    <s v="imoshi@cartafrica.org"/>
    <s v="imoshi@ihi.or.tz"/>
    <s v="+255 712498879"/>
    <s v="MA Demography"/>
    <d v="1984-05-07T00:00:00"/>
    <s v="Exploring relationships between outdoor human activities and persistent malaria transmission in rural Tanzanian populations"/>
    <s v="Field"/>
    <s v="No"/>
    <s v="Primary"/>
    <n v="9.5"/>
    <d v="2015-02-01T00:00:00"/>
    <d v="2014-03-01T00:00:00"/>
    <m/>
    <s v="Distinguished Proffesor, Lenore Manderson"/>
    <s v="Associated Prof. Ladislaus Mnyone"/>
    <s v="Distinguished Professor. Moureen Coetzee"/>
    <n v="3"/>
    <s v="Home"/>
    <m/>
    <m/>
    <s v="Yes"/>
    <m/>
    <m/>
    <s v="Researcher"/>
    <s v="Research Officer"/>
    <s v="Research Scientist"/>
    <s v="Yes"/>
    <m/>
    <s v="IFAKARA HEALTH INSTITUTE"/>
    <s v="0000-0002-9516-6657"/>
    <m/>
    <d v="2014-03-05T00:00:00"/>
    <d v="2014-11-03T00:00:00"/>
    <s v="Yes"/>
    <d v="2015-07-20T00:00:00"/>
    <d v="2015-08-14T00:00:00"/>
    <m/>
    <m/>
    <m/>
    <s v="Outdoor Malaria Transmission: Human activities and the risks of acquiring malaria infection in rural communities of Morogoro Region, Tanzania"/>
    <d v="2016-08-03T00:00:00"/>
    <s v="Yes"/>
    <d v="2017-02-27T00:00:00"/>
    <s v="Yes"/>
    <m/>
    <m/>
    <m/>
    <d v="2019-12-31T00:00:00"/>
    <x v="0"/>
    <n v="70"/>
    <n v="62"/>
    <m/>
    <n v="1"/>
    <n v="5"/>
    <n v="3"/>
    <n v="2"/>
    <n v="0"/>
    <n v="0"/>
    <n v="0"/>
    <s v="JAS 3, 2016"/>
    <n v="0"/>
    <m/>
    <m/>
    <m/>
    <m/>
    <s v="No"/>
    <m/>
    <m/>
    <n v="1"/>
    <n v="2"/>
    <m/>
    <s v="SIDA"/>
  </r>
  <r>
    <n v="85"/>
    <s v="C4/015"/>
    <s v="Magutah"/>
    <s v="Joel"/>
    <s v="Karani"/>
    <x v="0"/>
    <x v="3"/>
    <s v="Kenya"/>
    <s v="Moi University"/>
    <s v="Medical physiology"/>
    <s v="Medical physiology"/>
    <s v="University of Nairobi"/>
    <s v="No"/>
    <s v="H80/95068/2014"/>
    <s v="Married"/>
    <s v="Married"/>
    <s v="Married"/>
    <s v="jkarani@cartafrica.org"/>
    <s v="kmagutah@gmail.com"/>
    <s v="+254721545063"/>
    <s v="Master of Science. Medical Physiology"/>
    <d v="1978-01-07T00:00:00"/>
    <s v="Cardio-respiratory fitness trends in physically healthy Kenyan Populace from rural and Urban set-ups"/>
    <s v="Field"/>
    <s v="yes"/>
    <s v="Primary"/>
    <n v="13"/>
    <d v="2014-01-03T00:00:00"/>
    <d v="2014-03-01T00:00:00"/>
    <m/>
    <s v="Prof. Nilesh B. Patel"/>
    <s v="Prof. Kihumbu Thairu"/>
    <m/>
    <n v="2"/>
    <s v="Host"/>
    <m/>
    <m/>
    <s v="Yes"/>
    <m/>
    <m/>
    <s v="Academic"/>
    <s v="Graduate Assistant"/>
    <s v="Lecturer"/>
    <s v="Yes"/>
    <m/>
    <s v="MOI UNIVERSITY"/>
    <s v="0000-0003-3105-2981"/>
    <m/>
    <d v="2014-03-06T00:00:00"/>
    <d v="2014-11-03T00:00:00"/>
    <s v="Yes"/>
    <d v="2015-05-01T00:00:00"/>
    <d v="2015-06-01T00:00:00"/>
    <d v="2015-08-01T00:00:00"/>
    <m/>
    <m/>
    <s v="The effect of short and long bouts of Home based moderate intensity exercises on cardiorespiratory fitness among sedentary Western Kenya Adults Aged at least 50 Years."/>
    <d v="2016-08-03T00:00:00"/>
    <s v="Yes"/>
    <d v="2017-02-25T00:00:00"/>
    <s v="Yes"/>
    <d v="2018-01-15T00:00:00"/>
    <d v="2018-09-06T00:00:00"/>
    <d v="2018-11-22T00:00:00"/>
    <d v="2018-11-30T00:00:00"/>
    <x v="0"/>
    <n v="57"/>
    <n v="49"/>
    <s v="The Effect of Short and Long Bouts of Home-based Moderate Intensity Exercises on Cardiorespiratory Fitness among Sedentary Western-Kenya Adults Aged at least 50 Years."/>
    <n v="1"/>
    <n v="4"/>
    <n v="3"/>
    <n v="2"/>
    <n v="0"/>
    <n v="0"/>
    <n v="0"/>
    <s v="No"/>
    <n v="0"/>
    <m/>
    <m/>
    <m/>
    <m/>
    <s v="No"/>
    <m/>
    <m/>
    <n v="2"/>
    <n v="2"/>
    <m/>
    <s v="SIDA"/>
  </r>
  <r>
    <n v="86"/>
    <s v="C4/016"/>
    <s v="Jackline"/>
    <s v="Chepchirchir"/>
    <s v="Sitienei"/>
    <x v="1"/>
    <x v="3"/>
    <s v="Kenya"/>
    <s v="Moi University"/>
    <s v="Public Health"/>
    <s v="Center of Health Policy"/>
    <s v="University of the Witwatersrand"/>
    <s v="No"/>
    <n v="1061559"/>
    <m/>
    <s v="Married"/>
    <m/>
    <s v="jsitienei@cartafrica.org"/>
    <s v="sitieneij@yahoo.com"/>
    <s v="+254722926800"/>
    <s v="Master of International Research Ethics"/>
    <d v="1969-04-04T00:00:00"/>
    <s v="Multilevel Community Participation in Health Facilities, Western Kenya"/>
    <s v="Field"/>
    <s v="No"/>
    <s v="Primary"/>
    <n v="16"/>
    <d v="2014-02-23T00:00:00"/>
    <d v="2014-03-01T00:00:00"/>
    <m/>
    <s v="Mabel Nangami"/>
    <m/>
    <m/>
    <n v="1"/>
    <s v="Home"/>
    <m/>
    <m/>
    <s v="No"/>
    <m/>
    <m/>
    <s v="Academic"/>
    <s v="Assistant Lecturer"/>
    <s v="Lecturer"/>
    <s v="Yes"/>
    <m/>
    <s v="MOI UNIVERSITY"/>
    <s v="0000-0001-6182-2209"/>
    <m/>
    <d v="2014-03-02T00:00:00"/>
    <d v="2014-11-03T00:00:00"/>
    <s v="Yes"/>
    <d v="2016-07-04T00:00:00"/>
    <d v="2017-09-11T00:00:00"/>
    <m/>
    <m/>
    <m/>
    <m/>
    <d v="2016-08-03T00:00:00"/>
    <s v="Yes"/>
    <d v="2017-02-27T00:00:00"/>
    <s v="Yes"/>
    <m/>
    <m/>
    <m/>
    <m/>
    <x v="2"/>
    <m/>
    <m/>
    <m/>
    <n v="2"/>
    <n v="3"/>
    <n v="0"/>
    <n v="3"/>
    <n v="0"/>
    <n v="0"/>
    <n v="0"/>
    <s v="No"/>
    <n v="0"/>
    <m/>
    <m/>
    <m/>
    <m/>
    <s v="No"/>
    <m/>
    <m/>
    <s v="NF"/>
    <s v="NF"/>
    <m/>
    <s v="CARNEGIE"/>
  </r>
  <r>
    <n v="87"/>
    <s v="C4/017"/>
    <s v="Kaitesi"/>
    <s v="Batamuliza"/>
    <s v="Mukara"/>
    <x v="1"/>
    <x v="3"/>
    <s v="Rwanda"/>
    <s v="University of Rwanda"/>
    <s v="Public Health"/>
    <s v="Health Policy"/>
    <s v="Makerere University"/>
    <s v="No"/>
    <s v="2014/HD07/18709X"/>
    <s v="Separated"/>
    <s v="Divorced"/>
    <s v="Divorced"/>
    <s v="kmukara@cartafrica.org"/>
    <s v="kaibat@hotmail.com"/>
    <s v="+250 788467587"/>
    <s v="M.Sc Audiology"/>
    <d v="1977-06-18T00:00:00"/>
    <s v="Audiology: Planning and policies for improved care in resource limited settings – the case of Rwanda"/>
    <s v="Field"/>
    <s v="No"/>
    <s v="Primary"/>
    <n v="7.5"/>
    <d v="2015-12-15T00:00:00"/>
    <d v="2014-03-01T00:00:00"/>
    <m/>
    <s v="Dr. Peter Waiswa"/>
    <m/>
    <m/>
    <n v="1"/>
    <s v="Host"/>
    <m/>
    <m/>
    <s v="Yes"/>
    <m/>
    <m/>
    <s v="Academic"/>
    <s v="Lecturer"/>
    <s v="CEO"/>
    <s v="Yes"/>
    <m/>
    <s v="HEARING HEALTH RWANDA (2019)"/>
    <s v="0000-0003-0585-2846"/>
    <m/>
    <d v="2014-03-02T00:00:00"/>
    <d v="2014-11-03T00:00:00"/>
    <s v="Yes"/>
    <m/>
    <m/>
    <m/>
    <m/>
    <m/>
    <m/>
    <d v="2016-08-03T00:00:00"/>
    <s v="Yes"/>
    <d v="2017-02-27T00:00:00"/>
    <s v="Yes"/>
    <m/>
    <d v="2021-01-25T00:00:00"/>
    <m/>
    <d v="2021-05-17T00:00:00"/>
    <x v="0"/>
    <n v="87"/>
    <n v="79"/>
    <s v="Prevalence of ear infections and care seeking practices in children under five in a dsitrict of Kigali city, Rwanda"/>
    <n v="0"/>
    <n v="4"/>
    <n v="0"/>
    <n v="0"/>
    <n v="1"/>
    <n v="0"/>
    <n v="0"/>
    <s v="No"/>
    <n v="0"/>
    <m/>
    <m/>
    <m/>
    <m/>
    <s v="No"/>
    <m/>
    <m/>
    <n v="2"/>
    <n v="2"/>
    <m/>
    <s v="SIDA/DAAD"/>
  </r>
  <r>
    <n v="88"/>
    <s v="C4/018"/>
    <s v="Harrison"/>
    <s v="Lackson"/>
    <s v="Tembo"/>
    <x v="0"/>
    <x v="3"/>
    <s v="Malawi"/>
    <s v="University of Malawi"/>
    <s v="Public Health"/>
    <s v="Basic Medical Sciences"/>
    <s v="University of the Malawi"/>
    <s v="Yes"/>
    <s v="2013-07-00251"/>
    <s v="NF"/>
    <s v="Married"/>
    <m/>
    <s v="ltembo@cartafrica.org"/>
    <s v="ltembo@medcol.mw"/>
    <s v="+265997723601"/>
    <s v="M.Sc Human Anatomy"/>
    <n v="30152"/>
    <s v="Assessing the effect of HIV/AIDS on bone microstructure and composition on bone tissue."/>
    <s v="Clinical research"/>
    <s v="yes"/>
    <s v="Primary"/>
    <n v="25"/>
    <d v="2014-02-22T00:00:00"/>
    <d v="2014-03-01T00:00:00"/>
    <d v="2020-02-06T00:00:00"/>
    <s v="Professor Amadi O. Ihunwo "/>
    <m/>
    <m/>
    <n v="1"/>
    <s v="Other "/>
    <m/>
    <m/>
    <s v="Yes"/>
    <m/>
    <m/>
    <s v="Academic"/>
    <s v="Lecturer"/>
    <m/>
    <m/>
    <m/>
    <s v="UNIVERSITY OF MALAWI"/>
    <m/>
    <m/>
    <d v="2014-03-02T00:00:00"/>
    <d v="2014-11-03T00:00:00"/>
    <s v="Yes"/>
    <m/>
    <m/>
    <m/>
    <m/>
    <m/>
    <m/>
    <n v="42585"/>
    <s v="Yes"/>
    <m/>
    <s v="No"/>
    <m/>
    <m/>
    <m/>
    <m/>
    <x v="1"/>
    <s v="Terminated"/>
    <m/>
    <m/>
    <n v="0"/>
    <n v="2"/>
    <n v="0"/>
    <n v="1"/>
    <n v="0"/>
    <n v="0"/>
    <n v="0"/>
    <s v="No"/>
    <n v="0"/>
    <m/>
    <m/>
    <m/>
    <m/>
    <s v="No"/>
    <m/>
    <m/>
    <s v="NF"/>
    <s v="NF"/>
    <m/>
    <s v="SIDA"/>
  </r>
  <r>
    <n v="89"/>
    <s v="C4/019"/>
    <s v="Mohamed"/>
    <s v="Kassim"/>
    <s v="Ally"/>
    <x v="0"/>
    <x v="3"/>
    <s v="Tanzania"/>
    <s v="University of Dar es Salaam"/>
    <s v="Library Science"/>
    <s v="Information Studies"/>
    <s v="University of Dar es Salaam"/>
    <s v="Yes"/>
    <n v="1034515"/>
    <s v="Married"/>
    <s v="Married"/>
    <s v="Married"/>
    <s v="mkassim@cartafrica.org"/>
    <s v="mohdie2@yahoo.com"/>
    <s v="+255 713 742 525"/>
    <s v="M.A Information Studies"/>
    <d v="1981-06-27T00:00:00"/>
    <s v="Maternal Health Information Needs and Information Seeking Behavior of Women of Reproductive Age in Rural Tanzania"/>
    <s v="Field"/>
    <s v="No"/>
    <s v="Primary"/>
    <n v="28"/>
    <d v="2014-04-01T00:00:00"/>
    <d v="2014-03-01T00:00:00"/>
    <m/>
    <s v="Prof. Jangawe Msuya"/>
    <m/>
    <m/>
    <n v="1"/>
    <s v="Home"/>
    <m/>
    <m/>
    <s v="No"/>
    <m/>
    <m/>
    <s v="Researcher"/>
    <s v="Assistant Lecturer"/>
    <s v="Senior Lecturer"/>
    <s v="Yes"/>
    <m/>
    <s v="UNIVERSITY OF DAR ES SALAAM"/>
    <s v="0000-0002-3016-9283"/>
    <m/>
    <d v="2014-03-02T00:00:00"/>
    <d v="2014-11-03T00:00:00"/>
    <s v="Yes"/>
    <m/>
    <m/>
    <m/>
    <m/>
    <m/>
    <m/>
    <d v="2016-08-03T00:00:00"/>
    <s v="Yes"/>
    <d v="2017-02-27T00:00:00"/>
    <s v="Yes"/>
    <m/>
    <m/>
    <m/>
    <d v="2018-04-11T00:00:00"/>
    <x v="0"/>
    <n v="50"/>
    <n v="42"/>
    <s v="Maternal health information needs and seeking behaviour of_x000a_women of reproductive age in rural Tanzania: a case of_x000a_Mpwapwa district, Dodoma region"/>
    <n v="0"/>
    <n v="0"/>
    <n v="6"/>
    <n v="1"/>
    <n v="0"/>
    <n v="0"/>
    <n v="0"/>
    <s v="No"/>
    <n v="0"/>
    <m/>
    <m/>
    <m/>
    <m/>
    <s v="No"/>
    <m/>
    <m/>
    <n v="1"/>
    <n v="1"/>
    <m/>
    <s v="SIDA"/>
  </r>
  <r>
    <n v="90"/>
    <s v="C4/020"/>
    <s v="Mbithi"/>
    <s v="Michael"/>
    <s v="Mutua"/>
    <x v="0"/>
    <x v="3"/>
    <s v="Kenya"/>
    <s v="APHRC"/>
    <s v="Public Health"/>
    <s v="Research"/>
    <s v="University of the Witwatersrand"/>
    <s v="No"/>
    <s v="SSP11/12/H/2901"/>
    <s v="Married"/>
    <s v="Married"/>
    <s v="Married"/>
    <s v="mmutua@cartafrica.org"/>
    <s v="mutua_mike@yahoo.com;mmutua@bristolpark.or.ke; mutuamike@gmail.com_x000a_"/>
    <s v="+25422365431"/>
    <s v="Master of Social Statistics "/>
    <d v="1977-05-25T00:00:00"/>
    <s v="Abortion and Post Abortion Care in Kenya"/>
    <s v="Field"/>
    <s v="No"/>
    <s v="Primary"/>
    <n v="21"/>
    <d v="2014-04-27T00:00:00"/>
    <d v="2014-03-01T00:00:00"/>
    <m/>
    <s v="Prof Manderson Lenore"/>
    <s v="Prof Musenge Eustasius"/>
    <s v="Dr Achia Thomas"/>
    <n v="3"/>
    <s v="Host"/>
    <m/>
    <m/>
    <s v="Yes"/>
    <m/>
    <m/>
    <s v="Researcher"/>
    <s v="Statistical Data Analyst"/>
    <s v="Consultant"/>
    <s v="Yes"/>
    <m/>
    <s v="SELF EMPLOYED (2019)"/>
    <s v="0000-0002-7326-3886"/>
    <m/>
    <d v="2014-03-02T00:00:00"/>
    <d v="2014-11-03T00:00:00"/>
    <s v="Yes"/>
    <d v="2015-08-19T00:00:00"/>
    <d v="2015-07-10T00:00:00"/>
    <m/>
    <m/>
    <m/>
    <s v="Quality of post abortion Care in Kenya"/>
    <d v="2016-08-03T00:00:00"/>
    <s v="Yes"/>
    <d v="2017-02-27T00:00:00"/>
    <s v="Yes"/>
    <m/>
    <m/>
    <m/>
    <d v="2019-07-11T00:00:00"/>
    <x v="0"/>
    <n v="65"/>
    <n v="57"/>
    <m/>
    <n v="2"/>
    <n v="17"/>
    <n v="6"/>
    <n v="3"/>
    <n v="1"/>
    <n v="0"/>
    <n v="0"/>
    <s v="No"/>
    <n v="0"/>
    <m/>
    <m/>
    <m/>
    <m/>
    <s v="No"/>
    <m/>
    <m/>
    <n v="3"/>
    <n v="3"/>
    <m/>
    <s v="SIDA"/>
  </r>
  <r>
    <n v="91"/>
    <s v="C4/021"/>
    <s v="Modupe"/>
    <s v="Oladunni"/>
    <s v="Taiwo"/>
    <x v="1"/>
    <x v="3"/>
    <s v="Nigeria"/>
    <s v="Obafemi Awolowo University"/>
    <s v="Health Psychology"/>
    <s v="Center for Gender and Social Policy Studies"/>
    <s v="Obafemi Awolowo University"/>
    <s v="Yes"/>
    <s v="0702658H"/>
    <s v="Married"/>
    <s v="Married"/>
    <s v="Married"/>
    <s v="mtaiwo@cartafrica.org"/>
    <s v="oladunnitaiwo@gmail.com"/>
    <s v="+234(0)8062234960"/>
    <s v="MPA-   Reproductive Health "/>
    <d v="1971-11-02T00:00:00"/>
    <s v="Relationship between Psychological well-being and HAART adherence among HIV/AIDS infected persons in three nationally designated treatment centers in Southwest Nigeria"/>
    <s v="Field"/>
    <s v="No"/>
    <s v="Primary"/>
    <n v="26"/>
    <d v="2012-09-04T00:00:00"/>
    <d v="2014-03-01T00:00:00"/>
    <m/>
    <s v="Professor Funmi Togonu-Bickersteth"/>
    <m/>
    <m/>
    <n v="1"/>
    <s v="Home"/>
    <m/>
    <m/>
    <s v="Yes"/>
    <m/>
    <m/>
    <s v="Academic"/>
    <s v="Junior Research Fellow"/>
    <m/>
    <m/>
    <m/>
    <s v="OBAFEMI AWOLOWO UNIVERSITY"/>
    <s v="0000-0002-1377-3470"/>
    <m/>
    <d v="2014-03-02T00:00:00"/>
    <d v="2014-11-03T00:00:00"/>
    <s v="Yes"/>
    <m/>
    <m/>
    <m/>
    <m/>
    <m/>
    <m/>
    <d v="2016-08-03T00:00:00"/>
    <s v="Yes"/>
    <d v="2017-02-27T00:00:00"/>
    <s v="Yes"/>
    <m/>
    <m/>
    <m/>
    <d v="2016-03-31T00:00:00"/>
    <x v="0"/>
    <n v="25"/>
    <n v="17"/>
    <m/>
    <n v="3"/>
    <n v="0"/>
    <n v="2"/>
    <n v="0"/>
    <n v="0"/>
    <n v="0"/>
    <n v="0"/>
    <s v="No"/>
    <n v="0"/>
    <m/>
    <m/>
    <m/>
    <m/>
    <s v="No"/>
    <m/>
    <m/>
    <n v="1"/>
    <n v="1"/>
    <m/>
    <s v="SIDA"/>
  </r>
  <r>
    <n v="92"/>
    <s v="C4/022"/>
    <s v="Nkosiyazi"/>
    <s v="-"/>
    <s v="Dube"/>
    <x v="0"/>
    <x v="3"/>
    <s v="South Africa"/>
    <s v="University of the Witwatersrand"/>
    <s v="Social Development"/>
    <s v="Social Work"/>
    <s v="University of the Witwatersrand"/>
    <s v="Yes"/>
    <s v="U803/98508/2015"/>
    <s v="Married"/>
    <s v="Married"/>
    <s v="Married"/>
    <s v="ndube@cartafrica.org"/>
    <s v="dubenkosipnj@gmail.com"/>
    <s v="+27730933485"/>
    <s v="Master of Arts (Social Work – Social Development)"/>
    <d v="1977-06-11T00:00:00"/>
    <s v="Exploring the experiences and social complexity associated with non/disclosure of HIV status to children born HIV positive living at Child and Youth Care Centres in South Africa"/>
    <s v="Field"/>
    <s v="No"/>
    <s v="Primary"/>
    <n v="20.5"/>
    <d v="2014-01-01T00:00:00"/>
    <d v="2014-03-01T00:00:00"/>
    <m/>
    <s v="Professor Edwell Kaseke"/>
    <s v="Professor Edmarie Pretorius"/>
    <m/>
    <n v="2"/>
    <s v="Home"/>
    <m/>
    <m/>
    <s v="Yes"/>
    <m/>
    <m/>
    <s v="Academic"/>
    <s v="Tutor"/>
    <s v="Senior Lecturer"/>
    <s v="Yes"/>
    <s v="Deputy Head of Department and course Cordinator (2021 Jan)"/>
    <s v="UNIVERSITY OF THE WITWATERSRAND"/>
    <s v="0000-0002-3036-2008"/>
    <m/>
    <d v="2014-03-02T00:00:00"/>
    <d v="2014-11-03T00:00:00"/>
    <s v="Yes"/>
    <m/>
    <m/>
    <m/>
    <m/>
    <m/>
    <s v="Informal social security and its contributions towards meeting the needs of the poor: The case of stokvels in Soweto, Johannesburg"/>
    <d v="2016-08-03T00:00:00"/>
    <s v="Yes"/>
    <d v="2018-03-05T00:00:00"/>
    <s v="No"/>
    <m/>
    <m/>
    <m/>
    <d v="2018-07-04T00:00:00"/>
    <x v="0"/>
    <n v="53"/>
    <n v="45"/>
    <s v="Informal social security and its contributions towards meeting the needs of the poor: The case of stokvels in Soweto, Johannesburg"/>
    <n v="1"/>
    <n v="5"/>
    <n v="6"/>
    <n v="2"/>
    <n v="2"/>
    <n v="0"/>
    <n v="0"/>
    <s v="No"/>
    <n v="0"/>
    <m/>
    <m/>
    <m/>
    <m/>
    <s v="No"/>
    <m/>
    <m/>
    <n v="1"/>
    <n v="2"/>
    <n v="1"/>
    <s v="SIDA"/>
  </r>
  <r>
    <n v="93"/>
    <s v="C4/023"/>
    <s v="Nilian"/>
    <s v="Ayuma"/>
    <s v="Mukungu"/>
    <x v="1"/>
    <x v="3"/>
    <s v="Kenya"/>
    <s v="University of Nairobi"/>
    <s v="Pharmacognosy"/>
    <s v="Pharmacology and Pharmacognosy"/>
    <s v="University of Nairobi"/>
    <s v="Yes"/>
    <s v="2013-07-00246"/>
    <s v="Married"/>
    <s v="Married"/>
    <s v="Married"/>
    <s v="nmukungu@cartafrica.org"/>
    <s v="nillyanne2004@yahoo.com"/>
    <s v="+254 721291660"/>
    <s v="M.Sc Pharmacognosy"/>
    <d v="1982-04-24T00:00:00"/>
    <s v="Antimalarial activity of plants used for treating malaria in rural western Kenya"/>
    <s v="Field"/>
    <s v="yes"/>
    <s v="Primary"/>
    <n v="38"/>
    <d v="2015-03-02T00:00:00"/>
    <d v="2014-03-01T00:00:00"/>
    <m/>
    <s v="Prof. Mwangi Julius "/>
    <m/>
    <m/>
    <n v="1"/>
    <s v="Home"/>
    <m/>
    <m/>
    <s v="Yes"/>
    <m/>
    <m/>
    <s v="Academic"/>
    <s v="Graduate Assistant"/>
    <s v="Lecturer"/>
    <m/>
    <m/>
    <s v="UNIVERSITY OF NAIROBI"/>
    <s v="0000-0002-7510-247X"/>
    <m/>
    <d v="2014-03-02T00:00:00"/>
    <d v="2014-11-03T00:00:00"/>
    <s v="Yes"/>
    <d v="2015-07-14T00:00:00"/>
    <d v="2015-05-13T00:00:00"/>
    <m/>
    <m/>
    <m/>
    <m/>
    <d v="2016-08-03T00:00:00"/>
    <s v="Yes"/>
    <d v="2017-02-27T00:00:00"/>
    <s v="Yes"/>
    <m/>
    <m/>
    <m/>
    <d v="2022-09-23T00:00:00"/>
    <x v="0"/>
    <n v="103"/>
    <n v="95"/>
    <m/>
    <n v="0"/>
    <n v="1"/>
    <n v="0"/>
    <n v="1"/>
    <n v="0"/>
    <n v="0"/>
    <n v="0"/>
    <s v="No"/>
    <n v="0"/>
    <m/>
    <m/>
    <m/>
    <m/>
    <s v="No"/>
    <m/>
    <m/>
    <n v="2"/>
    <n v="3"/>
    <m/>
    <s v="SIDA"/>
  </r>
  <r>
    <n v="94"/>
    <s v="C4/024"/>
    <s v="Respicius"/>
    <s v="Shombusho"/>
    <s v="Damian"/>
    <x v="0"/>
    <x v="3"/>
    <s v="Tanzania"/>
    <s v="University of Dar es Salaam"/>
    <s v="Political Science and Public Administration"/>
    <s v="Political Science and Public Administration"/>
    <s v="University of Dar es Salaam"/>
    <s v="Yes"/>
    <s v="BMSP13/14/H/1471"/>
    <s v="Married"/>
    <s v="Married"/>
    <s v="Married"/>
    <s v="rdamian@cartafrica.org"/>
    <s v="shumbusho35@gmail.com"/>
    <s v="+255713428318/ 255738679039"/>
    <s v="M.A (Political Science and Public Administration"/>
    <d v="1980-04-24T00:00:00"/>
    <s v="Financial Accountability in Rural Public Health: The Case of Maternal Health in Kigoma and Rukwa Regions"/>
    <s v="Field"/>
    <s v="No"/>
    <s v="Primary"/>
    <n v="19.5"/>
    <d v="2014-04-17T00:00:00"/>
    <d v="2014-03-01T00:00:00"/>
    <m/>
    <s v="Dr Benson Alfred Bana"/>
    <s v="Professor/Kessy/Thebald/Ambrose"/>
    <m/>
    <n v="2"/>
    <s v="Home"/>
    <m/>
    <m/>
    <s v="Yes"/>
    <m/>
    <m/>
    <s v="Academic"/>
    <s v="Assistant Lecturer"/>
    <s v="Lecturer"/>
    <s v="Yes"/>
    <m/>
    <s v="UNIVERSITY OF DAR ES SALAAM"/>
    <s v="0000-0001-9761-2270"/>
    <m/>
    <d v="2014-03-02T00:00:00"/>
    <d v="2014-11-03T00:00:00"/>
    <s v="Yes"/>
    <d v="2014-03-08T00:00:00"/>
    <m/>
    <d v="2015-03-17T00:00:00"/>
    <m/>
    <m/>
    <s v="Community empowerment and accountability in Rural Primary Health Care: The case of Kasulu District in Tanzania"/>
    <d v="2016-08-03T00:00:00"/>
    <s v="Yes"/>
    <d v="2017-02-27T00:00:00"/>
    <s v="Yes"/>
    <d v="2018-03-06T00:00:00"/>
    <d v="2018-10-03T00:00:00"/>
    <d v="2018-10-26T00:00:00"/>
    <d v="2018-11-13T00:00:00"/>
    <x v="0"/>
    <n v="57"/>
    <n v="49"/>
    <s v="Community empowerment and accountability in Rural Primary Health Care: The case of Kasulu District in Tanzania"/>
    <n v="0"/>
    <n v="0"/>
    <n v="3"/>
    <n v="2"/>
    <n v="0"/>
    <n v="0"/>
    <n v="0"/>
    <s v="No"/>
    <n v="0"/>
    <m/>
    <m/>
    <m/>
    <m/>
    <s v="No"/>
    <m/>
    <m/>
    <n v="2"/>
    <n v="2"/>
    <m/>
    <s v="WT"/>
  </r>
  <r>
    <n v="95"/>
    <s v="C4/025"/>
    <s v="Sunday"/>
    <s v="Joseph"/>
    <s v="Ayamolowo"/>
    <x v="0"/>
    <x v="3"/>
    <s v="Nigeria"/>
    <s v="Obafemi Awolowo University"/>
    <s v="Nursing"/>
    <s v="Learners’ Support Services, Centre for Distance Learning"/>
    <s v="Obafemi Awolowo University"/>
    <s v="Yes"/>
    <m/>
    <s v="Married"/>
    <s v="Married"/>
    <s v="Married"/>
    <s v="sayamolowo@cartafrica.org"/>
    <s v="olowoyamolowo@yahoo.com"/>
    <s v="+2347038761908"/>
    <s v="Master of Science (MSc) in Nursing."/>
    <d v="1976-09-28T00:00:00"/>
    <s v="Burden and coping pattern of pregnant teenagers and teenage mothers in selected primary health care centres in Ekiti state, Nigeria"/>
    <s v="Field"/>
    <s v="No"/>
    <s v="Primary"/>
    <n v="31.5"/>
    <d v="2014-08-15T00:00:00"/>
    <d v="2014-03-01T00:00:00"/>
    <m/>
    <s v="Prof Irinoye  Oladunni Omolola"/>
    <m/>
    <m/>
    <n v="1"/>
    <s v="Home"/>
    <m/>
    <m/>
    <s v="Yes"/>
    <m/>
    <m/>
    <s v="Academic"/>
    <s v="Lecturer II"/>
    <s v="Senior Lecturer"/>
    <s v="Yes"/>
    <m/>
    <s v="OBAFEMI AWOLOWO UNIVERSITY"/>
    <s v="0000-0003-3307-6485"/>
    <m/>
    <d v="2014-03-02T00:00:00"/>
    <d v="2014-11-03T00:00:00"/>
    <s v="Yes"/>
    <m/>
    <m/>
    <m/>
    <m/>
    <m/>
    <m/>
    <d v="2017-08-04T00:00:00"/>
    <s v="No"/>
    <d v="2018-03-05T00:00:00"/>
    <s v="No"/>
    <m/>
    <m/>
    <m/>
    <d v="2018-11-29T00:00:00"/>
    <x v="0"/>
    <n v="57"/>
    <n v="49"/>
    <s v="Effect of Technology-moderated Intervention on Family Childbirth Experiences, Maternal and Newborn  outcomes_x000a_in Home and Clinical research Deliveries in Ekiti State"/>
    <n v="0"/>
    <n v="1"/>
    <n v="4"/>
    <n v="1"/>
    <n v="2"/>
    <n v="0"/>
    <n v="0"/>
    <s v="No"/>
    <n v="0"/>
    <m/>
    <m/>
    <m/>
    <m/>
    <s v="No"/>
    <m/>
    <m/>
    <n v="2"/>
    <n v="3"/>
    <m/>
    <s v="CARNEGIE"/>
  </r>
  <r>
    <n v="96"/>
    <s v="C4/026"/>
    <s v="Oladapo"/>
    <s v="Oluwaseun"/>
    <s v="Akinyemi"/>
    <x v="0"/>
    <x v="3"/>
    <s v="Nigeria"/>
    <s v="University of Ibadan"/>
    <s v="Public Health"/>
    <s v="Health Policy and Management"/>
    <s v="University of the Witwatersrand"/>
    <s v="Yes"/>
    <m/>
    <s v="Married"/>
    <s v="Married"/>
    <s v="Married"/>
    <s v="aoladapo@cartafrica.org"/>
    <s v="seunakinyemi@hotmail.com"/>
    <s v="2348035020136"/>
    <s v="M.Sc International Public Health"/>
    <d v="1977-02-01T00:00:00"/>
    <s v="Analysis of Maternal Health Policies in Nigeria: Challenges and Lessons"/>
    <s v="Field"/>
    <s v="No"/>
    <s v="Primary"/>
    <n v="17.5"/>
    <d v="2014-02-25T00:00:00"/>
    <d v="2014-03-01T00:00:00"/>
    <m/>
    <s v="Mary Kawonga"/>
    <m/>
    <m/>
    <n v="1"/>
    <s v="Other "/>
    <m/>
    <m/>
    <s v="No"/>
    <m/>
    <m/>
    <s v="Academic"/>
    <s v="Lecturer I"/>
    <s v="Senior Lecturer"/>
    <s v="Yes"/>
    <m/>
    <s v="UNIVERSITY OF IBADAN"/>
    <s v="0000-0003-4135-1459"/>
    <m/>
    <d v="2014-03-02T00:00:00"/>
    <d v="2014-11-03T00:00:00"/>
    <s v="Yes"/>
    <d v="2016-07-29T00:00:00"/>
    <d v="2016-07-29T00:00:00"/>
    <m/>
    <m/>
    <m/>
    <s v="Scale up of community-based injectable contraceptives in Gombe state, Nigeria"/>
    <d v="2017-08-05T00:00:00"/>
    <s v="No"/>
    <d v="2018-03-05T00:00:00"/>
    <s v="No"/>
    <m/>
    <m/>
    <m/>
    <d v="2020-11-02T00:00:00"/>
    <x v="0"/>
    <n v="81"/>
    <n v="72"/>
    <s v="Scale up of community-based injectable contaceptives in Gombe, Nigeria"/>
    <n v="5"/>
    <n v="17"/>
    <n v="16"/>
    <n v="0"/>
    <n v="2"/>
    <n v="0"/>
    <n v="0"/>
    <s v="No"/>
    <n v="0"/>
    <m/>
    <m/>
    <m/>
    <m/>
    <s v="No"/>
    <m/>
    <m/>
    <n v="3"/>
    <n v="3"/>
    <m/>
    <s v="CARNEGIE"/>
  </r>
  <r>
    <n v="97"/>
    <s v="C4/027"/>
    <s v="Sara"/>
    <s v="Jewett"/>
    <s v="Nieuwoudt"/>
    <x v="1"/>
    <x v="3"/>
    <s v="South Africa"/>
    <s v="University of the Witwatersrand"/>
    <s v="Public Health"/>
    <s v="Division of Social &amp; Behaviour Change Communication"/>
    <s v="University of the Witwatersrand"/>
    <s v="Yes"/>
    <m/>
    <s v="Married"/>
    <s v="Married"/>
    <s v="Married"/>
    <s v="snieuwoudt@cartafrica.org"/>
    <s v="sara.nieuwoudt@gmail.com or sara.nieuwoudt@wits.ac.z"/>
    <s v="+27834284392"/>
    <s v="MPH (Behavioral Sciences &amp; Health Education) "/>
    <d v="1978-04-07T00:00:00"/>
    <s v="The role of social capital in health seeking and maternal and child health outcomes of urban migrants in Johannesburg, South Africa "/>
    <s v="Field"/>
    <s v="No"/>
    <s v="Primary"/>
    <n v="7"/>
    <d v="2014-08-16T00:00:00"/>
    <d v="2014-03-01T00:00:00"/>
    <m/>
    <s v="Prof. Lenore Manderson"/>
    <m/>
    <m/>
    <n v="1"/>
    <s v="Home"/>
    <m/>
    <m/>
    <s v="Yes"/>
    <m/>
    <m/>
    <s v="Academic"/>
    <s v="Lecturer"/>
    <s v="Senior Lecturer"/>
    <s v="Yes"/>
    <s v=" &amp; Social and Behaviour Change Communication Coordinator"/>
    <s v="UNIVERSITY OF THE WITWATERSRAND"/>
    <s v=" 0000-0002-6658-2061"/>
    <m/>
    <d v="2014-03-02T00:00:00"/>
    <d v="2014-11-03T00:00:00"/>
    <s v="Yes"/>
    <m/>
    <m/>
    <m/>
    <m/>
    <m/>
    <m/>
    <d v="2017-08-06T00:00:00"/>
    <s v="No"/>
    <d v="2018-03-05T00:00:00"/>
    <s v="No"/>
    <m/>
    <m/>
    <m/>
    <d v="2019-07-12T00:00:00"/>
    <x v="0"/>
    <n v="65"/>
    <n v="57"/>
    <m/>
    <n v="0"/>
    <n v="2"/>
    <n v="2"/>
    <n v="2"/>
    <n v="1"/>
    <n v="0"/>
    <n v="0"/>
    <s v="No"/>
    <n v="365"/>
    <m/>
    <m/>
    <m/>
    <m/>
    <s v="Yes"/>
    <m/>
    <m/>
    <n v="1"/>
    <n v="1"/>
    <m/>
    <s v="WT"/>
  </r>
  <r>
    <n v="98"/>
    <s v="C5/001"/>
    <s v="Cheikh Mbacké"/>
    <m/>
    <s v="Faye"/>
    <x v="0"/>
    <x v="4"/>
    <s v="Senegal"/>
    <s v="APHRC"/>
    <s v="Public Health"/>
    <s v="Research Division"/>
    <s v="University of the Witwatersrand"/>
    <s v="No"/>
    <n v="1513579"/>
    <s v="Married"/>
    <s v="Married"/>
    <s v="Married"/>
    <s v="cfaye@cartafrica.org"/>
    <s v="cmfaye@hotmail.com"/>
    <s v="+254739211509"/>
    <s v="Masters in Statistics"/>
    <d v="1976-07-08T00:00:00"/>
    <s v="Maternal characteristics,reproductive behaviors, breastfeeding practices and nutritional outcomes among children under five years in Nairobi’s informal settlements."/>
    <s v="Field"/>
    <s v="No"/>
    <s v="Primary"/>
    <n v="5.5"/>
    <d v="2016-01-01T00:00:00"/>
    <d v="2015-03-01T00:00:00"/>
    <m/>
    <s v="DonatienBeguy, PhD"/>
    <s v="Elizabeth Kimani, PhD"/>
    <s v="Sharon Fonn"/>
    <n v="3"/>
    <s v="Home"/>
    <s v="Home"/>
    <s v="Host"/>
    <s v="Yes"/>
    <s v="No"/>
    <s v="Yes"/>
    <s v="Researcher"/>
    <s v="Senior Research Officer"/>
    <s v="Research Scientist"/>
    <s v="Yes"/>
    <s v="Head, APHRC West Africa Region Office"/>
    <s v="APHRC West Africa Regional Office - Senegal"/>
    <s v="0000-0002-4028-0575"/>
    <s v="No"/>
    <d v="2015-03-02T00:00:00"/>
    <d v="2015-11-02T00:00:00"/>
    <s v="Yes"/>
    <m/>
    <d v="2016-05-02T00:00:00"/>
    <m/>
    <m/>
    <m/>
    <s v="Factors associated with stunting and recovery from stunting among under-five children in Nairobi informal settlements"/>
    <d v="2017-07-31T00:00:00"/>
    <s v="Yes"/>
    <d v="2019-03-04T00:00:00"/>
    <s v="No"/>
    <m/>
    <m/>
    <m/>
    <d v="2019-06-30T00:00:00"/>
    <x v="0"/>
    <n v="52"/>
    <n v="44"/>
    <m/>
    <n v="4"/>
    <n v="2"/>
    <n v="19"/>
    <n v="1"/>
    <n v="1"/>
    <n v="0"/>
    <n v="0"/>
    <s v="No"/>
    <n v="0"/>
    <m/>
    <m/>
    <m/>
    <m/>
    <s v="No"/>
    <m/>
    <m/>
    <n v="3"/>
    <n v="3"/>
    <m/>
    <s v="SIDA"/>
  </r>
  <r>
    <n v="99"/>
    <s v="C5/002"/>
    <s v="Celestin"/>
    <m/>
    <s v="Ndikumana"/>
    <x v="0"/>
    <x v="4"/>
    <s v="Rwanda"/>
    <s v="University of Rwanda"/>
    <s v="Human Resource Management"/>
    <s v="Development Studies"/>
    <s v="Moi University"/>
    <s v="No"/>
    <s v="SHRD/PhDH/03/15"/>
    <s v="Married"/>
    <s v="Married"/>
    <s v="Married"/>
    <s v="cndikumana@cartafrica.org"/>
    <s v="cndikumana@hotmail.com"/>
    <s v="+250 788833975"/>
    <s v="M. BA International Business"/>
    <d v="1980-01-01T00:00:00"/>
    <s v="The interface of environmental management in the Clinical researchity industry in Rwanda: A practical approach to sustainable health."/>
    <s v="Field"/>
    <s v="No"/>
    <s v="Primary"/>
    <n v="39"/>
    <d v="2017-09-15T00:00:00"/>
    <d v="2015-03-01T00:00:00"/>
    <m/>
    <s v="Dr. Ruth J. Tubey"/>
    <s v="Dr. Alice Kurgat"/>
    <m/>
    <n v="2"/>
    <s v="Host"/>
    <s v="Host"/>
    <m/>
    <s v="Yes"/>
    <s v="No"/>
    <m/>
    <s v="Academic"/>
    <s v="Assistant Lecturer"/>
    <s v="Senior Lecturer"/>
    <s v="Yes"/>
    <s v="Head of Department: Governance and Public Science and International Relations Administration; Political"/>
    <s v="UNIVERSITY OF RWANDA"/>
    <s v="0000-0002-5726-6921"/>
    <s v="No"/>
    <d v="2015-03-02T00:00:00"/>
    <d v="2015-11-02T00:00:00"/>
    <s v="Yes"/>
    <d v="2017-04-25T00:00:00"/>
    <d v="2017-05-08T00:00:00"/>
    <m/>
    <m/>
    <m/>
    <s v="Effect of Human Resource Managenment Practices on the retention of professional health workers in the Public District Clinical researchs in Kigali, Rwanda"/>
    <d v="2017-07-31T00:00:00"/>
    <s v="Yes"/>
    <d v="2018-03-05T00:00:00"/>
    <s v="Yes"/>
    <m/>
    <m/>
    <m/>
    <d v="2019-12-31T00:00:00"/>
    <x v="0"/>
    <n v="58"/>
    <n v="50"/>
    <m/>
    <n v="0"/>
    <n v="1"/>
    <n v="2"/>
    <n v="2"/>
    <n v="0"/>
    <n v="0"/>
    <n v="0"/>
    <s v="No"/>
    <n v="0"/>
    <m/>
    <m/>
    <m/>
    <m/>
    <s v="No"/>
    <m/>
    <m/>
    <n v="1"/>
    <n v="3"/>
    <m/>
    <s v="SIDA"/>
  </r>
  <r>
    <n v="100"/>
    <s v="C5/003"/>
    <s v="Esther"/>
    <s v="Kikelomo"/>
    <s v="Afolabi"/>
    <x v="1"/>
    <x v="4"/>
    <s v="Nigeria"/>
    <s v="Obafemi Awolowo University"/>
    <s v="Nursing"/>
    <s v="Nursing Science"/>
    <s v="Obafemi Awolowo University"/>
    <s v="Yes"/>
    <s v="BMSP13/14/H/0859"/>
    <s v="Married"/>
    <s v="Married"/>
    <s v="Married"/>
    <s v="eafolabi@cartafrica.org"/>
    <s v="eafolabi16@gmail.com"/>
    <s v="+234 803 801 3115"/>
    <s v="M.Sc Nursing"/>
    <d v="1982-02-16T00:00:00"/>
    <s v="Correlation of cervical cancer risk factors with cervical smear and histopathological diagnosis among reproductive age women in Ile- Ife, Osun State."/>
    <s v="Clinical research"/>
    <s v="yes"/>
    <s v="Primary"/>
    <n v="22"/>
    <d v="2014-04-19T00:00:00"/>
    <d v="2015-03-01T00:00:00"/>
    <m/>
    <s v="Prof. Oluwafemi N. Mimiko"/>
    <s v="Dr. A. A. E Olaogun"/>
    <m/>
    <n v="2"/>
    <s v="Home"/>
    <s v="Home"/>
    <m/>
    <s v="No"/>
    <s v="Yes"/>
    <m/>
    <s v="Academic"/>
    <s v="Lecturer II"/>
    <s v="Associate Professor"/>
    <s v="Yes"/>
    <m/>
    <s v="ARDEN UNIVERSITY (2023)"/>
    <s v="0000-0002-0381-737X."/>
    <s v="Yes"/>
    <d v="2015-03-02T00:00:00"/>
    <d v="2015-11-02T00:00:00"/>
    <s v="Yes"/>
    <m/>
    <m/>
    <m/>
    <m/>
    <m/>
    <m/>
    <d v="2017-07-31T00:00:00"/>
    <s v="Yes"/>
    <d v="2018-03-05T00:00:00"/>
    <s v="Yes"/>
    <m/>
    <m/>
    <m/>
    <d v="2018-05-30T00:00:00"/>
    <x v="0"/>
    <n v="39"/>
    <n v="31"/>
    <m/>
    <n v="0"/>
    <n v="0"/>
    <n v="3"/>
    <n v="0"/>
    <n v="0"/>
    <n v="0"/>
    <n v="0"/>
    <s v="No"/>
    <n v="0"/>
    <m/>
    <m/>
    <m/>
    <m/>
    <s v="No"/>
    <m/>
    <m/>
    <n v="3"/>
    <n v="3"/>
    <m/>
    <s v="SIDA"/>
  </r>
  <r>
    <n v="101"/>
    <s v="C5/004"/>
    <s v="Yolanda"/>
    <s v="Malele"/>
    <s v="Kolisa"/>
    <x v="1"/>
    <x v="4"/>
    <s v="South Africa"/>
    <s v="University of the Witwatersrand"/>
    <s v="Community Dentistry"/>
    <s v="Community Dentistry"/>
    <s v="University of the Witwatersrand"/>
    <s v="Yes"/>
    <s v="8803014E"/>
    <s v="Married"/>
    <s v="Married"/>
    <m/>
    <s v="ykolisa@cartafrica.org"/>
    <s v="yolanda.kolisa@wits.ac.za"/>
    <s v="837800907"/>
    <s v="MPH, M.Dental"/>
    <d v="1971-10-30T00:00:00"/>
    <s v="Measurement of oral health related quality of life(OHRQoL) in HIV-infected and non-infected children: Investigation of socio- cultural influences in a South African context."/>
    <s v="Field"/>
    <s v="No"/>
    <s v="Primary"/>
    <n v="11.5"/>
    <d v="2016-03-01T00:00:00"/>
    <d v="2015-03-01T00:00:00"/>
    <m/>
    <s v="Dr. Jude Igumbor"/>
    <s v="Prof. Magnus Hakeburg"/>
    <m/>
    <n v="2"/>
    <s v="Home"/>
    <s v="Other"/>
    <m/>
    <s v="Yes"/>
    <s v="No"/>
    <m/>
    <s v="Academic"/>
    <m/>
    <s v="Lecturer"/>
    <m/>
    <m/>
    <s v="UNIVERSITY OF THE WITWATERSRAND"/>
    <s v="0000-0003-3368-9193"/>
    <s v="No"/>
    <d v="2015-03-02T00:00:00"/>
    <d v="2015-11-02T00:00:00"/>
    <s v="Yes"/>
    <m/>
    <m/>
    <m/>
    <m/>
    <m/>
    <m/>
    <d v="2017-07-31T00:00:00"/>
    <s v="Yes"/>
    <d v="2018-03-05T00:00:00"/>
    <s v="Yes"/>
    <m/>
    <m/>
    <m/>
    <d v="2021-05-18T00:00:00"/>
    <x v="0"/>
    <n v="75"/>
    <n v="67"/>
    <s v="Oral Health needs and Oral Health related Quality of Life of Adolescents Living with HIV in Johannesburg, South Africa"/>
    <n v="2"/>
    <n v="5"/>
    <n v="1"/>
    <n v="1"/>
    <n v="0"/>
    <n v="0"/>
    <n v="0"/>
    <s v="No"/>
    <n v="0"/>
    <m/>
    <m/>
    <m/>
    <m/>
    <s v="No"/>
    <m/>
    <m/>
    <n v="3"/>
    <n v="3"/>
    <m/>
    <s v="SIDA"/>
  </r>
  <r>
    <n v="102"/>
    <s v="C5/005"/>
    <s v="Taiwo"/>
    <s v="Akinyode"/>
    <s v="Obembe"/>
    <x v="0"/>
    <x v="4"/>
    <s v="Nigeria"/>
    <s v="University of Ibadan"/>
    <s v="Public Health"/>
    <s v="Health Policy"/>
    <s v="University of the Witwatersrand"/>
    <s v="No"/>
    <n v="951466"/>
    <s v="Married"/>
    <s v="Married"/>
    <m/>
    <s v="tobembe@cartafrica.org"/>
    <s v="tobems@yahoo.com"/>
    <s v="+234 805 840 9495"/>
    <s v="MPH"/>
    <d v="1979-05-17T00:00:00"/>
    <s v="Coping with out of pocket payment among urban poor: Findings from South Western Nigeria."/>
    <s v="Field"/>
    <s v="No"/>
    <s v="Primary"/>
    <n v="18"/>
    <d v="2016-07-04T00:00:00"/>
    <d v="2015-03-01T00:00:00"/>
    <m/>
    <s v="Dr. Oyediran Oyewole"/>
    <s v="Sharon Fonn"/>
    <m/>
    <n v="2"/>
    <s v="Home"/>
    <s v="Host"/>
    <m/>
    <s v="Yes"/>
    <s v="Yes"/>
    <m/>
    <s v="Academic"/>
    <m/>
    <m/>
    <m/>
    <m/>
    <s v="UNIVERSITY OF IBADAN"/>
    <s v="0000-0001-9610-1137"/>
    <s v="Yes"/>
    <d v="2015-03-02T00:00:00"/>
    <d v="2015-11-02T00:00:00"/>
    <s v="Yes"/>
    <d v="2016-06-14T00:00:00"/>
    <d v="2016-09-07T00:00:00"/>
    <m/>
    <m/>
    <m/>
    <s v="Patterns of expenditure, coping mechanisms among urban slum dwellers admitted for emergency surgeries in Ibadan, Nigeria"/>
    <d v="2017-07-31T00:00:00"/>
    <s v="Yes"/>
    <d v="2018-03-05T00:00:00"/>
    <s v="Yes"/>
    <m/>
    <m/>
    <m/>
    <d v="2021-11-29T00:00:00"/>
    <x v="0"/>
    <n v="81"/>
    <n v="73"/>
    <s v="Patterns of expenditure, coping mechanisms among urban slum dwellers admitted for emergency surgeries in Ibadan, Nigeria"/>
    <n v="0"/>
    <n v="15"/>
    <n v="3"/>
    <n v="6"/>
    <n v="1"/>
    <n v="0"/>
    <n v="0"/>
    <s v="No"/>
    <n v="0"/>
    <m/>
    <m/>
    <m/>
    <m/>
    <s v="Yes"/>
    <m/>
    <m/>
    <n v="2"/>
    <s v="NF"/>
    <m/>
    <s v="SIDA"/>
  </r>
  <r>
    <n v="103"/>
    <s v="C5/006"/>
    <s v="Emmanuel"/>
    <s v="Wilson"/>
    <s v="Kaindoa"/>
    <x v="0"/>
    <x v="4"/>
    <s v="Tanzania"/>
    <s v="Ifakara Health Institute"/>
    <s v="Medical Entomology"/>
    <s v="Environmental Health and Ecological Science"/>
    <s v="University of the Witwatersrand"/>
    <s v="No"/>
    <n v="1362999"/>
    <s v="Single"/>
    <s v="Married"/>
    <s v="Married"/>
    <s v="ekaindoa@cartafrica.org"/>
    <s v="ekaindoa@ihi.or.tz"/>
    <s v="+255787430307"/>
    <s v="Masters of Science in Biology and Control of Parasites and Disease Vectors"/>
    <d v="1985-12-25T00:00:00"/>
    <s v="Assessing the impact of settlement patterns and distances between households on malaria transmission in rural Tanzanian populations."/>
    <s v="Field"/>
    <s v="yes"/>
    <s v="Primary"/>
    <n v="8.5"/>
    <d v="2015-08-15T00:00:00"/>
    <d v="2015-03-01T00:00:00"/>
    <m/>
    <s v="Fredros Okumu"/>
    <m/>
    <m/>
    <n v="1"/>
    <s v="Home"/>
    <m/>
    <m/>
    <s v="Yes"/>
    <m/>
    <m/>
    <s v="Researcher"/>
    <s v="Research Scientist"/>
    <s v="Research Scientist"/>
    <s v="Yes"/>
    <s v="Deputy Head, Environmental Health Dept"/>
    <s v="IFAKARA HEALTH INSTITUTE"/>
    <s v="0000-0001-6170-5694"/>
    <m/>
    <d v="2015-03-02T00:00:00"/>
    <d v="2015-11-02T00:00:00"/>
    <s v="Yes"/>
    <m/>
    <m/>
    <m/>
    <m/>
    <m/>
    <m/>
    <d v="2017-07-31T00:00:00"/>
    <s v="Yes"/>
    <d v="2018-03-05T00:00:00"/>
    <s v="Yes"/>
    <m/>
    <m/>
    <m/>
    <d v="2019-12-31T00:00:00"/>
    <x v="0"/>
    <n v="58"/>
    <n v="50"/>
    <s v="Assessing Relationship between Human Settlement Patterns and_x000a_Malaria Risk in a Residual Transmission Setting in South-Eastern_x000a_Tanzania"/>
    <n v="1"/>
    <n v="16"/>
    <n v="9"/>
    <n v="3"/>
    <n v="0"/>
    <n v="0"/>
    <n v="0"/>
    <s v="No"/>
    <n v="0"/>
    <m/>
    <m/>
    <m/>
    <m/>
    <s v="No"/>
    <m/>
    <m/>
    <n v="0"/>
    <n v="1"/>
    <m/>
    <s v="SIDA"/>
  </r>
  <r>
    <n v="104"/>
    <s v="C5/007"/>
    <s v="Esther"/>
    <s v="Wamuyu"/>
    <s v="Karumi"/>
    <x v="1"/>
    <x v="4"/>
    <s v="Kenya"/>
    <s v="University of Nairobi"/>
    <s v="Pharmacy"/>
    <s v="Pharmacology and Pharmacognosy"/>
    <s v="University of Nairobi"/>
    <s v="Yes"/>
    <s v="U803/98509/2015"/>
    <m/>
    <s v="Single"/>
    <m/>
    <s v="ekarumi@cartafrica.org"/>
    <s v="e_karumi@yahoo.com"/>
    <s v="+254721293354"/>
    <s v="M.Sc Pharmacognosy"/>
    <d v="1980-02-26T00:00:00"/>
    <s v="Antioxidant, antidiabetic and hypolipidemic activities of selected medicinal plants used by the Maasai"/>
    <s v="Field"/>
    <s v="yes"/>
    <s v="Primary"/>
    <n v="28.5"/>
    <d v="2015-09-08T00:00:00"/>
    <d v="2015-03-01T00:00:00"/>
    <m/>
    <s v="Prof. Julius Wanjohi Mwangi"/>
    <s v="Dr. Kennedy Omondi Abuga"/>
    <m/>
    <n v="2"/>
    <s v="Home"/>
    <s v="Home"/>
    <m/>
    <s v="Yes"/>
    <s v="No"/>
    <m/>
    <s v="Academic"/>
    <s v="Lecturer"/>
    <s v="Lecturer"/>
    <m/>
    <m/>
    <s v="UNIVERSITY OF NAIROBI"/>
    <s v=" 0000-0001-6367-1010"/>
    <s v="No"/>
    <d v="2015-03-02T00:00:00"/>
    <d v="2015-11-02T00:00:00"/>
    <s v="Yes"/>
    <d v="2015-09-01T00:00:00"/>
    <d v="2019-02-07T00:00:00"/>
    <m/>
    <m/>
    <m/>
    <s v="A study of antioxidant, hypoglycemic and hypolipidemic activities of plants used in food by the Maasai community"/>
    <d v="2017-07-31T00:00:00"/>
    <s v="Yes"/>
    <d v="2018-03-05T00:00:00"/>
    <s v="Yes"/>
    <m/>
    <m/>
    <m/>
    <m/>
    <x v="2"/>
    <m/>
    <m/>
    <m/>
    <n v="0"/>
    <n v="0"/>
    <n v="0"/>
    <n v="0"/>
    <n v="0"/>
    <n v="0"/>
    <n v="0"/>
    <s v="No"/>
    <n v="0"/>
    <m/>
    <m/>
    <m/>
    <m/>
    <s v="No"/>
    <m/>
    <m/>
    <n v="2"/>
    <s v="NF"/>
    <m/>
    <s v="SIDA/DAAD"/>
  </r>
  <r>
    <n v="105"/>
    <s v="C5/008"/>
    <s v="Folusho"/>
    <s v="Mubowale"/>
    <s v="Balogun"/>
    <x v="1"/>
    <x v="4"/>
    <s v="Nigeria"/>
    <s v="University of Ibadan"/>
    <s v="Pediatrics"/>
    <s v="Institute of Child health"/>
    <s v="University of Ibadan"/>
    <s v="Yes"/>
    <n v="130949"/>
    <s v="Married"/>
    <s v="Married"/>
    <s v="Married"/>
    <s v="fbalogun@cartafrica.org"/>
    <s v="folushom@yahoo.com"/>
    <s v="+234 812 8797 778"/>
    <s v="Master of Public Health"/>
    <d v="1976-05-22T00:00:00"/>
    <s v="The state of adolescent immunization in Ibadan, Nigeria."/>
    <s v="Field"/>
    <s v="No"/>
    <s v="Primary"/>
    <n v="18"/>
    <d v="2014-08-01T00:00:00"/>
    <d v="2015-03-01T00:00:00"/>
    <m/>
    <s v="Prof. Olayemi Olufemi  Omotade"/>
    <s v="Prof.  Mikael  Svensson"/>
    <m/>
    <n v="2"/>
    <s v="Home"/>
    <m/>
    <m/>
    <s v="Yes"/>
    <m/>
    <m/>
    <s v="Academic"/>
    <m/>
    <m/>
    <m/>
    <m/>
    <s v="UNIVERSITY OF IBADAN"/>
    <s v="0000-0002-2645-9106"/>
    <m/>
    <d v="2015-03-02T00:00:00"/>
    <d v="2015-11-02T00:00:00"/>
    <s v="Yes"/>
    <d v="2014-04-01T00:00:00"/>
    <d v="2016-01-15T00:00:00"/>
    <m/>
    <m/>
    <m/>
    <s v="Understanding and acceptability of HPV vaccine for adolescents by stakeholders in selected communities in Ibadan, Nigeria"/>
    <d v="2017-07-31T00:00:00"/>
    <s v="Yes"/>
    <d v="2018-03-05T00:00:00"/>
    <s v="Yes"/>
    <m/>
    <m/>
    <m/>
    <d v="2020-01-02T00:00:00"/>
    <x v="0"/>
    <n v="59"/>
    <n v="51"/>
    <m/>
    <n v="0"/>
    <n v="7"/>
    <n v="7"/>
    <n v="6"/>
    <n v="3"/>
    <n v="0"/>
    <n v="0"/>
    <s v="JAS 1 &amp;2, 2015"/>
    <n v="0"/>
    <m/>
    <m/>
    <m/>
    <m/>
    <s v="No"/>
    <m/>
    <m/>
    <n v="3"/>
    <n v="3"/>
    <m/>
    <s v="SIDA/DAAD"/>
  </r>
  <r>
    <n v="106"/>
    <s v="C5/009"/>
    <s v="Felix"/>
    <m/>
    <s v="Khuluza"/>
    <x v="0"/>
    <x v="4"/>
    <s v="Malawi"/>
    <s v="University of Malawi"/>
    <s v="Pharmaceutical Analysis"/>
    <s v="Pharmacy"/>
    <s v="University of the Malawi"/>
    <s v="Yes"/>
    <s v="201580013236"/>
    <s v="Married"/>
    <s v="Married"/>
    <s v="Married"/>
    <s v="fkhuluza@cartafrica.org"/>
    <s v="fkhuluza@medcol.mw"/>
    <s v="+265(0)999 289874"/>
    <s v="Master of Health Economics,"/>
    <d v="1980-03-25T00:00:00"/>
    <s v="Quality and content of live-saving medicines in the formal and informal sector in Malawi, and assessment of the economic or financial costs of counterfeit and sub standard medicines to the healthcare provider."/>
    <s v="Field"/>
    <s v="yes"/>
    <s v="Primary"/>
    <n v="28.5"/>
    <d v="2015-02-02T00:00:00"/>
    <d v="2015-03-01T00:00:00"/>
    <m/>
    <s v="Professor Lutz Heide"/>
    <s v="Prof. Dr. Ulrike Holzgrabe"/>
    <m/>
    <n v="2"/>
    <s v="Home"/>
    <s v="Other"/>
    <m/>
    <s v="Yes"/>
    <s v="No"/>
    <m/>
    <s v="Academic"/>
    <s v="Lecturer "/>
    <s v="Associate Professor"/>
    <s v="Yes"/>
    <m/>
    <s v="UNIVERSITY OF MALAWI"/>
    <s v=" 0000-0002-8334-0160"/>
    <s v="No"/>
    <d v="2015-03-02T00:00:00"/>
    <d v="2015-11-02T00:00:00"/>
    <s v="Yes"/>
    <d v="2014-12-01T00:00:00"/>
    <m/>
    <d v="2015-07-29T00:00:00"/>
    <m/>
    <m/>
    <s v="Quality, availability and affordability of antimalarial and antibiotic medicines in Malawi"/>
    <d v="2017-07-31T00:00:00"/>
    <s v="Yes"/>
    <d v="2018-03-05T00:00:00"/>
    <s v="Yes"/>
    <d v="2018-01-19T00:00:00"/>
    <d v="2018-08-16T00:00:00"/>
    <d v="2018-11-20T00:00:00"/>
    <d v="2018-12-31T00:00:00"/>
    <x v="0"/>
    <n v="46"/>
    <n v="38"/>
    <s v="Quality, availability and affordability of antimalarial and antibiotic medicines in Malawi"/>
    <n v="1"/>
    <n v="3"/>
    <n v="13"/>
    <n v="2"/>
    <n v="0"/>
    <n v="0"/>
    <n v="0"/>
    <s v="No"/>
    <n v="0"/>
    <m/>
    <m/>
    <m/>
    <m/>
    <s v="No"/>
    <m/>
    <m/>
    <n v="1"/>
    <n v="3"/>
    <n v="3"/>
    <s v="SIDA"/>
  </r>
  <r>
    <n v="107"/>
    <s v="C5/010"/>
    <s v="Fred"/>
    <m/>
    <s v="Maniragba"/>
    <x v="0"/>
    <x v="4"/>
    <s v="Uganda"/>
    <s v="Makerere University"/>
    <s v="Demography"/>
    <s v="Population Studies"/>
    <s v="Makerere University"/>
    <s v="Yes"/>
    <s v="203001135.   Reg No. 2014/HD06/18709U"/>
    <s v="Married"/>
    <s v="Married"/>
    <s v="Married"/>
    <s v="fmaniragaba@cartafrica.org"/>
    <s v="fmaniragaba@gmail.com"/>
    <s v="+256 777 821673"/>
    <s v="M.Sc Population Studies"/>
    <d v="1981-05-12T00:00:00"/>
    <s v="Intimate partner violence and fertility outcomes in Uganda."/>
    <s v="Field"/>
    <s v="No"/>
    <s v="Primary"/>
    <n v="32.5"/>
    <d v="2015-05-01T00:00:00"/>
    <d v="2015-03-01T00:00:00"/>
    <m/>
    <s v="Prof. James Ntozi"/>
    <s v="Dr. Betty Kwagala"/>
    <m/>
    <n v="2"/>
    <s v="Home"/>
    <s v="Home"/>
    <m/>
    <s v="Yes"/>
    <s v="No"/>
    <m/>
    <s v="Academic"/>
    <s v="Assistant Lecturer"/>
    <s v="Assistant Lecturer"/>
    <s v="No"/>
    <m/>
    <s v="MAKERERE UNIVERISTY"/>
    <s v="0000-0001-5977-1924"/>
    <s v="No"/>
    <d v="2015-03-02T00:00:00"/>
    <d v="2015-11-02T00:00:00"/>
    <s v="Yes"/>
    <d v="2016-05-04T00:00:00"/>
    <d v="2016-07-02T00:00:00"/>
    <m/>
    <m/>
    <m/>
    <s v="Determinants of quality of life of older persons in rural Uganda"/>
    <d v="2017-07-31T00:00:00"/>
    <s v="Yes"/>
    <d v="2018-03-05T00:00:00"/>
    <s v="Yes"/>
    <m/>
    <m/>
    <m/>
    <d v="2019-07-31T00:00:00"/>
    <x v="0"/>
    <n v="53"/>
    <n v="45"/>
    <m/>
    <n v="0"/>
    <n v="2"/>
    <n v="3"/>
    <n v="1"/>
    <n v="0"/>
    <n v="0"/>
    <n v="0"/>
    <s v="No"/>
    <n v="0"/>
    <m/>
    <m/>
    <m/>
    <m/>
    <s v="No"/>
    <m/>
    <m/>
    <n v="1"/>
    <n v="3"/>
    <m/>
    <s v="SIDA"/>
  </r>
  <r>
    <n v="108"/>
    <s v="C5/011"/>
    <s v="Hellen"/>
    <s v="Jepngetich"/>
    <s v="Jepngetich"/>
    <x v="1"/>
    <x v="4"/>
    <s v="Kenya"/>
    <s v="Moi University"/>
    <s v="Medical education"/>
    <s v="Medical education"/>
    <s v="Moi University"/>
    <s v="Yes"/>
    <s v="SM/PhDME/05/15"/>
    <s v="Married"/>
    <s v="Married"/>
    <s v="Married"/>
    <s v="hjepngetich@cartafrica.org"/>
    <s v="jepngetichkeny@gmail.com and kenyhellen@yahoo.com"/>
    <s v="+254721271337"/>
    <s v="NF"/>
    <d v="1978-01-01T00:00:00"/>
    <s v="Determinants of male involvement in sexual andreproductive health services in Kenya."/>
    <s v="Field"/>
    <s v="No"/>
    <s v="Primary"/>
    <n v="8"/>
    <d v="2015-09-10T00:00:00"/>
    <d v="2015-03-01T00:00:00"/>
    <m/>
    <s v="Prof  Mabel Nangami"/>
    <s v="Prof  Joyce Baliddawa"/>
    <s v="Dr. Caleb Isaboke Nyamwange"/>
    <n v="3"/>
    <s v="Home"/>
    <m/>
    <m/>
    <s v="No"/>
    <m/>
    <m/>
    <s v="Academic"/>
    <m/>
    <s v="Lecturer"/>
    <m/>
    <s v="Head of Department of Environmental Health and Disaster Risk Management at the School of Public Health, College of Health Sciences"/>
    <s v="MOI UNIVERSITY"/>
    <m/>
    <m/>
    <d v="2015-03-02T00:00:00"/>
    <d v="2015-11-02T00:00:00"/>
    <s v="Yes"/>
    <d v="2021-07-16T00:00:00"/>
    <d v="2021-07-16T00:00:00"/>
    <m/>
    <m/>
    <m/>
    <m/>
    <d v="2017-07-31T00:00:00"/>
    <s v="Yes"/>
    <d v="2018-03-05T00:00:00"/>
    <s v="Yes"/>
    <m/>
    <m/>
    <m/>
    <d v="2020-11-20T00:00:00"/>
    <x v="0"/>
    <n v="69"/>
    <n v="61"/>
    <s v="Bachelor of science environmental health graduates academic competences and public health work expectations in Kenya: Graduate and emplyers perspectives"/>
    <m/>
    <n v="2"/>
    <n v="0"/>
    <n v="2"/>
    <n v="0"/>
    <n v="0"/>
    <n v="0"/>
    <s v="JAS 1, 2015"/>
    <n v="0"/>
    <m/>
    <d v="2020-03-15T00:00:00"/>
    <d v="2020-08-06T00:00:00"/>
    <n v="5"/>
    <s v="No"/>
    <m/>
    <m/>
    <n v="4"/>
    <n v="4"/>
    <m/>
    <s v="SIDA"/>
  </r>
  <r>
    <n v="109"/>
    <s v="C5/012"/>
    <s v="Hillary"/>
    <s v="Kipruto"/>
    <s v="Sang"/>
    <x v="0"/>
    <x v="4"/>
    <s v="Kenya"/>
    <s v="Moi University"/>
    <s v="LINGUISTICS"/>
    <s v="LINGUISTICS AND FOREIGN LANGUAGES"/>
    <s v="Moi University"/>
    <s v="Yes"/>
    <s v="SASS/DPHIL/LIN/06/14"/>
    <m/>
    <s v="Married"/>
    <m/>
    <s v="hsang@cartafrica.org"/>
    <s v="hillarysang@yahoo.com"/>
    <s v="+254 724 017107"/>
    <s v="NF"/>
    <d v="1983-03-17T00:00:00"/>
    <s v="Communication disorders in school children identified with psychiatric disorders"/>
    <s v="Field"/>
    <s v="No"/>
    <s v="Primary"/>
    <n v="16.5"/>
    <d v="2014-09-01T00:00:00"/>
    <d v="2015-03-01T00:00:00"/>
    <m/>
    <s v="Dr. Tom Abuom"/>
    <m/>
    <m/>
    <n v="1"/>
    <s v="Home"/>
    <m/>
    <m/>
    <s v="Yes"/>
    <m/>
    <m/>
    <s v="Academic"/>
    <m/>
    <s v="Lecturer"/>
    <m/>
    <m/>
    <s v="MOI UNIVERSITY"/>
    <m/>
    <m/>
    <d v="2015-03-02T00:00:00"/>
    <d v="2015-11-02T00:00:00"/>
    <s v="Yes"/>
    <m/>
    <m/>
    <m/>
    <m/>
    <m/>
    <m/>
    <d v="2017-07-31T00:00:00"/>
    <s v="Yes"/>
    <d v="2018-03-05T00:00:00"/>
    <s v="Yes"/>
    <m/>
    <m/>
    <m/>
    <m/>
    <x v="2"/>
    <m/>
    <m/>
    <m/>
    <m/>
    <n v="2"/>
    <n v="0"/>
    <n v="2"/>
    <n v="0"/>
    <n v="0"/>
    <n v="0"/>
    <s v="No"/>
    <n v="0"/>
    <m/>
    <m/>
    <m/>
    <m/>
    <s v="Yes"/>
    <m/>
    <m/>
    <s v="NF"/>
    <s v="NF"/>
    <m/>
    <s v="SIDA"/>
  </r>
  <r>
    <n v="110"/>
    <s v="C5/013"/>
    <s v="Ikeola"/>
    <s v="Adejoke"/>
    <s v="Adeoye"/>
    <x v="1"/>
    <x v="4"/>
    <s v="Nigeria"/>
    <s v="University of Ibadan"/>
    <s v="MATERNAL HEALTH"/>
    <s v="Epidemiology and Medical Statistics"/>
    <s v="University of Ibadan"/>
    <s v="Yes"/>
    <n v="148600"/>
    <s v="Married"/>
    <s v="Married"/>
    <m/>
    <s v="iadeoye@cartafrica.org"/>
    <s v="adeoyeikeola@yahoo.com"/>
    <s v="+234-8052153252"/>
    <s v="Master in Public Health"/>
    <d v="1973-02-08T00:00:00"/>
    <s v="Maternal obesity and associated maternal, periantal and neo natal outcomes among women in Ibadan, Nigeria"/>
    <s v="Field"/>
    <s v="No"/>
    <s v="Primary"/>
    <n v="14.5"/>
    <d v="2013-02-01T00:00:00"/>
    <d v="2015-03-01T00:00:00"/>
    <m/>
    <s v="Prof. Afolabi Bamigboye"/>
    <m/>
    <m/>
    <n v="1"/>
    <s v="Home"/>
    <m/>
    <m/>
    <s v="Yes"/>
    <m/>
    <m/>
    <s v="Academic"/>
    <m/>
    <s v="Lecturer"/>
    <m/>
    <m/>
    <s v="UNIVERSITY OF IBADAN"/>
    <s v="0000-0003-3085-0965"/>
    <m/>
    <d v="2015-03-02T00:00:00"/>
    <d v="2015-11-02T00:00:00"/>
    <s v="Yes"/>
    <d v="2018-01-01T00:00:00"/>
    <d v="2018-01-27T00:00:00"/>
    <m/>
    <m/>
    <m/>
    <s v="The prevalence, determinants, preganancy and neonatal outcomes of Maternal obesity and its associated metabolic Dysfunction in Ibadan, Nigeria "/>
    <d v="2019-07-29T00:00:00"/>
    <s v="No"/>
    <d v="2020-03-01T00:00:00"/>
    <s v="No"/>
    <m/>
    <d v="2021-07-15T00:00:00"/>
    <d v="2021-08-03T00:00:00"/>
    <d v="2021-08-03T00:00:00"/>
    <x v="0"/>
    <n v="78"/>
    <n v="70"/>
    <m/>
    <n v="5"/>
    <n v="10"/>
    <n v="4"/>
    <n v="1"/>
    <n v="3"/>
    <n v="1"/>
    <n v="0"/>
    <s v="No"/>
    <n v="0"/>
    <m/>
    <d v="2017-03-01T00:00:00"/>
    <d v="2018-02-01T00:00:00"/>
    <n v="12"/>
    <s v="No"/>
    <m/>
    <m/>
    <n v="3"/>
    <n v="3"/>
    <m/>
    <s v="SIDA"/>
  </r>
  <r>
    <n v="111"/>
    <s v="C5/014"/>
    <s v="Justine"/>
    <s v="Nnakate"/>
    <s v="Bukenya"/>
    <x v="1"/>
    <x v="4"/>
    <s v="Uganda"/>
    <s v="Makerere University"/>
    <s v="Public Health"/>
    <s v="Community Health &amp; Behavioural Sciencess"/>
    <s v="Makerere University"/>
    <s v="Yes"/>
    <n v="216023303"/>
    <s v="Married"/>
    <s v="Married"/>
    <s v="Married"/>
    <s v="jbukenya@cartafrica.org"/>
    <s v="jbukenya@musph.ac.ug"/>
    <s v="+256772446355"/>
    <s v="MPH"/>
    <d v="1971-08-24T00:00:00"/>
    <s v="Pregnancy experiences and reproductive health outcome among adolescents in Uganda."/>
    <s v="Field"/>
    <s v="No"/>
    <s v="Primary"/>
    <n v="11"/>
    <d v="2017-01-30T00:00:00"/>
    <d v="2015-03-01T00:00:00"/>
    <m/>
    <s v="Christopher Garimoi Orach, PhD"/>
    <s v="David Guwatudde, PhD"/>
    <m/>
    <n v="2"/>
    <s v="Home"/>
    <s v="Home"/>
    <m/>
    <s v="No"/>
    <s v="Yes"/>
    <m/>
    <s v="Academic"/>
    <s v="Lecturer"/>
    <s v="Lecturer"/>
    <s v="No"/>
    <m/>
    <s v="MAKERERE UNIVERSITY"/>
    <s v="0000-0001-9139-6183"/>
    <s v="Yes"/>
    <d v="2015-03-02T00:00:00"/>
    <d v="2015-11-02T00:00:00"/>
    <s v="Yes"/>
    <m/>
    <m/>
    <m/>
    <m/>
    <m/>
    <m/>
    <d v="2017-07-31T00:00:00"/>
    <s v="Yes"/>
    <d v="2018-03-05T00:00:00"/>
    <s v="Yes"/>
    <m/>
    <d v="2021-02-26T00:00:00"/>
    <m/>
    <d v="2021-05-17T00:00:00"/>
    <x v="0"/>
    <n v="75"/>
    <n v="67"/>
    <s v="Pregnancy Planning and utilization of Maternal Health Services by Female Sex workers in Uganda"/>
    <n v="10"/>
    <n v="27"/>
    <n v="7"/>
    <n v="1"/>
    <n v="0"/>
    <n v="0"/>
    <n v="0"/>
    <s v="No"/>
    <n v="0"/>
    <m/>
    <m/>
    <m/>
    <m/>
    <s v="No"/>
    <m/>
    <m/>
    <n v="4"/>
    <n v="4"/>
    <m/>
    <s v="SIDA"/>
  </r>
  <r>
    <n v="112"/>
    <s v="C5/015"/>
    <s v="Jeanette"/>
    <m/>
    <s v="Dawa"/>
    <x v="1"/>
    <x v="4"/>
    <s v="Kenya"/>
    <s v="University of Nairobi"/>
    <s v="Public Health"/>
    <s v="KAVI - Institute of Clinical Reasearch"/>
    <s v="University of Nairobi"/>
    <s v="Yes"/>
    <s v="H84/50941/2016"/>
    <s v="Married"/>
    <s v="Married"/>
    <s v="Married"/>
    <s v="jdawa@cartafrica.org"/>
    <s v="jandawa@cartafrica.org"/>
    <s v="+254722653696"/>
    <s v="M.Sc Public Health"/>
    <d v="1984-02-16T00:00:00"/>
    <s v="An assessment of breast cancer risk factors among urban black Kenyan females."/>
    <s v="Field"/>
    <s v="No"/>
    <s v="Primary"/>
    <n v="25.5"/>
    <d v="2015-10-13T00:00:00"/>
    <d v="2015-03-01T00:00:00"/>
    <m/>
    <s v="Prof.Omu Anzala"/>
    <m/>
    <m/>
    <n v="1"/>
    <s v="Home"/>
    <m/>
    <m/>
    <s v="Yes"/>
    <m/>
    <m/>
    <s v="Other"/>
    <s v="Medical Epidemiologist"/>
    <s v="Medical Epidemiologist and Center Director"/>
    <s v="Yes"/>
    <m/>
    <s v="WASHINGTON STATE UNIVERSITY, KENYA OFFICE (GLOBAL HEALTH PROG)"/>
    <s v="0000-0001-9405-148X"/>
    <m/>
    <d v="2015-03-02T00:00:00"/>
    <d v="2015-11-02T00:00:00"/>
    <s v="Yes"/>
    <d v="2016-02-19T00:00:00"/>
    <d v="2017-01-13T00:00:00"/>
    <m/>
    <m/>
    <m/>
    <s v="Modelling the health and economic impact of the influenza vaccine in Kenya"/>
    <d v="2017-07-31T00:00:00"/>
    <s v="Yes"/>
    <d v="2018-03-05T00:00:00"/>
    <s v="Yes"/>
    <m/>
    <m/>
    <m/>
    <d v="2020-11-25T00:00:00"/>
    <x v="0"/>
    <n v="69"/>
    <n v="61"/>
    <s v="Modelling the health and economic impact of the influenza vaccine in Kenya"/>
    <n v="0"/>
    <n v="6"/>
    <n v="8"/>
    <n v="1"/>
    <n v="0"/>
    <n v="0"/>
    <n v="0"/>
    <s v="No"/>
    <n v="0"/>
    <m/>
    <m/>
    <m/>
    <m/>
    <s v="No"/>
    <m/>
    <m/>
    <n v="0"/>
    <n v="0"/>
    <m/>
    <s v="CARNEGIE/DAAD"/>
  </r>
  <r>
    <n v="113"/>
    <s v="C5/016"/>
    <s v="Jepchirchir"/>
    <m/>
    <s v="Kiplagat"/>
    <x v="1"/>
    <x v="4"/>
    <s v="Kenya"/>
    <s v="Moi University"/>
    <s v="Public Health"/>
    <s v="Epidemiology and Biostatistics"/>
    <s v="University of the Witwatersrand"/>
    <s v="No"/>
    <n v="1317323"/>
    <s v="Married"/>
    <s v="Married"/>
    <s v="Married"/>
    <s v="jkiplagat@cartafrica.org"/>
    <s v="chiri2809@gmail.com"/>
    <s v="+254722288653"/>
    <s v="Masters Epidemiology &amp; Disease Control"/>
    <d v="1980-09-28T00:00:00"/>
    <s v="HIV among adults aged 50years and older in East Africa."/>
    <s v="Clinical research - Retrospective and prospective"/>
    <s v="No"/>
    <s v="Primary and secondary"/>
    <n v="25"/>
    <d v="2015-08-06T00:00:00"/>
    <d v="2015-03-01T00:00:00"/>
    <m/>
    <s v="Ann Mwangi, PhD"/>
    <s v="Charles Chasela, PhD"/>
    <m/>
    <n v="2"/>
    <s v="Home"/>
    <s v="Host"/>
    <m/>
    <s v="Yes"/>
    <s v="No"/>
    <m/>
    <s v="Academic"/>
    <m/>
    <s v="Lecturer "/>
    <s v="Yes"/>
    <s v="AMPATH Associate Director of Research"/>
    <s v="MOI UNIVERSITY - AMPATH"/>
    <s v="0000-0002-7836-2138"/>
    <s v="No"/>
    <d v="2015-03-02T00:00:00"/>
    <d v="2015-11-02T00:00:00"/>
    <s v="Yes"/>
    <d v="2016-02-12T00:00:00"/>
    <d v="2016-04-07T00:00:00"/>
    <m/>
    <m/>
    <m/>
    <s v="Characteristics, outcomes and experiences of HIV infected adults aged 50 years and older in Western kenya"/>
    <d v="2017-07-31T00:00:00"/>
    <s v="Yes"/>
    <d v="2018-03-05T00:00:00"/>
    <s v="Yes"/>
    <m/>
    <m/>
    <m/>
    <d v="2019-10-31T00:00:00"/>
    <x v="0"/>
    <n v="56"/>
    <n v="48"/>
    <m/>
    <n v="3"/>
    <n v="8"/>
    <n v="4"/>
    <n v="2"/>
    <n v="0"/>
    <n v="0"/>
    <n v="0"/>
    <s v="No"/>
    <n v="0"/>
    <m/>
    <m/>
    <m/>
    <m/>
    <s v="No"/>
    <m/>
    <m/>
    <n v="1"/>
    <n v="2"/>
    <m/>
    <s v="SIDA"/>
  </r>
  <r>
    <n v="114"/>
    <s v="C5/017"/>
    <s v="Kikelomo"/>
    <s v="Abayowa"/>
    <s v="Mbada"/>
    <x v="1"/>
    <x v="4"/>
    <s v="Nigeria"/>
    <s v="Obafemi Awolowo University"/>
    <s v="Political Science"/>
    <s v="Political Science"/>
    <s v="Obafemi Awolowo University"/>
    <s v="Yes"/>
    <s v="SSP/13/14/H/0871"/>
    <s v="Married"/>
    <s v="Married"/>
    <s v="Married"/>
    <s v="kmbada@cartafrica.org"/>
    <s v="menteekas@yahoo.com"/>
    <s v="2348137729864"/>
    <s v="M.Sc Political Science"/>
    <d v="1981-12-23T00:00:00"/>
    <s v="Political economy of poverty and health in Ghana and Nigeria: A comparative policy analysis of the Millennium Development Goals."/>
    <s v="Policy analysis"/>
    <s v="No"/>
    <s v="Primary"/>
    <n v="17"/>
    <d v="2014-04-15T00:00:00"/>
    <d v="2015-03-01T00:00:00"/>
    <m/>
    <s v="Prof. Oluwafemi N. Mimiko"/>
    <m/>
    <m/>
    <n v="1"/>
    <s v="Home"/>
    <m/>
    <m/>
    <s v="Yes"/>
    <m/>
    <m/>
    <s v="Academic"/>
    <s v="Assistant Lecturer"/>
    <s v="Lecturer I"/>
    <s v="Yes"/>
    <m/>
    <s v="OBAFEMI AWOLOWO UNIVERSITY"/>
    <s v="0000-0002-2157-1940"/>
    <m/>
    <d v="2015-03-02T00:00:00"/>
    <d v="2015-11-02T00:00:00"/>
    <s v="Yes"/>
    <d v="2021-07-04T00:00:00"/>
    <d v="2021-07-04T00:00:00"/>
    <m/>
    <m/>
    <m/>
    <m/>
    <d v="2017-07-31T00:00:00"/>
    <s v="Yes"/>
    <d v="2019-03-04T00:00:00"/>
    <s v="No"/>
    <m/>
    <m/>
    <m/>
    <d v="2018-08-15T00:00:00"/>
    <x v="0"/>
    <n v="42"/>
    <n v="34"/>
    <m/>
    <n v="1"/>
    <n v="0"/>
    <n v="1"/>
    <n v="6"/>
    <n v="0"/>
    <n v="0"/>
    <n v="0"/>
    <s v="JAS 1, 2015 &amp; JAS 4, 2019"/>
    <n v="0"/>
    <m/>
    <m/>
    <m/>
    <m/>
    <s v="No"/>
    <m/>
    <m/>
    <n v="2"/>
    <n v="4"/>
    <m/>
    <s v="SIDA"/>
  </r>
  <r>
    <n v="115"/>
    <s v="C5/018"/>
    <s v="Lester"/>
    <m/>
    <s v="Kapanda"/>
    <x v="0"/>
    <x v="4"/>
    <s v="Malawi"/>
    <s v="University of Malawi"/>
    <s v="Epidemeology and Public Health"/>
    <s v="Public Health"/>
    <s v="University of the Malawi"/>
    <s v="Yes"/>
    <s v="201580013245"/>
    <s v="Married"/>
    <s v="Married"/>
    <s v="Married"/>
    <s v="lkapanda@cartafrica.org"/>
    <s v="lrphiri@medcol.mw"/>
    <s v="+265 994 958 249"/>
    <s v="M.Sc Epidemiology"/>
    <d v="1974-09-27T00:00:00"/>
    <s v="Exploring the potential drivers of demand and supply for transactional sex and sex work among female sex workers and their clients in Malawi."/>
    <s v="Field"/>
    <s v="No"/>
    <s v="Primary"/>
    <n v="20"/>
    <d v="2015-03-16T00:00:00"/>
    <d v="2015-03-01T00:00:00"/>
    <m/>
    <s v="Prof. Adamson Muula"/>
    <s v="Dr. Chima Izgubara"/>
    <s v="Dr. Nicola Desmond "/>
    <n v="3"/>
    <s v="Home"/>
    <s v="Other"/>
    <s v="Other"/>
    <s v="Yes"/>
    <s v="Yes"/>
    <s v="No"/>
    <s v="Academic"/>
    <m/>
    <m/>
    <m/>
    <m/>
    <s v="UNIVERSITY OF MALAWI"/>
    <s v="0000-0003-2887-2954"/>
    <s v="Yes"/>
    <d v="2015-03-02T00:00:00"/>
    <d v="2015-11-02T00:00:00"/>
    <s v="Yes"/>
    <m/>
    <m/>
    <m/>
    <m/>
    <m/>
    <m/>
    <d v="2017-07-31T00:00:00"/>
    <s v="Yes"/>
    <d v="2018-03-05T00:00:00"/>
    <s v="Yes"/>
    <m/>
    <m/>
    <m/>
    <d v="2020-03-19T00:00:00"/>
    <x v="0"/>
    <n v="61"/>
    <n v="53"/>
    <m/>
    <n v="0"/>
    <n v="3"/>
    <n v="1"/>
    <n v="0"/>
    <n v="0"/>
    <n v="0"/>
    <n v="0"/>
    <s v="No"/>
    <n v="0"/>
    <m/>
    <m/>
    <m/>
    <m/>
    <s v="No"/>
    <m/>
    <m/>
    <n v="2"/>
    <n v="2"/>
    <m/>
    <s v="SIDA"/>
  </r>
  <r>
    <n v="116"/>
    <s v="C5/019"/>
    <s v="Maria"/>
    <s v="Chifuniro"/>
    <s v="Chikalipo"/>
    <x v="1"/>
    <x v="4"/>
    <s v="Malawi"/>
    <s v="University of Malawi"/>
    <s v="Nursing and Midwifery"/>
    <s v="Public Health"/>
    <s v="University of the Malawi"/>
    <s v="Yes"/>
    <s v="201580013238"/>
    <s v="Married"/>
    <s v="Married"/>
    <s v="Married"/>
    <s v="mchikalipo@cartafrica.org"/>
    <s v="mchikalipo@kcn.unima.mw"/>
    <s v="+ 265 888309781"/>
    <s v="MA Social Development"/>
    <d v="1970-05-05T00:00:00"/>
    <s v="Centering pregnancy: Astrategy in improving maternal and neonatal outcomes among adolescents."/>
    <s v="Field"/>
    <s v="No"/>
    <s v="Primary"/>
    <n v="30"/>
    <d v="2015-12-14T00:00:00"/>
    <d v="2015-03-01T00:00:00"/>
    <m/>
    <s v="Prof. Adamson Muula"/>
    <s v="Prof. Ellen Chirwa"/>
    <m/>
    <n v="2"/>
    <s v="Home"/>
    <s v="Home"/>
    <m/>
    <s v="Yes"/>
    <s v="No"/>
    <m/>
    <s v="Academic"/>
    <s v="Lecturer"/>
    <m/>
    <m/>
    <m/>
    <s v="UNIVERSITY OF MALAWI"/>
    <s v="0000-0001-7062-9785"/>
    <s v="No"/>
    <d v="2015-03-02T00:00:00"/>
    <d v="2015-11-02T00:00:00"/>
    <s v="Yes"/>
    <d v="2015-06-11T00:00:00"/>
    <d v="2016-01-13T00:00:00"/>
    <m/>
    <m/>
    <m/>
    <s v="Feasibility, acceptability and effectiveness of couple antenatal education in Blantyre, Malawi"/>
    <d v="2017-07-31T00:00:00"/>
    <s v="Yes"/>
    <d v="2018-03-05T00:00:00"/>
    <s v="Yes"/>
    <m/>
    <m/>
    <m/>
    <d v="2019-11-30T00:00:00"/>
    <x v="0"/>
    <n v="57"/>
    <n v="49"/>
    <m/>
    <n v="0"/>
    <n v="4"/>
    <n v="2"/>
    <n v="2"/>
    <n v="0"/>
    <n v="0"/>
    <n v="0"/>
    <s v="No"/>
    <n v="0"/>
    <m/>
    <m/>
    <m/>
    <m/>
    <s v="No"/>
    <m/>
    <m/>
    <s v="NF"/>
    <s v="NF"/>
    <m/>
    <s v="SIDA"/>
  </r>
  <r>
    <n v="117"/>
    <s v="C5/020"/>
    <s v="Nomathemba"/>
    <s v="Chiwoneso"/>
    <s v="Chandiwana"/>
    <x v="1"/>
    <x v="4"/>
    <s v="South Africa"/>
    <s v="University of the Witwatersrand"/>
    <s v="Child and Adolescent Health"/>
    <s v="Wits Reproductive Health and HIV Institute"/>
    <s v="University of the Witwatersrand"/>
    <s v="Yes"/>
    <s v="0403769G"/>
    <m/>
    <s v="Married"/>
    <m/>
    <s v="nchandiwana@cartafrica.org"/>
    <s v="nomathemba.chandiwana@gmail.com"/>
    <n v="27761643215"/>
    <s v="MPH Epidiomology &amp; Biostatistics"/>
    <m/>
    <s v="Impact of strengthening the continuum of care of HIV-infected pregnant and post-natal women and infantsin primary care clinics of South Africa."/>
    <s v="Clinical research"/>
    <s v="No"/>
    <s v="Primary"/>
    <n v="18"/>
    <d v="2017-02-01T00:00:00"/>
    <d v="2015-03-01T00:00:00"/>
    <d v="2025-03-25T00:00:00"/>
    <s v="Prof. Charles S. Chasela"/>
    <s v="Dr. Lee Fairlie"/>
    <m/>
    <n v="2"/>
    <s v="Home"/>
    <s v="Home"/>
    <m/>
    <s v="No"/>
    <s v="Yes"/>
    <m/>
    <s v="Researcher"/>
    <s v="Technical advisor"/>
    <s v="Technical advisor"/>
    <m/>
    <m/>
    <s v="WITS RHI"/>
    <s v="0000-0001-7866-2651"/>
    <s v="Yes"/>
    <d v="2015-03-02T00:00:00"/>
    <d v="2015-11-02T00:00:00"/>
    <s v="Yes"/>
    <m/>
    <m/>
    <m/>
    <m/>
    <m/>
    <m/>
    <d v="2017-07-31T00:00:00"/>
    <s v="Yes"/>
    <d v="2018-03-05T00:00:00"/>
    <s v="Yes"/>
    <m/>
    <m/>
    <m/>
    <m/>
    <x v="1"/>
    <m/>
    <m/>
    <m/>
    <n v="0"/>
    <n v="0"/>
    <n v="14"/>
    <n v="0"/>
    <n v="0"/>
    <n v="0"/>
    <n v="0"/>
    <s v="JAS 4, 2018"/>
    <n v="0"/>
    <m/>
    <m/>
    <m/>
    <m/>
    <s v="No"/>
    <m/>
    <m/>
    <s v="NF"/>
    <s v="NF"/>
    <m/>
    <s v="SIDA"/>
  </r>
  <r>
    <n v="118"/>
    <s v="C5/021"/>
    <s v="Oyewale"/>
    <s v="Mayowa"/>
    <s v="Morakinyo"/>
    <x v="0"/>
    <x v="4"/>
    <s v="Nigeria"/>
    <s v="University of Ibadan"/>
    <s v="Environmental Health"/>
    <s v="Environmental Health Sciences"/>
    <s v="University of Ibadan"/>
    <s v="Yes"/>
    <n v="12963"/>
    <m/>
    <s v="Married"/>
    <m/>
    <s v="omorakinyo@cartafrica.org"/>
    <s v="wahlemirax@gmail.com"/>
    <s v="+2348034626106"/>
    <s v="MPH Environmental Health"/>
    <d v="1980-02-01T00:00:00"/>
    <s v="Molecular characterization of bio aerosols associated with sick building syndrome and related health risks in secondary schools in Ibadan,Nigeria."/>
    <s v="Clinical research"/>
    <s v="yes"/>
    <s v="Primary"/>
    <n v="13"/>
    <d v="2013-07-04T00:00:00"/>
    <d v="2015-03-01T00:00:00"/>
    <m/>
    <s v="Prof. Ana Godson Rowland"/>
    <m/>
    <m/>
    <n v="1"/>
    <s v="Home"/>
    <m/>
    <m/>
    <s v="Yes"/>
    <m/>
    <m/>
    <s v="Academic"/>
    <s v="Lecturer"/>
    <s v="Lecturer"/>
    <m/>
    <m/>
    <s v="UNIVERSITY OF IBADAN"/>
    <s v="0000-0001-5289-9378"/>
    <m/>
    <d v="2015-03-02T00:00:00"/>
    <d v="2015-11-02T00:00:00"/>
    <s v="Yes"/>
    <d v="2015-02-02T00:00:00"/>
    <d v="2016-04-11T00:00:00"/>
    <m/>
    <m/>
    <m/>
    <s v="Indoor school building characteristics and molecular profiling of Bioaerosols as predictors of respiratory morbidities among primary school children in Ibadan, Nigeria "/>
    <d v="2017-07-31T00:00:00"/>
    <s v="Yes"/>
    <d v="2018-03-05T00:00:00"/>
    <s v="Yes"/>
    <m/>
    <m/>
    <m/>
    <d v="2023-01-31T00:00:00"/>
    <x v="0"/>
    <n v="95"/>
    <n v="87"/>
    <s v="Indoor Air Quality and Bioaerosols’ Size Distribution as Predictors of Respiratory Morbidities among Pupils in Ibadan North Local Government Area, Oyo State."/>
    <n v="0"/>
    <n v="25"/>
    <n v="0"/>
    <n v="3"/>
    <n v="1"/>
    <n v="1"/>
    <n v="1"/>
    <s v="No"/>
    <n v="0"/>
    <m/>
    <m/>
    <m/>
    <m/>
    <s v="No"/>
    <m/>
    <m/>
    <n v="2"/>
    <n v="3"/>
    <m/>
    <s v="SIDA"/>
  </r>
  <r>
    <n v="119"/>
    <s v="C5/022"/>
    <s v="Raymond"/>
    <s v="Felix"/>
    <s v="Odokonyero"/>
    <x v="0"/>
    <x v="4"/>
    <s v="Uganda"/>
    <s v="Makerere University"/>
    <s v="Mental Health"/>
    <s v="Psychiatry"/>
    <s v="Makerere University"/>
    <s v="Yes"/>
    <m/>
    <s v="NF"/>
    <s v="NF"/>
    <m/>
    <s v="rodokonyero@cartafrica.org"/>
    <s v="rayhaddock@yahoo.com"/>
    <s v="+256701547646"/>
    <s v="NF"/>
    <m/>
    <s v="Investigating the relationship between parenting styles and coping techniques among parents with their adolescents’problem behavior in post conflict Northern Uganda"/>
    <s v="Field"/>
    <s v="No"/>
    <s v="Primary"/>
    <n v="15"/>
    <d v="2015-03-01T00:00:00"/>
    <d v="2015-03-01T00:00:00"/>
    <d v="2020-04-09T00:00:00"/>
    <s v="Prof. Wilson Winston Muhwezi"/>
    <s v="Prof. Seggane Musisi"/>
    <s v="Dr.Akena Dickens Howard"/>
    <n v="3"/>
    <s v="Home"/>
    <s v="Home"/>
    <s v="Home"/>
    <s v="Yes"/>
    <s v="No"/>
    <s v="No"/>
    <m/>
    <s v="Lecturer"/>
    <s v="Lecturer"/>
    <m/>
    <m/>
    <s v="MAKERERE UNIVERSITY"/>
    <m/>
    <s v="No"/>
    <d v="2015-03-02T00:00:00"/>
    <d v="2015-11-02T00:00:00"/>
    <s v="Yes"/>
    <m/>
    <m/>
    <m/>
    <m/>
    <m/>
    <m/>
    <s v="Not attended"/>
    <s v="No"/>
    <s v="Not attended"/>
    <s v="No"/>
    <m/>
    <m/>
    <m/>
    <m/>
    <x v="1"/>
    <s v="Terminated"/>
    <m/>
    <m/>
    <m/>
    <n v="2"/>
    <n v="0"/>
    <n v="0"/>
    <n v="0"/>
    <n v="0"/>
    <n v="0"/>
    <s v="No"/>
    <n v="0"/>
    <m/>
    <m/>
    <m/>
    <m/>
    <s v="No"/>
    <m/>
    <m/>
    <s v="NF"/>
    <s v="NF"/>
    <m/>
    <s v="SIDA"/>
  </r>
  <r>
    <n v="120"/>
    <s v="C5/023"/>
    <s v="Gift"/>
    <m/>
    <s v="Khangamwa"/>
    <x v="0"/>
    <x v="4"/>
    <s v="Malawi"/>
    <s v="University of Malawi"/>
    <m/>
    <m/>
    <s v="University of the Malawi"/>
    <s v="Yes"/>
    <s v="NF"/>
    <s v="NF"/>
    <s v="NF"/>
    <s v="NF"/>
    <m/>
    <m/>
    <m/>
    <m/>
    <m/>
    <m/>
    <m/>
    <m/>
    <m/>
    <m/>
    <m/>
    <d v="2015-03-01T00:00:00"/>
    <d v="2017-12-31T00:00:00"/>
    <m/>
    <m/>
    <m/>
    <n v="0"/>
    <m/>
    <m/>
    <m/>
    <m/>
    <m/>
    <m/>
    <m/>
    <m/>
    <m/>
    <m/>
    <m/>
    <s v=""/>
    <m/>
    <d v="2017-07-05T00:00:00"/>
    <d v="2015-03-02T00:00:00"/>
    <m/>
    <m/>
    <m/>
    <m/>
    <m/>
    <m/>
    <m/>
    <m/>
    <m/>
    <m/>
    <m/>
    <m/>
    <m/>
    <m/>
    <m/>
    <m/>
    <x v="1"/>
    <s v="Terminated"/>
    <m/>
    <m/>
    <m/>
    <m/>
    <m/>
    <m/>
    <m/>
    <m/>
    <m/>
    <s v="No"/>
    <m/>
    <m/>
    <m/>
    <m/>
    <m/>
    <m/>
    <m/>
    <m/>
    <m/>
    <m/>
    <m/>
    <s v="SIDA"/>
  </r>
  <r>
    <n v="121"/>
    <s v="C5/024"/>
    <s v="Masoud"/>
    <s v="Hussein"/>
    <s v="Mahundi"/>
    <x v="0"/>
    <x v="4"/>
    <s v="Tanzania"/>
    <s v="University of Dar es Salaam"/>
    <m/>
    <m/>
    <s v="University of Dar es Salaam"/>
    <s v="Yes"/>
    <s v="NF"/>
    <s v="NF"/>
    <s v="NF"/>
    <s v="NF"/>
    <m/>
    <m/>
    <m/>
    <m/>
    <m/>
    <m/>
    <m/>
    <m/>
    <m/>
    <m/>
    <m/>
    <d v="2015-03-01T00:00:00"/>
    <d v="2018-08-30T00:00:00"/>
    <m/>
    <m/>
    <m/>
    <n v="0"/>
    <m/>
    <m/>
    <m/>
    <m/>
    <m/>
    <m/>
    <m/>
    <m/>
    <m/>
    <m/>
    <m/>
    <s v=""/>
    <m/>
    <m/>
    <d v="2015-03-02T00:00:00"/>
    <m/>
    <m/>
    <m/>
    <m/>
    <m/>
    <m/>
    <m/>
    <m/>
    <m/>
    <m/>
    <m/>
    <m/>
    <m/>
    <m/>
    <m/>
    <m/>
    <x v="1"/>
    <s v="Terminated"/>
    <m/>
    <m/>
    <m/>
    <m/>
    <m/>
    <m/>
    <m/>
    <m/>
    <m/>
    <s v="No"/>
    <m/>
    <m/>
    <m/>
    <m/>
    <m/>
    <m/>
    <m/>
    <m/>
    <m/>
    <m/>
    <m/>
    <s v="SIDA"/>
  </r>
  <r>
    <n v="122"/>
    <s v="C5/025"/>
    <s v="Callen"/>
    <s v="Kwamboka"/>
    <s v="Onyambu"/>
    <x v="1"/>
    <x v="4"/>
    <s v="Kenya"/>
    <s v="University of Nairobi"/>
    <m/>
    <m/>
    <s v="University of Nairobi"/>
    <s v="Yes"/>
    <s v="NF"/>
    <s v="NF"/>
    <s v="NF"/>
    <s v="NF"/>
    <m/>
    <m/>
    <m/>
    <m/>
    <m/>
    <m/>
    <m/>
    <m/>
    <m/>
    <m/>
    <m/>
    <d v="2015-03-01T00:00:00"/>
    <d v="2018-08-30T00:00:00"/>
    <m/>
    <m/>
    <m/>
    <n v="0"/>
    <m/>
    <m/>
    <m/>
    <m/>
    <m/>
    <m/>
    <m/>
    <m/>
    <m/>
    <m/>
    <m/>
    <s v=""/>
    <m/>
    <d v="2017-07-05T00:00:00"/>
    <d v="2015-03-02T00:00:00"/>
    <m/>
    <m/>
    <m/>
    <m/>
    <m/>
    <m/>
    <m/>
    <m/>
    <m/>
    <m/>
    <m/>
    <m/>
    <m/>
    <m/>
    <m/>
    <m/>
    <x v="1"/>
    <s v="Terminated"/>
    <m/>
    <m/>
    <m/>
    <m/>
    <m/>
    <m/>
    <m/>
    <m/>
    <m/>
    <s v="No"/>
    <m/>
    <m/>
    <m/>
    <m/>
    <m/>
    <m/>
    <m/>
    <m/>
    <m/>
    <m/>
    <m/>
    <s v="SIDA"/>
  </r>
  <r>
    <n v="123"/>
    <s v="C6/001"/>
    <s v="Beatrice"/>
    <s v="Waitherero"/>
    <s v="Maina"/>
    <x v="1"/>
    <x v="5"/>
    <s v="Kenya"/>
    <s v="APHRC"/>
    <s v="Public Health"/>
    <s v="School of Public Health"/>
    <s v="University of the Witwatersrand"/>
    <s v="No"/>
    <n v="1617548"/>
    <s v="Single"/>
    <s v="Single"/>
    <s v="Single"/>
    <s v="bmaina@cartafrica.org"/>
    <s v="waithereromaina@yahoo.com; bmaina@aphrc.org"/>
    <s v="+254 (20) 4001000; +254 721 456679"/>
    <s v="MA Population Studies"/>
    <d v="1977-05-15T00:00:00"/>
    <s v="Investigating the social co-construction of masculinity(ies) and sexual development among very young male adolescents in urban slums in Nairobi, Kenya"/>
    <s v="Field"/>
    <s v="No"/>
    <s v="Primary"/>
    <n v="8"/>
    <d v="2017-03-22T00:00:00"/>
    <d v="2016-03-01T00:00:00"/>
    <m/>
    <s v="Dr. Caroline Kabiru"/>
    <s v="Dr Yandisa Sikweyiya"/>
    <m/>
    <n v="2"/>
    <s v="Home"/>
    <s v="Host"/>
    <m/>
    <s v="Yes"/>
    <s v="Yes"/>
    <m/>
    <s v="Researcher"/>
    <s v="Research Officer"/>
    <s v="Associate Research Scientist"/>
    <s v="Yes"/>
    <m/>
    <s v="APHRC"/>
    <s v="0000-0001-6205-3296"/>
    <m/>
    <d v="2016-02-28T00:00:00"/>
    <d v="2016-11-07T00:00:00"/>
    <s v="Yes"/>
    <d v="2017-09-27T00:00:00"/>
    <d v="2017-11-24T00:00:00"/>
    <m/>
    <m/>
    <m/>
    <s v="Investigating the social co-construction of masculinity(ies) and sexual development among very young male adolescents in urban slums in Nairobi, Kenya"/>
    <d v="2018-07-28T00:00:00"/>
    <s v="Yes"/>
    <d v="2019-03-04T00:00:00"/>
    <s v="Yes"/>
    <m/>
    <m/>
    <m/>
    <d v="2021-09-22T00:00:00"/>
    <x v="0"/>
    <n v="67"/>
    <n v="59"/>
    <s v="Investigating the social co-construction of masculinity(ies) and sexual development among very young male adolescents in urban slums in Nairobi, Kenya"/>
    <n v="6"/>
    <n v="13"/>
    <n v="3"/>
    <n v="0"/>
    <n v="0"/>
    <n v="0"/>
    <n v="0"/>
    <s v="No"/>
    <n v="0"/>
    <m/>
    <m/>
    <m/>
    <m/>
    <s v="No"/>
    <m/>
    <m/>
    <n v="0"/>
    <n v="0"/>
    <n v="2"/>
    <s v="SIDA"/>
  </r>
  <r>
    <n v="124"/>
    <s v="C6/002"/>
    <s v="Betty"/>
    <s v="Karimi"/>
    <s v="Mwiti"/>
    <x v="1"/>
    <x v="5"/>
    <s v="Kenya"/>
    <s v="University of Nairobi"/>
    <s v="Design"/>
    <s v="School of the Arts and Design"/>
    <s v="University of Nairobi"/>
    <s v="Yes"/>
    <s v="B80/51242/2016"/>
    <s v="Married"/>
    <s v="Married"/>
    <s v="Married"/>
    <s v="bmwiti@cartafrica.org"/>
    <s v="mwiti.bk@gmail.com"/>
    <s v="+254 722 694853"/>
    <s v="MA Design"/>
    <d v="1984-03-23T00:00:00"/>
    <s v="ACTION TO HEALTH:  DECREASING THE INCIDENCE OF LIFESTYLE DISEASES  IN  INFORMAL SETTLEMENTS IN NAIROBI, KENYA THROUGH A POPULATION-LED COMMUNICATION STRATEGY"/>
    <s v="Field"/>
    <s v="No"/>
    <s v="Primary"/>
    <n v="34.5"/>
    <d v="2016-11-30T00:00:00"/>
    <d v="2016-03-01T00:00:00"/>
    <m/>
    <s v="Dr. Lilac A. Osanjo"/>
    <s v="Dr. Ambole Amollo Lorraine"/>
    <m/>
    <n v="2"/>
    <s v="Home"/>
    <m/>
    <m/>
    <s v="Yes"/>
    <m/>
    <m/>
    <s v="Academic"/>
    <s v="Tutorial Fellow"/>
    <s v="Tutorial Fellow"/>
    <m/>
    <m/>
    <s v="UNIVERSITY OF NAIROBI"/>
    <s v="0000-0001-7064-8003"/>
    <m/>
    <d v="2016-02-28T00:00:00"/>
    <d v="2016-11-07T00:00:00"/>
    <s v="Yes"/>
    <m/>
    <m/>
    <m/>
    <m/>
    <m/>
    <s v="Action to health: Decreasing the incidence of lifestyle diseases in informal settlement in Nairobi through a population led communication strategy"/>
    <d v="2018-07-28T00:00:00"/>
    <s v="Yes"/>
    <d v="2019-03-04T00:00:00"/>
    <s v="Yes"/>
    <m/>
    <m/>
    <m/>
    <d v="2020-08-26T00:00:00"/>
    <x v="0"/>
    <n v="54"/>
    <n v="46"/>
    <s v="Bottom-Up Approach: A community-Led Intervention in fighting lifestyle diseases in Urban informal settlements in Nairobi, Kenya"/>
    <n v="0"/>
    <n v="1"/>
    <n v="1"/>
    <n v="0"/>
    <n v="0"/>
    <n v="0"/>
    <n v="0"/>
    <s v="No"/>
    <n v="0"/>
    <m/>
    <d v="2020-04-20T00:00:00"/>
    <d v="2020-06-11T00:00:00"/>
    <n v="2"/>
    <s v="No"/>
    <m/>
    <m/>
    <n v="1"/>
    <n v="1"/>
    <m/>
    <s v="SIDA"/>
  </r>
  <r>
    <n v="125"/>
    <s v="C6/003"/>
    <s v="Chimwemwe"/>
    <s v="Chikoko"/>
    <s v="Kwanjo-Banda"/>
    <x v="1"/>
    <x v="5"/>
    <s v="Malawi"/>
    <s v="University of Malawi"/>
    <s v="Nursing"/>
    <s v="Medical and Surgical Nursing"/>
    <s v="University of the Malawi"/>
    <s v="Yes"/>
    <s v="201680013682"/>
    <s v="Married"/>
    <s v="Married"/>
    <m/>
    <s v="cbanda@cartafrica.org"/>
    <s v="joychikoko@yahoo.co.uk"/>
    <s v="+265884711313"/>
    <s v="MSC Nursing"/>
    <d v="1983-10-20T00:00:00"/>
    <s v="Personal, behavioural and environmental factors associated with self-management among diabetic patients attending Queen Elizabeth Central Clinical research diabetes clinic in Malawi: a mixed methods study"/>
    <s v="Clinical research"/>
    <s v="No"/>
    <s v="Primary"/>
    <n v="24"/>
    <d v="2017-04-01T00:00:00"/>
    <d v="2016-03-01T00:00:00"/>
    <m/>
    <s v="Prof. Moffat Nyirenda"/>
    <s v="Dr. Belinda Gombachika"/>
    <m/>
    <n v="2"/>
    <s v="Other "/>
    <s v="Home"/>
    <m/>
    <s v="No"/>
    <s v="Yes"/>
    <m/>
    <s v="Academic"/>
    <s v="Lecturer"/>
    <s v="Lecturer"/>
    <m/>
    <m/>
    <s v="MALAWI LIVERPOOL WELCOME TRUST CLINICAL RESEARCH PROGRAM (2021)"/>
    <s v="0000-0001-9337-3583"/>
    <m/>
    <d v="2016-02-28T00:00:00"/>
    <d v="2016-11-07T00:00:00"/>
    <s v="Yes"/>
    <d v="2017-08-31T00:00:00"/>
    <d v="2017-09-19T00:00:00"/>
    <d v="2017-10-04T00:00:00"/>
    <m/>
    <m/>
    <s v="A mixed methods study on diabetes self management and social cognitive constructs at Queen Elizabeth Cantral Clinical research, Blantyre "/>
    <d v="2018-07-28T00:00:00"/>
    <s v="Yes"/>
    <d v="2019-03-04T00:00:00"/>
    <s v="Yes"/>
    <d v="2021-09-24T00:00:00"/>
    <m/>
    <m/>
    <d v="2025-08-29T00:00:00"/>
    <x v="0"/>
    <n v="115"/>
    <n v="106"/>
    <m/>
    <m/>
    <n v="2"/>
    <n v="0"/>
    <n v="1"/>
    <n v="0"/>
    <n v="0"/>
    <n v="0"/>
    <s v="No"/>
    <n v="0"/>
    <m/>
    <m/>
    <m/>
    <m/>
    <s v="No"/>
    <m/>
    <m/>
    <m/>
    <m/>
    <m/>
    <s v="WT-DELTAS"/>
  </r>
  <r>
    <n v="126"/>
    <s v="C6/004"/>
    <s v="Oluwaseyi"/>
    <s v="Dolapo"/>
    <s v="Somefun"/>
    <x v="1"/>
    <x v="5"/>
    <s v="Nigeria"/>
    <s v="University of the Witwatersrand"/>
    <s v="Demography and Population Studies"/>
    <s v="Dept of Demography and Population studies"/>
    <s v="University of the Witwatersrand"/>
    <s v="Yes"/>
    <n v="6815541"/>
    <s v="Single"/>
    <s v="Single"/>
    <s v="Single"/>
    <s v="dsomefun@cartafrica.org"/>
    <s v="seyi.somefun@gmail.com"/>
    <s v="+27788552595"/>
    <s v="Master Demography &amp; Population Studies"/>
    <d v="1989-04-16T00:00:00"/>
    <s v="Beyond Risk: Understanding a Framework for Improving Adolescents' Sexual Health in Nigeria "/>
    <s v="Field"/>
    <s v="No"/>
    <s v="Primary"/>
    <n v="5.5"/>
    <d v="2016-04-04T00:00:00"/>
    <d v="2016-03-01T00:00:00"/>
    <m/>
    <s v="Prof. Clifford Odimegwu"/>
    <m/>
    <m/>
    <n v="1"/>
    <s v="Home"/>
    <m/>
    <m/>
    <s v="No"/>
    <m/>
    <m/>
    <s v="Researcher"/>
    <s v="Research Associate"/>
    <s v="Research Associate"/>
    <s v="No"/>
    <m/>
    <s v="UNIVERSITY OF WESTERN CAPE, SOUTH AFRICA"/>
    <s v="0000-0002-3842-2685"/>
    <m/>
    <d v="2016-02-28T00:00:00"/>
    <d v="2016-11-07T00:00:00"/>
    <s v="Yes"/>
    <d v="2017-01-18T00:00:00"/>
    <d v="2018-05-22T00:00:00"/>
    <m/>
    <m/>
    <m/>
    <s v="Beyond Risk: Understanding a framework for improving adolescents's sexual health in Nigeria"/>
    <d v="2018-07-28T00:00:00"/>
    <s v="Yes"/>
    <d v="2019-03-04T00:00:00"/>
    <s v="Yes"/>
    <m/>
    <m/>
    <m/>
    <d v="2019-10-30T00:00:00"/>
    <x v="0"/>
    <n v="45"/>
    <n v="36"/>
    <m/>
    <n v="2"/>
    <n v="14"/>
    <n v="7"/>
    <n v="2"/>
    <n v="3"/>
    <n v="0"/>
    <n v="0"/>
    <s v="No"/>
    <n v="0"/>
    <m/>
    <d v="2022-12-01T00:00:00"/>
    <d v="2023-02-28T00:00:00"/>
    <n v="3"/>
    <s v="No"/>
    <m/>
    <m/>
    <n v="0"/>
    <n v="0"/>
    <n v="3"/>
    <s v="SIDA"/>
  </r>
  <r>
    <n v="127"/>
    <s v="C6/005"/>
    <s v="Valens"/>
    <m/>
    <s v="Mbarushimana"/>
    <x v="0"/>
    <x v="5"/>
    <s v="Rwanda"/>
    <s v="University of Rwanda"/>
    <s v="Public Health"/>
    <s v="Community Health"/>
    <s v="University of the Witwatersrand"/>
    <s v="Yes"/>
    <n v="1584607"/>
    <s v="Married"/>
    <s v="Married"/>
    <m/>
    <s v="vmbarushimana@cartafrica.org"/>
    <s v="mbavalens@gmail.com; vmbarushimana@ur.ac.rw; mbavalens@yahoo.fr; vmbarushimana@nursph.org"/>
    <s v="+250788490718"/>
    <s v="Master of Public Health"/>
    <d v="1979-01-20T00:00:00"/>
    <s v="Early adolescents' knowledge, beliefs and behaviors regarding gender and sexuality in Rwanda: implications for their sexual experiences and health outcomes."/>
    <s v="Field"/>
    <s v="No"/>
    <s v="Primary"/>
    <n v="31.5"/>
    <d v="2017-03-16T00:00:00"/>
    <d v="2016-03-01T00:00:00"/>
    <m/>
    <s v="Daphney Conco"/>
    <s v="Dr. Laetitia Nyirazinyoye"/>
    <m/>
    <n v="2"/>
    <s v="Other "/>
    <s v="Home"/>
    <m/>
    <s v="No"/>
    <s v="No"/>
    <m/>
    <s v="Academic"/>
    <s v="Assistant Lecturer"/>
    <s v="Lecturer"/>
    <s v="No"/>
    <m/>
    <s v="UNIVERSITY OF RWANDA"/>
    <s v="0000-0002-9700-0343"/>
    <m/>
    <d v="2016-02-28T00:00:00"/>
    <d v="2016-11-07T00:00:00"/>
    <s v="Yes"/>
    <d v="2018-11-29T00:00:00"/>
    <d v="2018-12-03T00:00:00"/>
    <m/>
    <m/>
    <m/>
    <s v="Early adolescents' knoledge, beliefs and behaviors regarding gender and sexuality in Rwanda: implications for their sexual experiences and health outcomes"/>
    <d v="2023-01-11T00:00:00"/>
    <s v="No"/>
    <d v="2021-08-23T00:00:00"/>
    <s v="No"/>
    <m/>
    <m/>
    <m/>
    <d v="2024-10-26T00:00:00"/>
    <x v="0"/>
    <n v="104"/>
    <n v="96"/>
    <s v="Early adolescents' knowledge, beliefs and behaviors regarding gender and sexuality in Rwanda: implications for their sexual experiences and health outcomes."/>
    <n v="1"/>
    <n v="1"/>
    <n v="0"/>
    <n v="0"/>
    <n v="0"/>
    <n v="0"/>
    <n v="0"/>
    <s v="No"/>
    <n v="0"/>
    <m/>
    <m/>
    <m/>
    <m/>
    <s v="No"/>
    <m/>
    <m/>
    <n v="2"/>
    <n v="4"/>
    <m/>
    <s v="WT-DELTAS"/>
  </r>
  <r>
    <n v="128"/>
    <s v="C6/006"/>
    <s v="Eniola"/>
    <m/>
    <s v="Bamgboye"/>
    <x v="0"/>
    <x v="5"/>
    <s v="Nigeria"/>
    <s v="University of Ibadan"/>
    <s v="Epidemiology"/>
    <s v="Epidemiology and Medical Statistics"/>
    <s v="University of Ibadan"/>
    <s v="Yes"/>
    <n v="98769"/>
    <s v="Married"/>
    <s v="Married"/>
    <s v="Married"/>
    <s v="ebamgboye@cartafrica.org"/>
    <s v="dr_enip@yahoo.co.uk"/>
    <s v="+234 8029537711"/>
    <s v="M.Sc Epidemiology &amp; Bio Statistics"/>
    <d v="1981-05-15T00:00:00"/>
    <s v="Modeling the effect of HIV on the survival of multi drug resistant tuberculosis co infected patients in Oyo State, South Western Nigeria."/>
    <s v="Field"/>
    <s v="No"/>
    <s v="Primary"/>
    <n v="5.5"/>
    <d v="2016-08-08T00:00:00"/>
    <d v="2016-03-01T00:00:00"/>
    <m/>
    <s v="Dr. Ikeoluwapo  Ajayi"/>
    <m/>
    <m/>
    <n v="1"/>
    <s v="Home"/>
    <m/>
    <m/>
    <s v="Yes"/>
    <m/>
    <m/>
    <s v="Academic"/>
    <s v="Lecturer 1"/>
    <s v="Senior Lecturer"/>
    <s v="Yes"/>
    <m/>
    <s v="UNIVERSITY OF IBADAN"/>
    <s v="0000-0003-0500-8557"/>
    <m/>
    <d v="2016-02-28T00:00:00"/>
    <d v="2016-11-07T00:00:00"/>
    <s v="Yes"/>
    <d v="2017-01-17T00:00:00"/>
    <d v="2017-01-17T00:00:00"/>
    <d v="2018-01-16T00:00:00"/>
    <m/>
    <m/>
    <s v="Modelling the effect of HIV Co-infection on the survival of patients with multidrugs resistant Tuberculosis in Oyo State, Southern Western, Nigeria"/>
    <d v="2018-07-28T00:00:00"/>
    <s v="Yes"/>
    <d v="2019-03-04T00:00:00"/>
    <s v="Yes"/>
    <m/>
    <m/>
    <m/>
    <d v="2021-03-21T00:00:00"/>
    <x v="0"/>
    <n v="61"/>
    <n v="53"/>
    <m/>
    <n v="4"/>
    <n v="2"/>
    <n v="0"/>
    <n v="0"/>
    <n v="1"/>
    <n v="0"/>
    <n v="0"/>
    <s v="No"/>
    <n v="0"/>
    <m/>
    <d v="2020-03-17T00:00:00"/>
    <d v="2021-02-15T00:00:00"/>
    <n v="11"/>
    <s v="No"/>
    <m/>
    <m/>
    <n v="2"/>
    <n v="2"/>
    <m/>
    <s v="WT -DELTAS"/>
  </r>
  <r>
    <n v="129"/>
    <s v="C6/007"/>
    <s v="Nomfundo"/>
    <s v="Nzuza"/>
    <s v="Moroe"/>
    <x v="1"/>
    <x v="5"/>
    <s v="South Africa"/>
    <s v="University of the Witwatersrand"/>
    <s v="Audiology"/>
    <s v="Speech Pathology and Audiology"/>
    <s v="University of the Witwatersrand"/>
    <s v="Yes"/>
    <s v="0103374D"/>
    <m/>
    <s v="Married"/>
    <s v="Married"/>
    <s v="fmoroe@cartafrica.org "/>
    <s v="nomfundo.moroe7@gmail.com"/>
    <s v="+27823178862"/>
    <s v="MA Audiology"/>
    <d v="1982-01-25T00:00:00"/>
    <s v="Occupational Noise-Induced Hearing Loss in South African Large Scale Mines: From policy formulation to implementation and monitoring"/>
    <s v="Field"/>
    <s v="No"/>
    <s v="Primary"/>
    <n v="13.5"/>
    <d v="2015-02-01T00:00:00"/>
    <d v="2016-03-01T00:00:00"/>
    <m/>
    <s v="Prof. KatijahKhoza-Shangase"/>
    <m/>
    <m/>
    <n v="1"/>
    <s v="Home"/>
    <m/>
    <m/>
    <s v="Yes"/>
    <m/>
    <m/>
    <s v="Academic"/>
    <s v="Tutor"/>
    <s v="Associate Professor "/>
    <s v="Yes"/>
    <m/>
    <s v="UNIVERSITY OF THE WITWATERSRAND"/>
    <s v="0000-0001-7186-5632"/>
    <m/>
    <d v="2016-02-28T00:00:00"/>
    <d v="2016-11-01T00:00:00"/>
    <s v="Yes"/>
    <d v="2016-03-01T00:00:00"/>
    <d v="2016-03-01T00:00:00"/>
    <d v="2016-04-01T00:00:00"/>
    <m/>
    <m/>
    <s v="Occupational Noise-induced hearing loss in South African Large Scale Mines: From policy formulation to implementation and monitoring "/>
    <d v="2018-07-28T00:00:00"/>
    <s v="Yes"/>
    <d v="2019-03-04T00:00:00"/>
    <s v="Yes"/>
    <d v="2018-08-01T00:00:00"/>
    <d v="2018-08-01T00:00:00"/>
    <d v="2018-10-20T00:00:00"/>
    <d v="2018-10-25T00:00:00"/>
    <x v="0"/>
    <n v="32"/>
    <n v="24"/>
    <s v="Occupational Noise-Induced Hearing Loss in South African Large Scale Mines: From policy_x000a_formulation to implementation and monitoring"/>
    <n v="1"/>
    <n v="8"/>
    <n v="20"/>
    <n v="7"/>
    <n v="1"/>
    <n v="0"/>
    <n v="0"/>
    <s v="No"/>
    <n v="0"/>
    <m/>
    <m/>
    <m/>
    <m/>
    <s v="No"/>
    <m/>
    <m/>
    <n v="2"/>
    <n v="2"/>
    <m/>
    <s v="WT -DELTAS"/>
  </r>
  <r>
    <n v="130"/>
    <s v="C6/008"/>
    <s v="Godwin"/>
    <m/>
    <s v="Anywar"/>
    <x v="0"/>
    <x v="5"/>
    <s v="Uganda"/>
    <s v="Makerere University"/>
    <s v="Botany"/>
    <s v="Plant Sciences, Microbiology &amp; Biotechnology"/>
    <s v="Makerere University"/>
    <s v="Yes"/>
    <s v="2015/HD13/18793U"/>
    <s v="Married"/>
    <s v="Married"/>
    <s v="Married"/>
    <s v="ganywar@cartafrica.org"/>
    <s v="godwinanywar@gmail.com"/>
    <s v="+256 702983410"/>
    <s v="M.Sc Botany"/>
    <d v="1982-10-06T00:00:00"/>
    <s v="Antiviral, immunomodulatory and phytochemical profiles of medicinal plants used by traditional medicine practitioners for the treatment of HIV/AIDS in Uganda"/>
    <s v="Field"/>
    <s v="yes"/>
    <s v="Primary"/>
    <n v="17.5"/>
    <d v="2016-09-25T00:00:00"/>
    <d v="2016-03-01T00:00:00"/>
    <m/>
    <s v="Ass. Prof. Kakudidi Eseszah"/>
    <s v="Ass. Prof. Byamukama Robert"/>
    <s v="Prof. Dr. Emmrich Frank, Fraunhofer "/>
    <n v="3"/>
    <s v="Home"/>
    <s v="Home"/>
    <s v="Other"/>
    <s v="Yes"/>
    <s v="No"/>
    <s v="No"/>
    <s v="Academic"/>
    <s v="Teaching Assistant"/>
    <s v="Lecturer"/>
    <s v="Yes"/>
    <s v=" Appointed as a Review editor in the Journal Frontiers in Pharmacology-Ethnopharmacology Section."/>
    <s v="MAKERERE UNIVERSITY"/>
    <s v="0000-0003-0926-1832"/>
    <m/>
    <d v="2016-02-28T00:00:00"/>
    <d v="2016-11-07T00:00:00"/>
    <s v="Yes"/>
    <d v="2017-01-10T00:00:00"/>
    <d v="2017-05-03T00:00:00"/>
    <m/>
    <m/>
    <m/>
    <s v="Antiviral, immunomodulatory and phytochemical profiles of medicinal plants used by traditional medicine practitioners for the treatment of HIV/AIDS in Uganda"/>
    <d v="2018-07-28T00:00:00"/>
    <s v="Yes"/>
    <d v="2019-03-04T00:00:00"/>
    <s v="Yes"/>
    <m/>
    <d v="2021-10-07T00:00:00"/>
    <m/>
    <d v="2022-02-15T00:00:00"/>
    <x v="0"/>
    <n v="72"/>
    <n v="64"/>
    <s v="Ethnopharmacogology, cytotoxicity, antiviral and immunodulatory profiles of medical plant species used by herbalists in treating people living with HIV/AIDS in Uganda"/>
    <n v="4"/>
    <n v="20"/>
    <n v="5"/>
    <n v="3"/>
    <n v="2"/>
    <n v="0"/>
    <n v="0"/>
    <s v="No"/>
    <n v="0"/>
    <m/>
    <m/>
    <m/>
    <m/>
    <s v="No"/>
    <m/>
    <m/>
    <n v="2"/>
    <n v="4"/>
    <m/>
    <s v="WT -DELTAS/DAAD"/>
  </r>
  <r>
    <n v="131"/>
    <s v="C6/009"/>
    <s v="John"/>
    <s v="Olugbenga"/>
    <s v="Abe"/>
    <x v="0"/>
    <x v="5"/>
    <s v="Nigeria"/>
    <s v="Obafemi Awolowo University"/>
    <s v="Demography and Social Statistics"/>
    <s v="Demography and Social Statistics"/>
    <s v="Obafemi Awolowo University"/>
    <s v="Yes"/>
    <s v="SSP15/16/R/0003"/>
    <s v="Married"/>
    <s v="Married"/>
    <s v="Married"/>
    <s v="jabe@cartafrica.org"/>
    <s v="abegbenga7@gmail.com"/>
    <s v="+2348034460713"/>
    <s v="Masters in Demography and Social Statistics"/>
    <d v="1979-04-07T00:00:00"/>
    <s v="Labour Force Disengagement Transitions and Quality of Life of Older Persons in Formal Organisations in Osun State, Nigeria"/>
    <s v="Field"/>
    <s v="No"/>
    <s v="Primary"/>
    <n v="24.5"/>
    <d v="2016-11-09T00:00:00"/>
    <d v="2016-03-01T00:00:00"/>
    <m/>
    <s v="Prof. Akinyemi Ibukun Akanni"/>
    <s v="Dr. Oyedokun Olugbenga Amos"/>
    <m/>
    <n v="2"/>
    <s v="Home"/>
    <m/>
    <m/>
    <s v="Yes"/>
    <m/>
    <m/>
    <s v="Academic"/>
    <s v="Assistant Lecturer"/>
    <s v="Senior Lecturer"/>
    <s v="Yes"/>
    <s v="Department Postgraduate programme cordinator"/>
    <s v="AQUATECH COLLEGE OF AGRICULTURE "/>
    <s v="0000-0002-6312-0195"/>
    <m/>
    <d v="2016-02-28T00:00:00"/>
    <d v="2016-11-07T00:00:00"/>
    <s v="Yes"/>
    <d v="2017-10-26T00:00:00"/>
    <d v="2017-11-07T00:00:00"/>
    <m/>
    <m/>
    <m/>
    <s v="Labour force disengagement transitions and quality of life of older persons in formal organisations in Osun State, Nigeria"/>
    <d v="2018-07-28T00:00:00"/>
    <s v="Yes"/>
    <d v="2019-03-04T00:00:00"/>
    <s v="Yes"/>
    <m/>
    <m/>
    <m/>
    <d v="2019-06-21T00:00:00"/>
    <x v="0"/>
    <n v="40"/>
    <n v="32"/>
    <m/>
    <n v="2"/>
    <n v="3"/>
    <n v="0"/>
    <n v="0"/>
    <n v="0"/>
    <n v="0"/>
    <n v="0"/>
    <s v="No"/>
    <n v="0"/>
    <m/>
    <m/>
    <m/>
    <m/>
    <s v="No"/>
    <m/>
    <m/>
    <n v="1"/>
    <n v="2"/>
    <m/>
    <s v="SIDA"/>
  </r>
  <r>
    <n v="132"/>
    <s v="C6/010"/>
    <s v="Justin"/>
    <m/>
    <s v="Kumala"/>
    <x v="0"/>
    <x v="5"/>
    <s v="Malawi"/>
    <s v="University of Malawi"/>
    <s v="Biomedical research"/>
    <s v="Wits Research institute for Malaria (WRIM)"/>
    <s v="University of the Witwatersrand"/>
    <s v="No"/>
    <n v="1598631"/>
    <s v="Single"/>
    <s v="Married"/>
    <m/>
    <s v="jkumala@cartafrica.org"/>
    <s v="justinkumala@yahoo.com"/>
    <s v="+27711374112"/>
    <s v="M.Sc Molecular Biology"/>
    <d v="1988-04-09T00:00:00"/>
    <s v="The impact of insecticide resistance on malaria vector control in Chikwawa, Southern Malawi"/>
    <s v="Experimental model"/>
    <s v="yes"/>
    <s v="Primary"/>
    <n v="25"/>
    <d v="2016-09-09T00:00:00"/>
    <d v="2016-03-01T00:00:00"/>
    <m/>
    <s v="Prof. Maureen Coetzee"/>
    <s v="Dr. Themba Mzilahowa"/>
    <m/>
    <n v="2"/>
    <s v="Host"/>
    <s v="Home"/>
    <m/>
    <s v="Yes"/>
    <s v="Yes"/>
    <m/>
    <s v="Researcher"/>
    <s v="Research Assistant"/>
    <s v="Research Scientist"/>
    <m/>
    <m/>
    <s v="UNIVERSITY OF MALAWI"/>
    <s v="0000-0001-6357-9441"/>
    <m/>
    <d v="2016-02-28T00:00:00"/>
    <d v="2016-11-07T00:00:00"/>
    <s v="Yes"/>
    <d v="2018-06-06T00:00:00"/>
    <d v="2018-08-14T00:00:00"/>
    <d v="2017-09-14T00:00:00"/>
    <m/>
    <m/>
    <s v="The efect of insecticide resistance on malaria vector control in Chikwawa, Southern Malawi"/>
    <d v="2018-07-28T00:00:00"/>
    <s v="Yes"/>
    <d v="2019-03-04T00:00:00"/>
    <s v="Yes"/>
    <d v="2024-07-29T00:00:00"/>
    <m/>
    <m/>
    <d v="2024-11-14T00:00:00"/>
    <x v="0"/>
    <n v="105"/>
    <n v="97"/>
    <s v="The effect of insecticide resistance on Malaria vector control in Chikwawa, Southern Malawi"/>
    <n v="0"/>
    <n v="2"/>
    <n v="0"/>
    <n v="0"/>
    <n v="0"/>
    <n v="0"/>
    <n v="0"/>
    <s v="No"/>
    <n v="0"/>
    <m/>
    <m/>
    <m/>
    <m/>
    <s v="No"/>
    <m/>
    <m/>
    <n v="0"/>
    <s v="NF"/>
    <m/>
    <s v="WT-DELTAS"/>
  </r>
  <r>
    <n v="133"/>
    <s v="C6/011"/>
    <s v="Joan"/>
    <s v="Nankya"/>
    <s v="Mutyoba"/>
    <x v="1"/>
    <x v="5"/>
    <s v="Uganda"/>
    <s v="Makerere University"/>
    <s v="Public Health"/>
    <s v="Epidemiology &amp; Biostatistics"/>
    <s v="Makerere University"/>
    <s v="Yes"/>
    <s v="2014/HD07/18654U"/>
    <s v="Married"/>
    <s v="Married"/>
    <s v="Married"/>
    <s v="jmutyoba@cartafrica.org"/>
    <s v="eron.jm@hotmail.com"/>
    <s v="+256 772 324 309"/>
    <s v="MS Epidemiology &amp; Biostatistics"/>
    <d v="1971-04-16T00:00:00"/>
    <s v="Hepatitis B Among Pregnant Women:Epidemiology, Knowledge, perceptions and behavioral intentions"/>
    <s v="Field"/>
    <s v="No"/>
    <s v="Primary"/>
    <n v="8"/>
    <d v="2016-04-04T00:00:00"/>
    <d v="2016-03-01T00:00:00"/>
    <m/>
    <s v="Professor Ponsiano Ocama"/>
    <s v="Assoc. Professor Frederick Makumbi"/>
    <m/>
    <n v="2"/>
    <s v="Home"/>
    <s v="Home"/>
    <m/>
    <s v="No"/>
    <s v="Yes"/>
    <m/>
    <s v="Academic"/>
    <s v="Lecturer"/>
    <s v="Senior Lecturer"/>
    <s v="Yes"/>
    <m/>
    <s v="MAKERERE UNIVERSITY"/>
    <s v="0000-0002-0661-5933"/>
    <m/>
    <d v="2016-02-28T00:00:00"/>
    <d v="2016-11-07T00:00:00"/>
    <s v="Yes"/>
    <d v="2016-07-13T00:00:00"/>
    <d v="2016-12-14T00:00:00"/>
    <m/>
    <m/>
    <m/>
    <s v="Hepatitis B among pregnant women: Epidemiology, knowledge, perceptions and behavioral intentions"/>
    <d v="2018-07-28T00:00:00"/>
    <s v="Yes"/>
    <d v="2019-03-04T00:00:00"/>
    <s v="Yes"/>
    <m/>
    <d v="2021-11-11T00:00:00"/>
    <m/>
    <d v="2022-02-15T00:00:00"/>
    <x v="0"/>
    <n v="72"/>
    <n v="64"/>
    <s v="Hepatitis B among Ugandan pregnant women: Studies on Epidemiology, Knowledge, Perceptions and Behavioural Intentions"/>
    <n v="5"/>
    <n v="15"/>
    <n v="3"/>
    <n v="1"/>
    <n v="1"/>
    <n v="0"/>
    <n v="0"/>
    <s v="No"/>
    <n v="0"/>
    <m/>
    <m/>
    <m/>
    <m/>
    <s v="No"/>
    <m/>
    <m/>
    <n v="4"/>
    <n v="4"/>
    <m/>
    <s v="WT-DELTAS"/>
  </r>
  <r>
    <n v="134"/>
    <s v="C6/012"/>
    <s v="Kudus"/>
    <s v="Oluwatoyin"/>
    <s v="Adebayo"/>
    <x v="0"/>
    <x v="5"/>
    <s v="Nigeria"/>
    <s v="University of Ibadan"/>
    <s v="Sociology"/>
    <s v="Sociology"/>
    <s v="University of Ibadan"/>
    <s v="Yes"/>
    <n v="121147"/>
    <s v="Single"/>
    <s v="Married"/>
    <s v="Married"/>
    <s v="kadebayo@cartafrica.org"/>
    <s v="oluwatoyinkudus@gmail.com"/>
    <s v="+2348029516738"/>
    <s v="M.Sc Sociology"/>
    <d v="1984-01-14T00:00:00"/>
    <s v="Migration and settlement experiences of Nigerians in Guangzhou, China"/>
    <s v="Field"/>
    <s v="No"/>
    <s v="Primary"/>
    <n v="17.5"/>
    <d v="2013-03-25T00:00:00"/>
    <d v="2016-03-01T00:00:00"/>
    <m/>
    <s v="Prof Omololu O. Femi"/>
    <m/>
    <m/>
    <n v="1"/>
    <s v="Home"/>
    <m/>
    <m/>
    <s v="Yes"/>
    <m/>
    <m/>
    <s v="Academic"/>
    <s v="Tutorial Assistant"/>
    <s v="Research Fellow I"/>
    <s v="Yes"/>
    <m/>
    <s v="UNIVERSITY OF IBADAN"/>
    <s v="0000-0002-3746-4963"/>
    <m/>
    <d v="2016-02-28T00:00:00"/>
    <d v="2016-11-07T00:00:00"/>
    <s v="Yes"/>
    <d v="2016-02-20T00:00:00"/>
    <d v="2016-05-10T00:00:00"/>
    <d v="2017-07-05T00:00:00"/>
    <m/>
    <m/>
    <s v="International migration and settlement experiences of Nigerians in Guangzhou, China"/>
    <d v="2018-07-28T00:00:00"/>
    <s v="Yes"/>
    <d v="2019-03-04T00:00:00"/>
    <s v="Yes"/>
    <m/>
    <m/>
    <m/>
    <d v="2019-04-30T00:00:00"/>
    <x v="0"/>
    <n v="39"/>
    <n v="30"/>
    <m/>
    <n v="1"/>
    <n v="3"/>
    <n v="14"/>
    <n v="1"/>
    <n v="0"/>
    <n v="0"/>
    <n v="0"/>
    <s v="No"/>
    <n v="0"/>
    <m/>
    <m/>
    <m/>
    <m/>
    <s v="No"/>
    <m/>
    <m/>
    <n v="0"/>
    <n v="0"/>
    <m/>
    <s v="SIDA"/>
  </r>
  <r>
    <n v="135"/>
    <s v="C6/013"/>
    <s v="Taofeek"/>
    <s v="Kolawole"/>
    <s v="Aliyu"/>
    <x v="0"/>
    <x v="5"/>
    <s v="Nigeria"/>
    <s v="Obafemi Awolowo University"/>
    <s v="Sociology and Anthropology"/>
    <s v="Sociology and Anthropology"/>
    <s v="Obafemi Awolowo University"/>
    <s v="Yes"/>
    <s v="SSP15/16/R/0083"/>
    <s v="Married"/>
    <s v="Married"/>
    <s v="Married"/>
    <s v="kaliyu@cartafrica.org"/>
    <s v="aliyukola@gmail.com"/>
    <s v="+2348060100021"/>
    <s v="M.Sc Sociology &amp; Anthropology"/>
    <d v="1980-09-25T00:00:00"/>
    <s v="Socio-ecological Factors Influencing Parent-adolescent Communication on Sexual and Reproductive Health Issues in Selected Slum Communities of Ibadan, Southwest, Nigeria"/>
    <s v="Field"/>
    <s v="No"/>
    <s v="Primary"/>
    <n v="22"/>
    <d v="2016-12-20T00:00:00"/>
    <d v="2016-03-01T00:00:00"/>
    <m/>
    <s v="Prof. Anna Baranowska-Rataj"/>
    <m/>
    <m/>
    <n v="1"/>
    <s v="Home"/>
    <m/>
    <m/>
    <s v="Yes"/>
    <m/>
    <m/>
    <s v="Academic"/>
    <s v="Assistant Lecturer"/>
    <s v="Senior Lecturer "/>
    <s v="Yes"/>
    <m/>
    <s v="OBAFEMI AWOLOWO UNIVERSITY"/>
    <s v="0000-0001-7896-1061"/>
    <m/>
    <d v="2016-02-28T00:00:00"/>
    <d v="2016-11-07T00:00:00"/>
    <s v="Yes"/>
    <d v="2018-04-12T00:00:00"/>
    <d v="2017-11-07T00:00:00"/>
    <m/>
    <m/>
    <m/>
    <s v="Socio -ecological factors influencing parent -adolescent Communication on sexual and reproductive Health issues in selected slum cCommunities of Ibadan, Southwest, Nigeria"/>
    <d v="2018-07-28T00:00:00"/>
    <s v="Yes"/>
    <d v="2019-03-04T00:00:00"/>
    <s v="Yes"/>
    <m/>
    <m/>
    <m/>
    <d v="2019-08-01T00:00:00"/>
    <x v="0"/>
    <n v="42"/>
    <n v="33"/>
    <m/>
    <n v="0"/>
    <n v="0"/>
    <n v="0"/>
    <n v="0"/>
    <n v="0"/>
    <n v="0"/>
    <n v="0"/>
    <s v="No"/>
    <n v="0"/>
    <m/>
    <m/>
    <m/>
    <m/>
    <s v="No"/>
    <m/>
    <m/>
    <n v="2"/>
    <n v="2"/>
    <m/>
    <s v="WT-DELTAS"/>
  </r>
  <r>
    <n v="136"/>
    <s v="C6/014"/>
    <s v="Khumbo"/>
    <s v="Michael"/>
    <s v="Kalulu"/>
    <x v="0"/>
    <x v="5"/>
    <s v="Malawi"/>
    <s v="University of Malawi"/>
    <s v="Engineering"/>
    <s v="Environmental Health"/>
    <s v="University of the Malawi"/>
    <s v="Yes"/>
    <s v="PhD/13/MPL/001"/>
    <s v="Married"/>
    <s v="Married"/>
    <s v="Married"/>
    <s v="kkalulu@cartafrica.org"/>
    <s v="kmkalulu@gmail.com"/>
    <s v="+265 999 691 961"/>
    <s v="M.BA, Masters in Integrated Water Resources"/>
    <d v="1979-05-24T00:00:00"/>
    <s v="Improving resource efficiency in treatment of faecal sludge from unplanned settlements of in the cities of Malawi"/>
    <s v="Field"/>
    <s v="No"/>
    <s v="Primary"/>
    <n v="7.5"/>
    <d v="2014-07-08T00:00:00"/>
    <d v="2016-03-01T00:00:00"/>
    <m/>
    <s v="Asso. Prof. Bernard Thole (PhD)"/>
    <s v="Ass. Prof. Theresa Mkandawire (PhD) "/>
    <s v="Prof. Grant Kululanga (PhD) "/>
    <n v="3"/>
    <s v="Home"/>
    <s v="Home"/>
    <s v="Home"/>
    <s v="Yes"/>
    <s v="No"/>
    <s v="No"/>
    <s v="Academic"/>
    <s v="Senior Lecturer"/>
    <s v="Senior Lecturer"/>
    <s v="Yes"/>
    <m/>
    <s v="UNIVERSITY OF MALAWI"/>
    <s v="0000-0001-9841-9173"/>
    <m/>
    <d v="2016-02-28T00:00:00"/>
    <d v="2016-11-07T00:00:00"/>
    <s v="Yes"/>
    <d v="2016-12-16T00:00:00"/>
    <d v="2017-11-09T00:00:00"/>
    <m/>
    <m/>
    <m/>
    <s v="Improving resource efficiency in treatment of faecal sludge from unplanned settlements of in the cities of Malawi"/>
    <d v="2018-07-28T00:00:00"/>
    <s v="Yes"/>
    <d v="2019-03-04T00:00:00"/>
    <s v="Yes"/>
    <m/>
    <d v="2020-04-13T00:00:00"/>
    <d v="2020-04-27T00:00:00"/>
    <d v="2020-04-27T00:00:00"/>
    <x v="0"/>
    <n v="50"/>
    <n v="42"/>
    <m/>
    <n v="3"/>
    <n v="2"/>
    <n v="2"/>
    <n v="1"/>
    <n v="0"/>
    <n v="0"/>
    <n v="0"/>
    <s v="No"/>
    <n v="0"/>
    <m/>
    <m/>
    <m/>
    <m/>
    <s v="No"/>
    <m/>
    <m/>
    <n v="2"/>
    <n v="2"/>
    <m/>
    <s v="WT-DELTAS"/>
  </r>
  <r>
    <n v="137"/>
    <s v="C6/015"/>
    <s v="Mumuni"/>
    <m/>
    <s v="Adejumo"/>
    <x v="0"/>
    <x v="5"/>
    <s v="Nigeria"/>
    <s v="University of Ibadan"/>
    <s v="Environmental Health"/>
    <s v="Environmental Health Sciences"/>
    <s v="University of Ibadan"/>
    <s v="Yes"/>
    <n v="136414"/>
    <s v="Married"/>
    <s v="Married"/>
    <s v="Married"/>
    <s v="madejumo@cartafrica.org"/>
    <s v="adejumo_mumuni@yahoo.com"/>
    <s v="+234 8050821482"/>
    <s v="MPH Environmental Health"/>
    <d v="1976-09-24T00:00:00"/>
    <s v="Improving greywater quality and Harnessing Water Resources through Algae Based Technology in a Low to Middle-Income Community in South-West Nigeria"/>
    <s v="Field"/>
    <s v="No"/>
    <s v="Primary"/>
    <n v="18.5"/>
    <d v="2013-05-09T00:00:00"/>
    <d v="2016-03-01T00:00:00"/>
    <m/>
    <s v="Dr. Elizabeth O. OLORUNTOBA"/>
    <s v="Prof. M.K.C. SRIDHAR"/>
    <m/>
    <n v="2"/>
    <s v="Home"/>
    <s v="Home"/>
    <m/>
    <s v="Yes"/>
    <m/>
    <m/>
    <s v="Academic"/>
    <s v="Lecturer II"/>
    <s v="Lecturer I"/>
    <s v="Yes"/>
    <m/>
    <s v="UNIVERSITY OF IBADAN"/>
    <s v="0000-0003-4797-7508"/>
    <m/>
    <d v="2016-02-28T00:00:00"/>
    <d v="2016-11-07T00:00:00"/>
    <s v="Yes"/>
    <d v="2017-05-02T00:00:00"/>
    <d v="2017-11-10T00:00:00"/>
    <d v="2017-11-07T00:00:00"/>
    <m/>
    <m/>
    <s v="Improving greywater quality and harnessing water resources through algae based technology in Low to Middle income community in South West Nigeria"/>
    <d v="2018-07-28T00:00:00"/>
    <s v="Yes"/>
    <d v="2019-03-04T00:00:00"/>
    <s v="Yes"/>
    <m/>
    <d v="2021-09-03T00:00:00"/>
    <d v="2021-09-14T00:00:00"/>
    <d v="2021-09-14T00:00:00"/>
    <x v="0"/>
    <n v="67"/>
    <n v="59"/>
    <m/>
    <n v="2"/>
    <n v="4"/>
    <n v="0"/>
    <n v="1"/>
    <n v="1"/>
    <n v="0"/>
    <n v="0"/>
    <s v="No"/>
    <n v="0"/>
    <m/>
    <m/>
    <m/>
    <m/>
    <s v="No"/>
    <m/>
    <m/>
    <n v="1"/>
    <n v="2"/>
    <m/>
    <s v="WT-DELTAS"/>
  </r>
  <r>
    <n v="138"/>
    <s v="C6/016"/>
    <s v="Macellina"/>
    <s v="Yinyinade"/>
    <s v="Ijadunola"/>
    <x v="1"/>
    <x v="5"/>
    <s v="Nigeria"/>
    <s v="Obafemi Awolowo University"/>
    <s v="Public Health"/>
    <s v="Community Health"/>
    <s v="Obafemi Awolowo University"/>
    <s v="Yes"/>
    <s v="CLP/13/14/H/2482"/>
    <s v="Married"/>
    <s v="Married"/>
    <s v="Married"/>
    <s v="mijadunola@cartafrica.org"/>
    <s v="yijadun@yahoo.com"/>
    <s v="+234 803 706 2008"/>
    <s v="MPH"/>
    <d v="1972-12-26T00:00:00"/>
    <s v="CHARACTERISTICS OF SKIPPED GENERATION HOUSEHOLDS AND HEALTH OF ADOLESCENTS IN IFE-IJESA ZONE, OSUN STATE, NIGERIA."/>
    <s v="Field"/>
    <s v="No"/>
    <s v="Primary"/>
    <n v="15.5"/>
    <d v="2014-08-11T00:00:00"/>
    <d v="2016-03-01T00:00:00"/>
    <m/>
    <s v="Prof. Adesegun O. Fatusi"/>
    <s v="Dr. Olapeju A. Esimai"/>
    <m/>
    <n v="2"/>
    <s v="Home"/>
    <s v="Home"/>
    <m/>
    <s v="No"/>
    <s v="Yes"/>
    <m/>
    <s v="Academic"/>
    <s v="Senior Lecturer"/>
    <s v="Professor "/>
    <s v="Yes"/>
    <m/>
    <s v="OBAFEMI AWOLOWO UNIVERSITY"/>
    <s v="0000-0002-4838-0431"/>
    <m/>
    <d v="2016-02-28T00:00:00"/>
    <d v="2016-11-07T00:00:00"/>
    <s v="Yes"/>
    <d v="2017-11-30T00:00:00"/>
    <d v="2018-01-30T00:00:00"/>
    <d v="2018-01-30T00:00:00"/>
    <m/>
    <m/>
    <s v="Characteristics of skipped generation houseolds and health of adolescents in Ife-Ijesa Nigeria: Implications for grandparents and adolescent Health"/>
    <d v="2018-07-28T00:00:00"/>
    <s v="Yes"/>
    <d v="2019-03-04T00:00:00"/>
    <s v="Yes"/>
    <m/>
    <m/>
    <m/>
    <d v="2019-12-14T00:00:00"/>
    <x v="0"/>
    <n v="46"/>
    <n v="38"/>
    <m/>
    <n v="11"/>
    <n v="7"/>
    <n v="5"/>
    <n v="0"/>
    <n v="1"/>
    <n v="0"/>
    <n v="0"/>
    <s v="No"/>
    <n v="0"/>
    <m/>
    <m/>
    <m/>
    <m/>
    <s v="No"/>
    <m/>
    <m/>
    <n v="3"/>
    <n v="3"/>
    <m/>
    <s v="WT-DELTAS"/>
  </r>
  <r>
    <n v="139"/>
    <s v="C6/017"/>
    <s v="Marie Chantal"/>
    <m/>
    <s v="Uwimana"/>
    <x v="1"/>
    <x v="5"/>
    <s v="Rwanda"/>
    <s v="University of Rwanda"/>
    <s v="Midwifery"/>
    <s v="Nursing Education"/>
    <s v="University of the Witwatersrand"/>
    <s v="No"/>
    <n v="1586122"/>
    <s v="Married"/>
    <s v="Married"/>
    <s v="Married"/>
    <s v="muwimana@cartafrica.org"/>
    <s v="uwimac@yahoo.fr"/>
    <s v="+250(0) 788 527 435"/>
    <s v="Master of Nursing Management"/>
    <d v="1974-04-05T00:00:00"/>
    <s v="DEVELOPING AND PILOT TESTING OF A LABOUR SUPPORT INTERVENTION BY NURSES AND MIDWIVES AT PUBLIC HEALTH FACILITIES IN RWANDA"/>
    <s v="Clinical research"/>
    <s v="No"/>
    <s v="Primary"/>
    <n v="36"/>
    <d v="2017-02-16T00:00:00"/>
    <d v="2016-03-01T00:00:00"/>
    <m/>
    <s v="Dr. Gorrette Nalwadda K"/>
    <s v="Prof. Nazarius Mbona T"/>
    <m/>
    <n v="2"/>
    <s v="Other "/>
    <s v="Other"/>
    <m/>
    <s v="No"/>
    <s v="Yes"/>
    <m/>
    <s v="Academic"/>
    <s v="Head of Midwifery"/>
    <s v="Senior Lecturer"/>
    <s v="Yes"/>
    <m/>
    <s v="UNIVERSITY OF RWANDA"/>
    <s v="0000-0001-6105-2611"/>
    <m/>
    <d v="2016-02-28T00:00:00"/>
    <d v="2016-11-07T00:00:00"/>
    <s v="Yes"/>
    <d v="2017-09-15T00:00:00"/>
    <d v="2018-03-15T00:00:00"/>
    <m/>
    <m/>
    <m/>
    <m/>
    <d v="2019-07-29T00:00:00"/>
    <s v="No"/>
    <d v="2020-03-01T00:00:00"/>
    <s v="No"/>
    <m/>
    <m/>
    <m/>
    <d v="2020-08-24T00:00:00"/>
    <x v="0"/>
    <n v="54"/>
    <n v="46"/>
    <s v="Measuring the importance of labour support practice for mothers and nurses and midwives at public health facilities in Rwanda"/>
    <n v="0"/>
    <n v="1"/>
    <n v="1"/>
    <n v="1"/>
    <n v="0"/>
    <n v="0"/>
    <n v="0"/>
    <s v="No"/>
    <n v="0"/>
    <m/>
    <m/>
    <m/>
    <m/>
    <s v="No"/>
    <m/>
    <m/>
    <n v="2"/>
    <n v="2"/>
    <m/>
    <s v="SIDA"/>
  </r>
  <r>
    <n v="140"/>
    <s v="C6/018"/>
    <s v="Mary"/>
    <s v="Wanjira"/>
    <s v="Njue-Kamau"/>
    <x v="1"/>
    <x v="5"/>
    <s v="Kenya"/>
    <s v="University of Nairobi"/>
    <s v="Community Health"/>
    <s v="COMMUNITY HEALTH NURSING"/>
    <s v="University of Nairobi"/>
    <s v="Yes"/>
    <s v="H80/50154/2015"/>
    <s v="Married"/>
    <s v="Married"/>
    <s v="Married"/>
    <s v="mwanjira@cartafrica.org"/>
    <s v="mwkamau@gmail.com"/>
    <s v="+254 727 736810"/>
    <s v="Msc. Public Health"/>
    <d v="1975-08-20T00:00:00"/>
    <s v="Iron and Folic Acid Supplementation (IFAS) among pregnant women: A community based approach in Kiambu County"/>
    <s v="Field"/>
    <s v="No"/>
    <s v="Primary"/>
    <n v="23.5"/>
    <d v="2015-09-25T00:00:00"/>
    <d v="2016-03-01T00:00:00"/>
    <m/>
    <s v="Dr. Waithira Mirie"/>
    <s v="Dr. Samuel T. Kimani  "/>
    <m/>
    <n v="2"/>
    <s v="Home"/>
    <s v="Home"/>
    <m/>
    <s v="Yes"/>
    <m/>
    <m/>
    <s v="Academic"/>
    <s v="Lecturer"/>
    <s v="Senior Lecturer"/>
    <s v="Yes"/>
    <m/>
    <s v="UNIVERSITY OF NAIROBI"/>
    <s v=" 0000-0002-4167-3549"/>
    <m/>
    <d v="2016-02-28T00:00:00"/>
    <d v="2016-11-07T00:00:00"/>
    <s v="Yes"/>
    <d v="2015-08-12T00:00:00"/>
    <d v="2015-09-02T00:00:00"/>
    <m/>
    <m/>
    <m/>
    <s v="Iron and folic acid supplementation (IFAS) among pregnant women: A community based approach in Kiambu County"/>
    <d v="2018-07-28T00:00:00"/>
    <s v="Yes"/>
    <d v="2019-03-04T00:00:00"/>
    <s v="Yes"/>
    <m/>
    <m/>
    <m/>
    <d v="2019-12-20T00:00:00"/>
    <x v="0"/>
    <n v="46"/>
    <n v="38"/>
    <m/>
    <n v="11"/>
    <n v="3"/>
    <n v="5"/>
    <n v="2"/>
    <n v="0"/>
    <n v="0"/>
    <n v="0"/>
    <s v="No"/>
    <n v="0"/>
    <m/>
    <m/>
    <m/>
    <m/>
    <s v="No"/>
    <m/>
    <m/>
    <n v="3"/>
    <n v="3"/>
    <m/>
    <s v="SIDA"/>
  </r>
  <r>
    <n v="141"/>
    <s v="C6/019"/>
    <s v="Makhosazane"/>
    <s v="Nomhle"/>
    <s v="Khoza"/>
    <x v="1"/>
    <x v="5"/>
    <s v="South Africa"/>
    <s v="University of the Witwatersrand"/>
    <s v="Clinical Medicine"/>
    <s v="Wits Reproductive Health &amp; HIV Institute"/>
    <s v="University of the Witwatersrand"/>
    <s v="Yes"/>
    <n v="781183"/>
    <s v="Married"/>
    <s v="Married"/>
    <s v="Married"/>
    <s v="nkhoza@cartafrica.org"/>
    <s v="nomhle@tuks.co.za; u21128716@tuks.co.za"/>
    <s v="+27765125071"/>
    <s v="MA Research Psychology"/>
    <d v="1983-06-04T00:00:00"/>
    <s v="The use of cash transfers for cash outcomes: exploring the influence of gender"/>
    <s v="Field"/>
    <s v="No"/>
    <s v="Primary"/>
    <n v="28"/>
    <d v="2015-02-01T00:00:00"/>
    <d v="2016-03-01T00:00:00"/>
    <m/>
    <s v="Catherine MacPhail"/>
    <s v="Prof. Delany-Moretlwe"/>
    <m/>
    <n v="2"/>
    <s v="Other "/>
    <s v="Other"/>
    <m/>
    <s v="No"/>
    <s v="No"/>
    <m/>
    <s v="Researcher"/>
    <s v="Honorary Researcher"/>
    <s v="Researcher"/>
    <m/>
    <m/>
    <s v="UNIVERSITY OF THE WITWATERSRAND"/>
    <s v="0000-0003-1312-7783"/>
    <m/>
    <d v="2016-02-28T00:00:00"/>
    <d v="2016-11-07T00:00:00"/>
    <s v="Yes"/>
    <m/>
    <m/>
    <m/>
    <m/>
    <m/>
    <s v="The social consequences of cash transfers on adolescent recipients and their relationships"/>
    <d v="2018-07-28T00:00:00"/>
    <s v="Yes"/>
    <d v="2019-03-04T00:00:00"/>
    <s v="Yes"/>
    <d v="2022-04-29T00:00:00"/>
    <m/>
    <m/>
    <d v="2022-06-06T00:00:00"/>
    <x v="0"/>
    <n v="76"/>
    <n v="67"/>
    <s v="Exploring the social consequences of cash transfers on adolescent recipients and their relationships"/>
    <n v="0"/>
    <n v="18"/>
    <n v="0"/>
    <n v="1"/>
    <n v="0"/>
    <n v="0"/>
    <n v="0"/>
    <s v="No"/>
    <n v="0"/>
    <m/>
    <m/>
    <m/>
    <m/>
    <s v="No"/>
    <m/>
    <m/>
    <n v="3"/>
    <n v="3"/>
    <m/>
    <s v="SIDA"/>
  </r>
  <r>
    <n v="142"/>
    <s v="C6/020"/>
    <s v="Aanuoluwapo"/>
    <s v="Omobolanle"/>
    <s v="Olajubu"/>
    <x v="1"/>
    <x v="5"/>
    <s v="Nigeria"/>
    <s v="Obafemi Awolowo University"/>
    <s v="Nursing"/>
    <s v="Nursing Science"/>
    <s v="Obafemi Awolowo University"/>
    <s v="Yes"/>
    <s v="Bmsp13/14/H/0861"/>
    <s v="Married"/>
    <s v="Married"/>
    <m/>
    <s v="oolajubu@cartafrica.org"/>
    <s v="bolajubu@gmail.com"/>
    <s v="+234 8062784468"/>
    <s v="M.Sc Community Health"/>
    <d v="1980-11-25T00:00:00"/>
    <s v="Impact of a Mobile Health Intervention on Uptake of Postnatal Care Services and Related Outcomes among Mothers in Osun State, Nigeria"/>
    <s v="Field"/>
    <s v="No"/>
    <s v="Primary"/>
    <n v="19"/>
    <d v="2014-09-26T00:00:00"/>
    <d v="2016-03-01T00:00:00"/>
    <m/>
    <s v="Prof. R. B. Fajemilehin"/>
    <s v="Prof. B. S. Afolabi"/>
    <m/>
    <n v="2"/>
    <s v="Home"/>
    <m/>
    <m/>
    <s v="Yes"/>
    <m/>
    <m/>
    <s v="Academic"/>
    <s v="Lecturer"/>
    <s v="Professor"/>
    <s v="Yes"/>
    <m/>
    <s v="OBAFEMI AWOLOWO UNIVERSITY"/>
    <s v="0000-0001-9617-8660"/>
    <m/>
    <d v="2016-02-28T00:00:00"/>
    <d v="2016-11-07T00:00:00"/>
    <s v="Yes"/>
    <m/>
    <m/>
    <m/>
    <m/>
    <m/>
    <s v="Impact Of A Mobile Health Intervention On Uptake Of Postnatal Care Services And Related Outcomes Among Mothers In Osun State, Nigeria."/>
    <d v="2018-07-28T00:00:00"/>
    <s v="Yes"/>
    <d v="2021-08-02T00:00:00"/>
    <s v="No"/>
    <m/>
    <m/>
    <m/>
    <d v="2018-06-30T00:00:00"/>
    <x v="0"/>
    <n v="29"/>
    <n v="20"/>
    <m/>
    <n v="2"/>
    <n v="1"/>
    <n v="8"/>
    <n v="3"/>
    <n v="0"/>
    <n v="0"/>
    <n v="0"/>
    <s v="No"/>
    <n v="0"/>
    <m/>
    <m/>
    <m/>
    <m/>
    <s v="No"/>
    <m/>
    <m/>
    <n v="1"/>
    <n v="1"/>
    <m/>
    <s v="SIDA"/>
  </r>
  <r>
    <n v="143"/>
    <s v="C6/021"/>
    <s v="Olivia"/>
    <s v="Millicent Awino"/>
    <s v="Osiro"/>
    <x v="1"/>
    <x v="5"/>
    <s v="Kenya"/>
    <s v="University of Nairobi"/>
    <s v="Restorative and Preventive dentistry"/>
    <s v="Conservative and Prosthetic Dentistry"/>
    <s v="University of Nairobi"/>
    <s v="Yes"/>
    <s v="V91/51081/2016"/>
    <s v="Married"/>
    <s v="Married"/>
    <s v="Married"/>
    <s v="oosiro@cartafrica.org"/>
    <s v="oaosiro@uonbi.ac.ke"/>
    <s v="+254 722 861488"/>
    <s v="M.Sc Dental Materials"/>
    <d v="1982-01-18T00:00:00"/>
    <s v="Development of a glass ionomer cement using fluorspar from Kerio Valley and other raw materials in Kenya"/>
    <s v="Experimental model"/>
    <s v="yes"/>
    <s v="Primary"/>
    <n v="17.5"/>
    <d v="2016-10-06T00:00:00"/>
    <d v="2016-03-01T00:00:00"/>
    <m/>
    <s v="Prof. David Kinuthia Kariuki"/>
    <s v="Dr. Elizabeth Dimba"/>
    <s v="Prof. Loice Gathece"/>
    <n v="3"/>
    <s v="Home"/>
    <s v="Home"/>
    <s v="Home"/>
    <s v="Yes"/>
    <s v="No"/>
    <s v="No"/>
    <s v="Academic"/>
    <s v="Lecturer"/>
    <s v="Senior Lecturer"/>
    <s v="Yes"/>
    <s v="Chairman of Department of Conservative and Prosthetic Dentistry  (Sep, 2020)"/>
    <s v="UNIVERSITY OF NAIROBI"/>
    <s v="0000-0002-0095-4694"/>
    <m/>
    <d v="2016-02-28T00:00:00"/>
    <d v="2016-11-07T00:00:00"/>
    <s v="Yes"/>
    <d v="2016-10-10T00:00:00"/>
    <d v="2016-06-27T00:00:00"/>
    <m/>
    <m/>
    <m/>
    <s v="Development of a prototype for a restorative dental cement in Kenya"/>
    <d v="2018-07-28T00:00:00"/>
    <s v="Yes"/>
    <d v="2019-03-04T00:00:00"/>
    <s v="Yes"/>
    <m/>
    <m/>
    <m/>
    <d v="2019-11-20T00:00:00"/>
    <x v="0"/>
    <n v="45"/>
    <n v="37"/>
    <m/>
    <n v="2"/>
    <n v="2"/>
    <n v="2"/>
    <n v="4"/>
    <n v="0"/>
    <n v="0"/>
    <n v="0"/>
    <s v="JAS 1, 2016"/>
    <n v="0"/>
    <m/>
    <m/>
    <m/>
    <m/>
    <s v="No"/>
    <m/>
    <m/>
    <n v="2"/>
    <n v="2"/>
    <m/>
    <s v="SIDA/DAAD"/>
  </r>
  <r>
    <n v="144"/>
    <s v="C6/022"/>
    <s v="Olutoyin"/>
    <s v="Olubunmi"/>
    <s v="Sekoni"/>
    <x v="1"/>
    <x v="5"/>
    <s v="Nigeria"/>
    <s v="University of Ibadan"/>
    <s v="Public Health"/>
    <m/>
    <s v="University of the Witwatersrand"/>
    <s v="No"/>
    <s v="Not yet available"/>
    <s v="Married"/>
    <s v="Married"/>
    <m/>
    <s v="osekoni@cartafrica.org"/>
    <s v="t1toyin@yahoo.com"/>
    <s v="+234-803-357-9048"/>
    <s v="MPH"/>
    <d v="1972-09-18T00:00:00"/>
    <s v="Structural factors associated with sexual risk behaviour among Out-of-School adolescents in an Urban slum in South West Nigeria"/>
    <s v="Field"/>
    <s v="No"/>
    <s v="Primary"/>
    <n v="4"/>
    <d v="2017-06-05T00:00:00"/>
    <d v="2016-03-01T00:00:00"/>
    <m/>
    <s v="Prof. Christofides Nicola"/>
    <s v="Prof. Mall Sumaya"/>
    <m/>
    <n v="2"/>
    <m/>
    <m/>
    <m/>
    <m/>
    <m/>
    <m/>
    <s v="Academic"/>
    <s v="Lecturer 1"/>
    <s v="Lecturer"/>
    <s v="Yes"/>
    <m/>
    <s v="UNIVERSITY OF IBADAN"/>
    <s v="0000-0001-6993-1100"/>
    <m/>
    <d v="2016-02-28T00:00:00"/>
    <d v="2016-11-07T00:00:00"/>
    <s v="Yes"/>
    <d v="2017-11-30T00:00:00"/>
    <d v="2018-02-07T00:00:00"/>
    <m/>
    <m/>
    <m/>
    <m/>
    <d v="2019-07-29T00:00:00"/>
    <s v="No"/>
    <m/>
    <s v="No"/>
    <m/>
    <m/>
    <m/>
    <d v="2023-06-28T00:00:00"/>
    <x v="0"/>
    <n v="89"/>
    <n v="80"/>
    <m/>
    <n v="3"/>
    <n v="9"/>
    <n v="0"/>
    <n v="2"/>
    <n v="0"/>
    <n v="0"/>
    <n v="0"/>
    <s v="No"/>
    <n v="0"/>
    <m/>
    <m/>
    <m/>
    <m/>
    <s v="No"/>
    <m/>
    <m/>
    <n v="2"/>
    <m/>
    <m/>
    <s v="SIDA"/>
  </r>
  <r>
    <n v="145"/>
    <s v="C6/023"/>
    <s v="Mpho"/>
    <s v="Primrose"/>
    <s v="Molete"/>
    <x v="1"/>
    <x v="5"/>
    <s v="South Africa"/>
    <s v="University of the Witwatersrand"/>
    <s v="Oral Health"/>
    <s v="Public Health"/>
    <s v="University of the Witwatersrand"/>
    <s v="Yes"/>
    <s v="9200430H"/>
    <s v="Married"/>
    <s v="Married"/>
    <s v="Married"/>
    <s v="pmpho@cartafrica.org"/>
    <s v="mpho.molete@wits.ac.za"/>
    <s v="0027 647523860"/>
    <s v="Master in Dentistry, M.Sc Dental Public health"/>
    <d v="1973-11-25T00:00:00"/>
    <s v="Extent of oral health service integration into the school health program in the Tshwane District."/>
    <s v="Field"/>
    <s v="No"/>
    <s v="Primary"/>
    <n v="12"/>
    <d v="2016-01-04T00:00:00"/>
    <d v="2016-03-01T00:00:00"/>
    <m/>
    <s v="Dr. Jude Igumbor"/>
    <s v="Prof. Aimee Stewart"/>
    <m/>
    <n v="2"/>
    <s v="Home"/>
    <s v="Home"/>
    <m/>
    <s v="Yes"/>
    <s v="Yes"/>
    <m/>
    <s v="Academic"/>
    <s v="Specialist in Community Dentistry"/>
    <s v="Senior Lecturer"/>
    <m/>
    <m/>
    <s v="UNIVERSITY OF THE WITWATERSRAND"/>
    <s v="0000-0001-9227-3927"/>
    <m/>
    <d v="2016-02-28T00:00:00"/>
    <d v="2016-11-07T00:00:00"/>
    <s v="Yes"/>
    <d v="2017-01-18T00:00:00"/>
    <d v="2017-01-27T00:00:00"/>
    <m/>
    <m/>
    <m/>
    <s v="Schoolbased oral health programmes in Tshwane District of Gauteng: Scope, implemntation and outcomes"/>
    <d v="2018-07-28T00:00:00"/>
    <s v="Yes"/>
    <d v="2019-03-04T00:00:00"/>
    <s v="Yes"/>
    <m/>
    <m/>
    <m/>
    <d v="2021-04-30T00:00:00"/>
    <x v="0"/>
    <n v="63"/>
    <n v="54"/>
    <s v="School-based oral health programmes in the Tshwane District of Gauteng: scope, implementation and outcomes.'"/>
    <n v="2"/>
    <n v="6"/>
    <n v="1"/>
    <n v="3"/>
    <n v="1"/>
    <n v="0"/>
    <n v="0"/>
    <s v="No"/>
    <n v="0"/>
    <m/>
    <m/>
    <m/>
    <m/>
    <s v="No"/>
    <m/>
    <m/>
    <n v="2"/>
    <n v="2"/>
    <m/>
    <s v="SIDA"/>
  </r>
  <r>
    <n v="146"/>
    <s v="C6/024"/>
    <s v="Tutu"/>
    <s v="Said"/>
    <s v="Mzee"/>
    <x v="1"/>
    <x v="5"/>
    <s v="Tanzania"/>
    <s v="Ifakara Health Institute"/>
    <s v="Molecular genetics"/>
    <s v="Molecular biology and biotechnology"/>
    <s v="University of Dar es Salaam"/>
    <s v="No"/>
    <s v="2016-07-00173"/>
    <s v="Married"/>
    <s v="Married"/>
    <m/>
    <s v="stutu@cartafrica.org"/>
    <s v="tmzee@ihi.or.tz"/>
    <s v="+255713869915"/>
    <s v="M.SC Biotechnology"/>
    <d v="1978-09-16T00:00:00"/>
    <s v="Molecular epidemiology of antibiotic resistant bacteria and their interaction mechanisms in human, livestock and environment.  "/>
    <s v="Experimental model"/>
    <s v="yes"/>
    <s v="Primary"/>
    <n v="36"/>
    <d v="2016-10-20T00:00:00"/>
    <d v="2016-03-01T00:00:00"/>
    <m/>
    <s v="Dr. Rose J Masalu"/>
    <m/>
    <m/>
    <n v="1"/>
    <s v="Host"/>
    <m/>
    <m/>
    <s v="No"/>
    <m/>
    <m/>
    <s v="Researcher"/>
    <s v="Quality Assurance Officer"/>
    <s v="Research Scientist"/>
    <m/>
    <m/>
    <s v="IFAKARA HEALTH INSTITUTE"/>
    <s v="0000-0002-5918-0574"/>
    <m/>
    <d v="2016-02-28T00:00:00"/>
    <d v="2016-11-07T00:00:00"/>
    <s v="Yes"/>
    <d v="2017-04-13T00:00:00"/>
    <d v="2017-07-20T00:00:00"/>
    <m/>
    <m/>
    <m/>
    <s v="Molecular epidemiology of Antibiotic resistant S.aureaus in Livestock and their human contacts"/>
    <d v="2018-07-28T00:00:00"/>
    <s v="Yes"/>
    <d v="2019-03-04T00:00:00"/>
    <s v="Yes"/>
    <m/>
    <m/>
    <m/>
    <d v="2024-05-31T00:00:00"/>
    <x v="0"/>
    <n v="100"/>
    <n v="91"/>
    <m/>
    <n v="2"/>
    <n v="1"/>
    <n v="0"/>
    <n v="0"/>
    <n v="0"/>
    <n v="0"/>
    <n v="0"/>
    <s v="JAS 1, 2016"/>
    <n v="0"/>
    <m/>
    <m/>
    <m/>
    <m/>
    <s v="No"/>
    <m/>
    <m/>
    <m/>
    <m/>
    <m/>
    <s v="WT-DELTAS"/>
  </r>
  <r>
    <n v="147"/>
    <s v="C6/025"/>
    <s v="Edwin"/>
    <s v="Kipkosgei"/>
    <s v="Cheruiyot Sang"/>
    <x v="0"/>
    <x v="5"/>
    <s v="Kenya"/>
    <s v="Moi University"/>
    <s v="BIOSTATISTICS"/>
    <s v="Public and Population Health"/>
    <s v="University of the Witwatersrand"/>
    <s v="No"/>
    <s v="NF"/>
    <s v="NF"/>
    <s v="NF"/>
    <s v="NF"/>
    <s v="esang@cartafrica.org"/>
    <s v="edwin.ampath@gmail.com"/>
    <s v="+254711531441"/>
    <m/>
    <m/>
    <m/>
    <m/>
    <m/>
    <m/>
    <m/>
    <m/>
    <d v="2017-03-01T00:00:00"/>
    <d v="2018-08-30T00:00:00"/>
    <m/>
    <m/>
    <m/>
    <n v="0"/>
    <m/>
    <m/>
    <m/>
    <m/>
    <m/>
    <m/>
    <m/>
    <m/>
    <m/>
    <m/>
    <m/>
    <s v="MOI UNIVERSITY"/>
    <m/>
    <m/>
    <d v="2016-02-28T00:00:00"/>
    <m/>
    <m/>
    <m/>
    <m/>
    <m/>
    <m/>
    <m/>
    <m/>
    <m/>
    <m/>
    <m/>
    <m/>
    <m/>
    <m/>
    <m/>
    <m/>
    <x v="1"/>
    <s v="Terminated"/>
    <m/>
    <m/>
    <m/>
    <m/>
    <m/>
    <m/>
    <m/>
    <m/>
    <m/>
    <s v="No"/>
    <m/>
    <m/>
    <m/>
    <m/>
    <m/>
    <m/>
    <m/>
    <m/>
    <m/>
    <m/>
    <m/>
    <s v="WT-DELTAS"/>
  </r>
  <r>
    <n v="148"/>
    <s v="C7/001"/>
    <s v="Abigail"/>
    <s v="Ruth"/>
    <s v="Dreyer"/>
    <x v="1"/>
    <x v="6"/>
    <s v="South Africa"/>
    <s v="University of the Witwatersrand"/>
    <s v="Medical Education"/>
    <s v="School of Public Health"/>
    <s v="University of the Witwatersrand"/>
    <s v="Yes"/>
    <n v="530939"/>
    <s v="Single"/>
    <s v="Single"/>
    <s v="Single"/>
    <s v="adreyer@cartafrica.org"/>
    <s v="abigaildreyer@gmail.com"/>
    <s v="+27 116152976"/>
    <s v="Masters of Public Health"/>
    <d v="1974-09-16T00:00:00"/>
    <s v="Comparative analysis of decentralised training platforms in undergraduate medical education at four South African universities"/>
    <s v="Field"/>
    <s v="No"/>
    <m/>
    <n v="3.5"/>
    <d v="2016-09-01T00:00:00"/>
    <d v="2017-03-01T00:00:00"/>
    <m/>
    <s v="Prof. Laetitia Rispel  "/>
    <m/>
    <m/>
    <n v="1"/>
    <s v="Home"/>
    <m/>
    <m/>
    <s v="Yes"/>
    <m/>
    <m/>
    <s v="Academic"/>
    <s v="Lecturer"/>
    <s v="Lecturer"/>
    <s v="Yes"/>
    <s v="Head of Learning, Influence and Networking at PATA"/>
    <s v="PATA Cape Town"/>
    <s v="0000-0002-0499-0094"/>
    <m/>
    <d v="2017-02-27T00:00:00"/>
    <d v="2017-11-06T00:00:00"/>
    <s v="Yes"/>
    <m/>
    <m/>
    <d v="2017-07-28T00:00:00"/>
    <m/>
    <m/>
    <s v="A comparative study of decentralized training platforms in undergraduate medical education at four South African Universities"/>
    <d v="2019-07-29T00:00:00"/>
    <s v="Yes"/>
    <d v="2021-08-02T00:00:00"/>
    <s v="No"/>
    <m/>
    <m/>
    <m/>
    <d v="2025-07-14T00:00:00"/>
    <x v="0"/>
    <n v="101"/>
    <n v="93"/>
    <s v="A comparative study of decentralised training platforms in undergraduate medical education at four South African universities"/>
    <n v="2"/>
    <n v="3"/>
    <m/>
    <m/>
    <m/>
    <m/>
    <m/>
    <s v="No"/>
    <s v="No"/>
    <m/>
    <m/>
    <m/>
    <m/>
    <s v="No"/>
    <m/>
    <m/>
    <n v="1"/>
    <m/>
    <m/>
    <s v="WT-DELTAS"/>
  </r>
  <r>
    <n v="149"/>
    <s v="C7/002"/>
    <s v="Alexander"/>
    <s v="-"/>
    <s v="Kagaha"/>
    <x v="0"/>
    <x v="6"/>
    <s v="Uganda"/>
    <s v="Makerere University"/>
    <s v="Sociology"/>
    <s v="Sociology and Social Anthropology"/>
    <s v="University of the Witwatersrand"/>
    <s v="No"/>
    <n v="1834444"/>
    <s v="Single"/>
    <s v="Single"/>
    <s v="Single"/>
    <s v="akagaha@cartafrica.org"/>
    <s v="akagaha@gmail.com"/>
    <s v="+256772419211"/>
    <s v="MA Sociology; Msc. Development Management"/>
    <d v="1978-07-22T00:00:00"/>
    <s v="The Power Discourse in Health Services Uptake: A case of Maternal and Child Health services uptake in Eastern Uganda"/>
    <s v="Field"/>
    <s v="No"/>
    <m/>
    <m/>
    <d v="2017-06-03T00:00:00"/>
    <d v="2017-03-01T00:00:00"/>
    <m/>
    <s v="Prof. Eleanor Manderson"/>
    <m/>
    <m/>
    <n v="1"/>
    <s v="Host"/>
    <m/>
    <m/>
    <s v="No"/>
    <m/>
    <m/>
    <s v="Academic"/>
    <s v="Assistant Lecturer "/>
    <s v="Assistant Lecturer"/>
    <m/>
    <m/>
    <s v="MAKERERE UNIVERSITY"/>
    <s v="0000-0002-7787-8597"/>
    <m/>
    <d v="2017-02-27T00:00:00"/>
    <d v="2017-11-06T00:00:00"/>
    <s v="Yes"/>
    <d v="2018-05-04T00:00:00"/>
    <d v="2018-05-02T00:00:00"/>
    <m/>
    <m/>
    <m/>
    <s v="Policy and Practice of Abortion Care in Eastern Uganda"/>
    <d v="2019-07-29T00:00:00"/>
    <s v="Yes"/>
    <d v="2020-03-01T00:00:00"/>
    <s v="Yes"/>
    <m/>
    <m/>
    <m/>
    <d v="2021-05-21T00:00:00"/>
    <x v="0"/>
    <n v="51"/>
    <n v="43"/>
    <s v="Policy and Practice of Abortion care in Eastern Uganda"/>
    <n v="1"/>
    <n v="2"/>
    <n v="2"/>
    <m/>
    <m/>
    <m/>
    <m/>
    <s v="No"/>
    <s v="Yes"/>
    <s v="PhD Research and dissertation writing "/>
    <d v="2017-04-05T00:00:00"/>
    <d v="2020-05-31T00:00:00"/>
    <n v="37"/>
    <s v="No"/>
    <m/>
    <m/>
    <n v="0"/>
    <n v="0"/>
    <m/>
    <s v="WT-DELTAS"/>
  </r>
  <r>
    <n v="150"/>
    <s v="C7/003"/>
    <s v="Abiola"/>
    <s v="Olubusola"/>
    <s v="Komolafe"/>
    <x v="1"/>
    <x v="6"/>
    <s v="Nigeria"/>
    <s v="Obafemi Awolowo University"/>
    <s v="Nursing"/>
    <s v="Department of Nursing Science"/>
    <s v="Obafemi Awolowo University"/>
    <s v="Yes"/>
    <s v="BMSP15/16/H/0919"/>
    <s v="Married"/>
    <s v="Married"/>
    <s v="Married"/>
    <s v="akomolafe@cartafrica.org"/>
    <s v="abiolakomolafe2016@gmail.com"/>
    <s v="XESC"/>
    <s v="MSc. (Nursing), OAU"/>
    <d v="1973-06-08T00:00:00"/>
    <s v="Digital Enabled Intervention for Improved Data Capture among Nurses in Perinatal Care in Selected Health Care Facilities in Osun State"/>
    <s v="Field"/>
    <s v="No"/>
    <m/>
    <m/>
    <d v="2016-03-29T00:00:00"/>
    <d v="2017-03-01T00:00:00"/>
    <m/>
    <s v="Prof. Irinoye Oladunni Omolola "/>
    <m/>
    <m/>
    <n v="1"/>
    <s v="Home"/>
    <m/>
    <m/>
    <s v="Yes"/>
    <m/>
    <m/>
    <s v="Researcher"/>
    <s v="Instructor"/>
    <s v="Lecturer"/>
    <m/>
    <m/>
    <s v="OBAFEMI AWOLOWO UNIVERSITY"/>
    <s v="0000-0002-2123-7782"/>
    <m/>
    <d v="2017-02-27T00:00:00"/>
    <d v="2017-11-06T00:00:00"/>
    <s v="Yes"/>
    <d v="2018-09-05T00:00:00"/>
    <d v="2018-09-10T00:00:00"/>
    <m/>
    <m/>
    <m/>
    <s v="Determinants of Implementation Success of Emergency Obstetric and Neonatal Care in Selected Health Facilities in Osun State, Nigeria"/>
    <d v="2019-07-29T00:00:00"/>
    <s v="Yes"/>
    <d v="2020-03-01T00:00:00"/>
    <s v="Yes"/>
    <m/>
    <m/>
    <m/>
    <d v="2019-12-14T00:00:00"/>
    <x v="0"/>
    <n v="34"/>
    <n v="26"/>
    <m/>
    <n v="0"/>
    <n v="1"/>
    <n v="2"/>
    <m/>
    <m/>
    <m/>
    <m/>
    <s v="No"/>
    <s v="No"/>
    <m/>
    <m/>
    <m/>
    <m/>
    <s v="No"/>
    <m/>
    <m/>
    <n v="3"/>
    <n v="3"/>
    <m/>
    <s v="WT-DELTAS"/>
  </r>
  <r>
    <n v="151"/>
    <s v="C7/004"/>
    <s v="Blessings"/>
    <s v="Nyasilia Kaunda"/>
    <s v="Kaunda-Khangamwa"/>
    <x v="1"/>
    <x v="6"/>
    <s v="Malawi"/>
    <s v="University of Malawi"/>
    <s v="Medical Anthropology"/>
    <s v="Public and Population Health"/>
    <s v="University of the Witwatersrand"/>
    <s v="No"/>
    <n v="1487823"/>
    <s v="Married"/>
    <s v="Married"/>
    <s v="Married"/>
    <s v="bkaunda@cartafrica.org"/>
    <s v="b.n.kaunda@gmail.com"/>
    <s v="+ 265 888 554052"/>
    <s v="Master of Science in Medical Anthropology"/>
    <d v="1982-06-03T00:00:00"/>
    <s v="Sexuality and reproductive health needs of adolescents living with HIV in Malawi: An anthropological study of teen club members and non-members"/>
    <s v="Field"/>
    <s v="No"/>
    <m/>
    <n v="18"/>
    <d v="2017-04-30T00:00:00"/>
    <d v="2017-03-01T00:00:00"/>
    <m/>
    <s v="Prof. Eleanor Manderson"/>
    <s v="Prof. Munthali, Alister"/>
    <s v="Dr. Chipeta, Effie"/>
    <n v="3"/>
    <s v="Host"/>
    <m/>
    <m/>
    <s v="No"/>
    <m/>
    <m/>
    <s v="Researcher"/>
    <s v="Research Scientist"/>
    <s v="Research Fellow"/>
    <m/>
    <m/>
    <s v="UNIVERSITY OF MALAWI"/>
    <s v="0000-0001-7345-9427"/>
    <m/>
    <d v="2017-02-27T00:00:00"/>
    <d v="2017-11-06T00:00:00"/>
    <s v="Yes"/>
    <d v="2018-05-15T00:00:00"/>
    <d v="2018-08-17T00:00:00"/>
    <d v="2018-08-17T00:00:00"/>
    <m/>
    <m/>
    <s v="Sexual and reproductive health, service use and resilience among adolescents in urban Blantyre"/>
    <d v="2019-07-29T00:00:00"/>
    <s v="Yes"/>
    <d v="2020-03-01T00:00:00"/>
    <s v="Yes"/>
    <m/>
    <m/>
    <m/>
    <d v="2021-05-21T00:00:00"/>
    <x v="0"/>
    <n v="51"/>
    <n v="43"/>
    <s v="Sexual and reproductive health, service use and resilience among adolescents in urban Blantyre"/>
    <n v="1"/>
    <n v="9"/>
    <n v="2"/>
    <m/>
    <m/>
    <m/>
    <m/>
    <s v="No"/>
    <s v="Yes"/>
    <s v="I work as a research scientist in a research institution and they cannot afford to employ me while studying for the PhD."/>
    <d v="2019-07-01T00:00:00"/>
    <d v="2020-12-31T00:00:00"/>
    <n v="17"/>
    <s v="No"/>
    <m/>
    <m/>
    <n v="2"/>
    <n v="2"/>
    <m/>
    <s v="WT-DELTAS"/>
  </r>
  <r>
    <n v="152"/>
    <s v="C7/005"/>
    <s v="Celestin"/>
    <m/>
    <s v="Banamwana"/>
    <x v="0"/>
    <x v="6"/>
    <s v="Rwanda"/>
    <s v="University of Rwanda"/>
    <s v="Environmental Sciences"/>
    <s v="Environmental Studies"/>
    <s v="Makerere University"/>
    <s v="No"/>
    <m/>
    <s v="Married"/>
    <s v="Married"/>
    <m/>
    <s v="cbanamwana@cartafrica.org"/>
    <s v="banacele@yahoo.fr"/>
    <s v="+250785160088"/>
    <s v="Biodiversity Concervation Sciences"/>
    <d v="1982-12-11T00:00:00"/>
    <s v="The use of Ecological Sanitation (EcoSan) latrines towards sustainable economics in Rwanda "/>
    <s v="Field"/>
    <m/>
    <m/>
    <m/>
    <d v="2017-06-30T00:00:00"/>
    <d v="2017-03-01T00:00:00"/>
    <m/>
    <s v="Dr. David Musoke, PhD "/>
    <s v=" Assoc. Prof. Nazarius Mbona Tumwesigye"/>
    <s v="Assoc.Prof.Theoneste Ntakirutimana"/>
    <n v="3"/>
    <s v="Host"/>
    <m/>
    <m/>
    <s v="Yes"/>
    <m/>
    <m/>
    <s v="Academic"/>
    <s v="Assistant Lecturer"/>
    <s v="Senior Lecturer"/>
    <s v="Yes"/>
    <m/>
    <s v="UNIVERSITY OF RWANDA"/>
    <s v="0000-0002-2817-2926 "/>
    <m/>
    <d v="2017-02-27T00:00:00"/>
    <d v="2017-11-06T00:00:00"/>
    <s v="Yes"/>
    <d v="2018-07-09T00:00:00"/>
    <d v="2018-12-13T00:00:00"/>
    <m/>
    <m/>
    <m/>
    <s v="Ecological sanitation technology uptake and health risks among users of its products in Burera District, Rwanda"/>
    <d v="2021-01-11T00:00:00"/>
    <s v="No"/>
    <d v="2021-08-02T00:00:00"/>
    <s v="No"/>
    <m/>
    <m/>
    <m/>
    <d v="2023-12-13T00:00:00"/>
    <x v="0"/>
    <m/>
    <n v="74"/>
    <m/>
    <m/>
    <m/>
    <m/>
    <m/>
    <m/>
    <m/>
    <m/>
    <s v="No"/>
    <m/>
    <m/>
    <m/>
    <m/>
    <m/>
    <m/>
    <m/>
    <m/>
    <n v="3"/>
    <m/>
    <m/>
    <s v="WT-DELTAS/DAAD"/>
  </r>
  <r>
    <n v="153"/>
    <s v="C7/006"/>
    <s v="Catherine"/>
    <s v="Mawia"/>
    <s v="Musyoka"/>
    <x v="1"/>
    <x v="6"/>
    <s v="Kenya"/>
    <s v="University of Nairobi"/>
    <s v="Clinical Psychology"/>
    <s v="Department of Psychiatry"/>
    <s v="University of Nairobi"/>
    <s v="Yes"/>
    <n v="10127492016"/>
    <s v="Married"/>
    <s v="Married"/>
    <s v="Married"/>
    <s v="cmusyoka@cartafrica.org"/>
    <s v="camulundu2011@gmail.com"/>
    <s v="+254 721 723514, +254 720 326 306"/>
    <s v="Master of Science Clinical Psychology"/>
    <d v="1972-09-28T00:00:00"/>
    <s v="Evaluating the Effectiveness of Peer Mentorship Programs in the Prevention of Alcohol and Drug Abuse among Students at the University of Nairobi"/>
    <s v="Field"/>
    <s v="No"/>
    <m/>
    <n v="21"/>
    <d v="2017-09-04T00:00:00"/>
    <d v="2017-03-01T00:00:00"/>
    <m/>
    <s v="Dr. Muthoni Mathai"/>
    <s v="Dr William Byansi"/>
    <s v="Dr Thomas Crea"/>
    <n v="3"/>
    <s v="Home"/>
    <m/>
    <m/>
    <s v="Yes"/>
    <m/>
    <m/>
    <s v="Other"/>
    <s v="Clinical Psychologist"/>
    <s v="Clinical Psychologist &amp; ADAP Program Coordinator"/>
    <m/>
    <m/>
    <s v="UNIVERSITY OF NAIROBI"/>
    <s v="0000-0001-6669-9860"/>
    <m/>
    <d v="2017-02-27T00:00:00"/>
    <d v="2017-11-06T00:00:00"/>
    <s v="Yes"/>
    <d v="2018-02-09T00:00:00"/>
    <d v="2018-05-31T00:00:00"/>
    <m/>
    <m/>
    <m/>
    <s v="Prevention of Alcohol and Substance Abuse: mHealth Technology Based Peer Mentoring Among University of Nairobi Students"/>
    <d v="2019-07-29T00:00:00"/>
    <s v="Yes"/>
    <d v="2020-03-01T00:00:00"/>
    <s v="Yes"/>
    <d v="2021-03-05T00:00:00"/>
    <d v="2021-09-29T00:00:00"/>
    <m/>
    <d v="2021-09-29T00:00:00"/>
    <x v="0"/>
    <n v="56"/>
    <n v="47"/>
    <m/>
    <n v="0"/>
    <n v="2"/>
    <n v="0"/>
    <m/>
    <m/>
    <m/>
    <m/>
    <s v="No"/>
    <s v="No"/>
    <m/>
    <m/>
    <m/>
    <m/>
    <s v="No"/>
    <m/>
    <m/>
    <n v="5"/>
    <n v="5"/>
    <m/>
    <s v="WT-DELTAS/DAAD"/>
  </r>
  <r>
    <n v="154"/>
    <s v="C7/007"/>
    <s v="Eniola"/>
    <s v="Olubukola"/>
    <s v="Cadmus"/>
    <x v="1"/>
    <x v="6"/>
    <s v="Nigeria"/>
    <s v="University of Ibadan"/>
    <s v="Public Health"/>
    <s v="Community Medicine"/>
    <s v="University of Ibadan"/>
    <s v="Yes"/>
    <n v="1706"/>
    <s v="Married"/>
    <s v="Married"/>
    <s v="Married"/>
    <s v="colubukola@cartafrica.org"/>
    <s v="eniyolacadmus@gmail.com"/>
    <s v="+234802360510"/>
    <m/>
    <d v="1976-06-17T00:00:00"/>
    <s v="Feasibility and preferences of older persons in Oyo State Nigeria regarding ageing in place: A Rural-Urban Comparison"/>
    <s v="Field"/>
    <m/>
    <m/>
    <n v="30.5"/>
    <d v="2017-09-21T00:00:00"/>
    <d v="2017-03-01T00:00:00"/>
    <m/>
    <s v="Prof. Eme Owoaje Theodara"/>
    <s v="Dr Adebusoye Adekunle Lawrence"/>
    <m/>
    <n v="2"/>
    <s v="Home"/>
    <m/>
    <m/>
    <s v="Yes"/>
    <m/>
    <m/>
    <s v="Academic"/>
    <m/>
    <s v="Senior Lecturer"/>
    <s v="Yes"/>
    <m/>
    <s v="UNIVERSITY OF IBADAN"/>
    <s v="0000-0002-0201-1462"/>
    <m/>
    <d v="2017-02-27T00:00:00"/>
    <d v="2017-11-06T00:00:00"/>
    <s v="Yes"/>
    <m/>
    <m/>
    <m/>
    <m/>
    <m/>
    <s v="An exploration of models for community care and desire to Age in Place among older persons in Oyo State, South Western Nigeria"/>
    <d v="2019-07-29T00:00:00"/>
    <s v="Yes"/>
    <d v="2020-03-01T00:00:00"/>
    <s v="Yes"/>
    <m/>
    <d v="2021-08-27T00:00:00"/>
    <d v="2021-09-13T00:00:00"/>
    <d v="2021-09-13T00:00:00"/>
    <x v="0"/>
    <n v="55"/>
    <n v="47"/>
    <s v="Unmet Needs for Informal Support and Their Health Implications for Older Adults in Oyo State, Nigeria"/>
    <n v="7"/>
    <n v="9"/>
    <n v="4"/>
    <m/>
    <m/>
    <m/>
    <m/>
    <s v="No"/>
    <m/>
    <m/>
    <d v="2020-09-04T00:00:00"/>
    <d v="2021-03-01T00:00:00"/>
    <n v="6"/>
    <m/>
    <m/>
    <m/>
    <n v="4"/>
    <n v="4"/>
    <m/>
    <s v="WT-DELTAS"/>
  </r>
  <r>
    <n v="155"/>
    <s v="C7/008"/>
    <s v="Wanangwa"/>
    <s v="Chimwaza"/>
    <s v="Manda"/>
    <x v="1"/>
    <x v="6"/>
    <s v="Malawi"/>
    <s v="University of Malawi"/>
    <s v="Public Health"/>
    <s v="Public Health"/>
    <s v="University of the Witwatersrand"/>
    <s v="No"/>
    <n v="1746377"/>
    <s v="Married"/>
    <s v="Married"/>
    <m/>
    <s v="wmanda@cartafrica.org"/>
    <s v="wchimwaza@medcol.mw"/>
    <s v="+265999445465"/>
    <s v="Master of Public Health"/>
    <d v="1981-08-18T00:00:00"/>
    <s v="Lived Experiences of Couple Adopters of Modern Contraceptive Methods: Husbands’ Perspectives"/>
    <s v="Field"/>
    <s v="No"/>
    <m/>
    <n v="20"/>
    <d v="2017-08-31T00:00:00"/>
    <d v="2017-03-01T00:00:00"/>
    <m/>
    <s v="Associate Professor Yandisa Sikweyiya"/>
    <s v="Associate Professor Mphatso Kamndaya"/>
    <m/>
    <n v="2"/>
    <s v="Home"/>
    <m/>
    <m/>
    <s v="Yes"/>
    <m/>
    <m/>
    <s v="Researcher"/>
    <s v="Research Coordinator"/>
    <s v="Research coordinator"/>
    <m/>
    <m/>
    <s v="UNIVERSITY OF MALAWI"/>
    <s v="0000-0001-8061-8457"/>
    <m/>
    <d v="2017-02-27T00:00:00"/>
    <d v="2017-11-06T00:00:00"/>
    <s v="Yes"/>
    <d v="2018-08-29T00:00:00"/>
    <d v="2018-11-06T00:00:00"/>
    <m/>
    <m/>
    <m/>
    <s v="Social Support and Sexual Health among Very Young adolescent girls in two Districts in Malawi: A Narrative Inquiry"/>
    <d v="2019-07-29T00:00:00"/>
    <s v="Yes"/>
    <d v="2020-03-01T00:00:00"/>
    <s v="Yes"/>
    <m/>
    <m/>
    <m/>
    <d v="2023-11-18T00:00:00"/>
    <x v="0"/>
    <n v="81"/>
    <n v="73"/>
    <s v="Social support and sexual health among very young adolescent girls in two districts in Malawi: A narrative inquiry"/>
    <n v="1"/>
    <n v="0"/>
    <n v="0"/>
    <m/>
    <m/>
    <m/>
    <m/>
    <s v="JAS 1&amp;2, 2017"/>
    <s v="No"/>
    <m/>
    <m/>
    <m/>
    <m/>
    <s v="No"/>
    <m/>
    <m/>
    <n v="2"/>
    <m/>
    <m/>
    <s v="SIDA"/>
  </r>
  <r>
    <n v="156"/>
    <s v="C7/009"/>
    <s v="Madalitso"/>
    <s v="Enock"/>
    <s v="Chisati"/>
    <x v="0"/>
    <x v="6"/>
    <s v="Malawi"/>
    <s v="University of Malawi"/>
    <s v="Exercise Science"/>
    <s v="Physiotherapy"/>
    <s v="University of the Malawi"/>
    <s v="Yes"/>
    <s v="201580013286"/>
    <s v="Married"/>
    <s v="Married"/>
    <s v="Married"/>
    <s v="echisati@cartafrica.org"/>
    <s v="echisati@medcol.mw"/>
    <s v="+265888168284"/>
    <s v="MSc in Exercise Physiology and Sports Sciences"/>
    <d v="1976-06-05T00:00:00"/>
    <s v="Lipodystrophy and physical fitness surveillance of people living with HIV while on antiretroviral therapy in Malawi"/>
    <s v="Clinical research"/>
    <m/>
    <m/>
    <n v="18.5"/>
    <d v="2016-11-30T00:00:00"/>
    <d v="2017-03-01T00:00:00"/>
    <m/>
    <s v="Professor Lampiao Fanuel"/>
    <s v="Professor Demitri Constantino"/>
    <m/>
    <n v="2"/>
    <s v="Home"/>
    <m/>
    <m/>
    <s v="No"/>
    <m/>
    <m/>
    <s v="Academic"/>
    <s v="Lecturer"/>
    <s v="Associate Professor"/>
    <s v="Yes"/>
    <s v="Head of department of Physiotherapy; Country Contact |Global Observatory for Physical Activity (GoPA); Part Time Lecturer|Health &amp; Fitness Professionals Academy (HFPA) International; Chairperson |College of Medicine HPC Sports Science Committee; (Oct 22020)"/>
    <s v="UNIVERSITY OF MALAWI"/>
    <s v="0000-0001-5596-9386"/>
    <m/>
    <d v="2017-02-27T00:00:00"/>
    <d v="2017-11-06T00:00:00"/>
    <s v="Yes"/>
    <d v="2017-06-06T00:00:00"/>
    <d v="2017-08-28T00:00:00"/>
    <m/>
    <m/>
    <m/>
    <s v="Physical fitness and bone mineral density in people living with HIV and receiving antiretroviral therapy in Blantyre, Malawi"/>
    <d v="2019-07-29T00:00:00"/>
    <s v="Yes"/>
    <d v="2020-03-01T00:00:00"/>
    <s v="Yes"/>
    <m/>
    <d v="2020-11-12T00:00:00"/>
    <m/>
    <d v="2020-12-16T00:00:00"/>
    <x v="0"/>
    <n v="46"/>
    <n v="38"/>
    <s v="Reduced bone mineral density among people living wih HIV and receiving ant-retroviral therapy in Blantyre, Malawi: Pharmacological challenges, prevalence and the role of exercise"/>
    <n v="2"/>
    <n v="8"/>
    <n v="2"/>
    <m/>
    <m/>
    <m/>
    <m/>
    <s v="No"/>
    <s v="No"/>
    <m/>
    <m/>
    <m/>
    <m/>
    <s v="No"/>
    <m/>
    <m/>
    <n v="3"/>
    <n v="3"/>
    <m/>
    <s v="WT-DELTAS"/>
  </r>
  <r>
    <n v="157"/>
    <s v="C7/010"/>
    <s v="Edna"/>
    <s v="Wairimu"/>
    <s v="Kamau"/>
    <x v="1"/>
    <x v="6"/>
    <s v="Kenya"/>
    <s v="University of Nairobi"/>
    <s v="Internal Medicine"/>
    <s v="Clinical Medicine and Therapeutics"/>
    <s v="University of Nairobi"/>
    <s v="Yes"/>
    <m/>
    <s v="Married"/>
    <s v="Married"/>
    <m/>
    <s v="ekamau@cartafrica.org"/>
    <s v="dr.ednakamau@gmail.com"/>
    <s v="+254 722-649187"/>
    <m/>
    <d v="1980-02-23T00:00:00"/>
    <s v="Detection of esophageal squamous cell dysplasia and early squamous cell carcinoma in high risk populations"/>
    <m/>
    <m/>
    <m/>
    <n v="22.5"/>
    <d v="2017-08-31T00:00:00"/>
    <d v="2017-03-01T00:00:00"/>
    <d v="2021-01-18T00:00:00"/>
    <s v="Professor Lucy Muchiri"/>
    <m/>
    <m/>
    <n v="1"/>
    <s v="Home"/>
    <m/>
    <m/>
    <s v="Yes"/>
    <m/>
    <m/>
    <s v="Academic"/>
    <m/>
    <m/>
    <m/>
    <m/>
    <s v="UNIVERSITY OF NAIROBI"/>
    <m/>
    <m/>
    <d v="2017-02-27T00:00:00"/>
    <d v="2017-11-06T00:00:00"/>
    <s v="Yes"/>
    <d v="2017-08-23T00:00:00"/>
    <d v="2017-10-18T00:00:00"/>
    <d v="2017-11-08T00:00:00"/>
    <m/>
    <m/>
    <s v="Non-Alcoholic Steatohepatitis and Advanced Fibrosis in Patients with Non-Alcoholic Fatty Liver Disease at the Kenyatta National Clinical research - The Diagnostic Utility of Non-Invasive Tests"/>
    <s v="Not attended"/>
    <s v="No"/>
    <s v="Not attended"/>
    <s v="No"/>
    <m/>
    <m/>
    <m/>
    <m/>
    <x v="1"/>
    <s v="Terminated"/>
    <m/>
    <m/>
    <m/>
    <m/>
    <m/>
    <m/>
    <m/>
    <m/>
    <m/>
    <s v="No"/>
    <m/>
    <m/>
    <m/>
    <m/>
    <m/>
    <m/>
    <m/>
    <m/>
    <m/>
    <m/>
    <m/>
    <s v="WT-DELTAS"/>
  </r>
  <r>
    <n v="158"/>
    <s v="C7/011"/>
    <s v="Felishana"/>
    <s v="Jepkosgei"/>
    <s v="Cherop"/>
    <x v="1"/>
    <x v="6"/>
    <s v="Kenya"/>
    <s v="Moi University"/>
    <s v="Management Science"/>
    <s v="Management Science, School of Business and Economics"/>
    <s v="Moi University"/>
    <s v="No"/>
    <s v="SBE/DPHIL/BM/18/15"/>
    <s v="Single"/>
    <s v="Single"/>
    <s v="Single"/>
    <s v="fcherop@cartafrica.org"/>
    <s v="fcherop@gmail.com"/>
    <s v="+254720296334"/>
    <s v="MBA, Strategic Management, MSc. International Health Research Ethics "/>
    <d v="1981-06-17T00:00:00"/>
    <s v="Entrepreneurial Orientation and Self-Concept Traits on Health Outcomes of People Living With HIV/Aids in Western Kenya"/>
    <s v="Field"/>
    <s v="No"/>
    <m/>
    <m/>
    <d v="2017-05-01T00:00:00"/>
    <d v="2017-03-01T00:00:00"/>
    <m/>
    <s v="Prof. Michael Korir"/>
    <s v="Dr. Juddy Wachira"/>
    <m/>
    <n v="2"/>
    <s v="Home"/>
    <m/>
    <m/>
    <s v="No"/>
    <m/>
    <m/>
    <s v="Academic"/>
    <s v="Graduate Assistant"/>
    <s v="Lecturer"/>
    <s v="Yes"/>
    <m/>
    <s v="MOI UNIVERSITY"/>
    <s v="0000-0001-5599-0839"/>
    <m/>
    <d v="2017-02-27T00:00:00"/>
    <d v="2017-11-06T00:00:00"/>
    <s v="Yes"/>
    <m/>
    <m/>
    <m/>
    <m/>
    <m/>
    <s v="Strategic Leadership, Relational Dynamics and Patient Loyalty to HIV Care in a Public Clinical research in Eldoret, Western Kenya"/>
    <d v="2021-01-11T00:00:00"/>
    <s v="No"/>
    <d v="2021-08-02T00:00:00"/>
    <s v="No"/>
    <m/>
    <m/>
    <m/>
    <d v="2022-12-22T00:00:00"/>
    <x v="0"/>
    <n v="70"/>
    <n v="62"/>
    <s v="Strategic Clinical Leader Attributes and Health System Factors Associated with Patient Loyalty to HIV Care in Moi Teaching and Referral Clinical research, Eldoret, Kenya"/>
    <n v="3"/>
    <m/>
    <m/>
    <m/>
    <m/>
    <m/>
    <m/>
    <s v="JAS 3&amp;4, 2021"/>
    <s v="No"/>
    <m/>
    <m/>
    <m/>
    <m/>
    <s v="No"/>
    <m/>
    <m/>
    <n v="0"/>
    <m/>
    <m/>
    <s v="WT-DELTAS/DAAD"/>
  </r>
  <r>
    <n v="159"/>
    <s v="C7/012"/>
    <s v="Folake"/>
    <s v="Barakat"/>
    <s v="Lawal"/>
    <x v="1"/>
    <x v="6"/>
    <s v="Nigeria"/>
    <s v="University of Ibadan"/>
    <s v="Dentistry"/>
    <s v="Department of Periodontology and Community Dentistry"/>
    <s v="University of Ibadan"/>
    <s v="Yes"/>
    <m/>
    <s v="Married"/>
    <s v="Married"/>
    <s v="Married"/>
    <s v="flawal@cartafrica.org"/>
    <s v="folakemilawal@yahoo.com"/>
    <s v="+2348023658988"/>
    <s v="MDS"/>
    <d v="1979-06-29T00:00:00"/>
    <s v="Evaluation and comparison of oral health education delivery strategies in the promotion of oral health among adolescents in Ibadan"/>
    <s v="Field"/>
    <s v="No"/>
    <m/>
    <n v="32.5"/>
    <d v="2017-04-03T00:00:00"/>
    <d v="2017-03-01T00:00:00"/>
    <m/>
    <s v="Professor Oke Aderemi Gbemisola"/>
    <m/>
    <m/>
    <n v="1"/>
    <s v="Home"/>
    <m/>
    <m/>
    <s v="Yes"/>
    <m/>
    <m/>
    <s v="Academic"/>
    <s v="Coordinator Community oral health programme"/>
    <s v="Professor"/>
    <s v="Yes"/>
    <m/>
    <s v="UNIVERSITY OF IBADAN"/>
    <s v="0000-0002-3193-387X"/>
    <m/>
    <d v="2017-02-27T00:00:00"/>
    <d v="2017-11-06T00:00:00"/>
    <s v="Yes"/>
    <m/>
    <d v="2018-03-16T00:00:00"/>
    <m/>
    <m/>
    <m/>
    <s v="Comparison of school based oral health promotion strategies among adolescents in Ibadan, Nigeria"/>
    <d v="2019-07-29T00:00:00"/>
    <s v="Yes"/>
    <d v="2020-03-01T00:00:00"/>
    <s v="Yes"/>
    <m/>
    <m/>
    <m/>
    <d v="2021-09-21T00:00:00"/>
    <x v="0"/>
    <n v="55"/>
    <n v="47"/>
    <m/>
    <n v="12"/>
    <n v="14"/>
    <n v="8"/>
    <m/>
    <m/>
    <m/>
    <m/>
    <s v="No"/>
    <s v="No"/>
    <m/>
    <d v="2020-09-03T00:00:00"/>
    <d v="2021-04-01T00:00:00"/>
    <n v="7"/>
    <s v="No"/>
    <m/>
    <m/>
    <n v="4"/>
    <n v="4"/>
    <m/>
    <s v="WT-DELTAS"/>
  </r>
  <r>
    <n v="160"/>
    <s v="C7/013"/>
    <s v="Funmilola"/>
    <s v="Folasade"/>
    <s v="Oyinlola"/>
    <x v="1"/>
    <x v="6"/>
    <s v="Nigeria"/>
    <s v="Obafemi Awolowo University"/>
    <s v="Demography and Social Statistics"/>
    <s v="Demography and Social Statistics"/>
    <s v="Obafemi Awolowo University"/>
    <s v="Yes"/>
    <s v="SSP15/16/R/0001"/>
    <s v="Married"/>
    <s v="Married"/>
    <s v="Married"/>
    <s v="foyinlola@cartafrica.org"/>
    <s v="funmibek1@yahoo.com"/>
    <s v="+2347037847020"/>
    <s v="M.sc Demography and Social Statistics"/>
    <d v="1981-06-20T00:00:00"/>
    <s v="Childbearing Choices and Intentions among Married Women in Nigeria"/>
    <s v="Field"/>
    <s v="No"/>
    <m/>
    <m/>
    <d v="2016-11-09T00:00:00"/>
    <d v="2017-03-01T00:00:00"/>
    <m/>
    <s v="Prof. Bamiwuye Olusina"/>
    <s v="Dr. Adedokun Sulaimon "/>
    <m/>
    <n v="2"/>
    <s v="Home"/>
    <m/>
    <m/>
    <s v="Yes"/>
    <m/>
    <m/>
    <s v="Academic"/>
    <s v="Assistant Lecturer"/>
    <s v="Senior Lecturer"/>
    <s v="Yes"/>
    <m/>
    <s v="OBAFEMI AWOLOWO UNIVERSITY"/>
    <s v="0000-0002-9630-963X"/>
    <m/>
    <d v="2017-02-27T00:00:00"/>
    <d v="2017-11-06T00:00:00"/>
    <s v="Yes"/>
    <d v="2018-05-10T00:00:00"/>
    <d v="2018-05-14T00:00:00"/>
    <m/>
    <m/>
    <m/>
    <s v="Individual, Household and Neighbourhood Factors Influencing Women's Reproductive Choices in Nigeria"/>
    <d v="2019-07-29T00:00:00"/>
    <s v="Yes"/>
    <d v="2020-03-01T00:00:00"/>
    <s v="Yes"/>
    <m/>
    <m/>
    <m/>
    <d v="2019-11-14T00:00:00"/>
    <x v="0"/>
    <n v="33"/>
    <n v="25"/>
    <m/>
    <n v="0"/>
    <n v="0"/>
    <n v="2"/>
    <m/>
    <m/>
    <m/>
    <m/>
    <s v="JAS1, 2017"/>
    <s v="No"/>
    <m/>
    <m/>
    <m/>
    <m/>
    <s v="No"/>
    <m/>
    <m/>
    <n v="2"/>
    <n v="2"/>
    <m/>
    <s v="WT-DELTAS"/>
  </r>
  <r>
    <n v="161"/>
    <s v="C7/014"/>
    <s v="Justus"/>
    <s v="Khashmottoh"/>
    <s v="Musasiah"/>
    <x v="0"/>
    <x v="6"/>
    <s v="Kenya"/>
    <s v="APHRC"/>
    <s v="Social Sciences"/>
    <s v="Research Capacity Strengthening Division"/>
    <s v="University of the Witwatersrand"/>
    <s v="No"/>
    <m/>
    <s v="Married"/>
    <s v="Married"/>
    <m/>
    <s v="jmusasiah@cartafrica.org"/>
    <s v="musasiahjustus@yahoo.com; justus.musasiah.ke@gmail.com"/>
    <s v="+254720970716"/>
    <m/>
    <d v="1981-03-23T00:00:00"/>
    <s v="Assessing the importance of private providers in Maternal Health Services in Nairobi Slums"/>
    <m/>
    <m/>
    <m/>
    <m/>
    <d v="2017-04-30T00:00:00"/>
    <d v="2017-03-01T00:00:00"/>
    <d v="2020-04-09T00:00:00"/>
    <s v="Dr. Caryn Abrahams"/>
    <s v="Prof. Alex Van Den Heever"/>
    <m/>
    <n v="2"/>
    <s v="Host"/>
    <m/>
    <m/>
    <s v="Yes"/>
    <m/>
    <m/>
    <s v="Administrative"/>
    <m/>
    <m/>
    <m/>
    <m/>
    <s v=""/>
    <s v="0000-0001-8586-186X"/>
    <m/>
    <d v="2017-02-27T00:00:00"/>
    <d v="2017-11-06T00:00:00"/>
    <s v="Yes"/>
    <m/>
    <m/>
    <m/>
    <m/>
    <m/>
    <m/>
    <s v="Not attended"/>
    <s v="No"/>
    <s v="Not attended"/>
    <s v="No"/>
    <m/>
    <m/>
    <m/>
    <m/>
    <x v="1"/>
    <s v="Terminated"/>
    <m/>
    <m/>
    <m/>
    <m/>
    <m/>
    <m/>
    <m/>
    <m/>
    <m/>
    <s v="No"/>
    <m/>
    <m/>
    <m/>
    <m/>
    <m/>
    <m/>
    <m/>
    <m/>
    <m/>
    <m/>
    <m/>
    <s v="SIDA"/>
  </r>
  <r>
    <n v="162"/>
    <s v="C7/015"/>
    <s v="Judith"/>
    <s v="Reegan Mulubwa"/>
    <s v="Mwansa-Kambafwile"/>
    <x v="1"/>
    <x v="6"/>
    <s v="South Africa"/>
    <s v="University of the Witwatersrand"/>
    <s v="Epidemiology and Biostatistics"/>
    <s v="Public Health"/>
    <s v="University of the Witwatersrand"/>
    <s v="No"/>
    <n v="1512734"/>
    <s v="Married"/>
    <s v="Married"/>
    <m/>
    <s v="jmwansa@cartafrica.org"/>
    <s v="judy.mwansa@gmail.com"/>
    <s v="+27739217403"/>
    <m/>
    <d v="1976-10-26T00:00:00"/>
    <s v="Initial Lost to follow-up and Contact Tracing among Tuberculosis patients: The Role of Ward-based Outreach Teams and SMS Technology"/>
    <s v="Field"/>
    <m/>
    <m/>
    <n v="5"/>
    <d v="2016-03-14T00:00:00"/>
    <d v="2017-03-01T00:00:00"/>
    <m/>
    <s v="Prof. Colin Menezes  "/>
    <m/>
    <m/>
    <n v="1"/>
    <s v="Home"/>
    <m/>
    <m/>
    <s v="No"/>
    <m/>
    <m/>
    <s v="Researcher"/>
    <s v="Program Manager"/>
    <s v="Senior Epidemiologist"/>
    <s v="Yes"/>
    <m/>
    <s v="UNIVERSITY OF THE WITWATERSRAND"/>
    <s v="0000-0001-8552-2366"/>
    <m/>
    <d v="2017-02-27T00:00:00"/>
    <d v="2017-11-06T00:00:00"/>
    <s v="Yes"/>
    <d v="2016-08-17T00:00:00"/>
    <d v="2018-08-08T00:00:00"/>
    <d v="2017-06-30T00:00:00"/>
    <m/>
    <m/>
    <s v="Initial lost to follow up and contact tracing amongst tuberclosis patients: the role of ward based outreach teams (WBOT'S) and short message services (SMS) technology"/>
    <d v="2019-07-29T00:00:00"/>
    <s v="Yes"/>
    <d v="2021-08-02T00:00:00"/>
    <s v="No"/>
    <m/>
    <m/>
    <m/>
    <d v="2023-03-10T00:00:00"/>
    <x v="0"/>
    <m/>
    <n v="65"/>
    <s v="Initial lost to follow up and contact tracing amongst tuberclosis patients: the role of ward based outreach teams (WBOT'S) and short message services (SMS) technology"/>
    <n v="10"/>
    <n v="8"/>
    <n v="0"/>
    <m/>
    <m/>
    <m/>
    <m/>
    <s v="JAS 2, 2017"/>
    <m/>
    <m/>
    <m/>
    <m/>
    <m/>
    <m/>
    <m/>
    <m/>
    <n v="3"/>
    <m/>
    <m/>
    <s v="SIDA"/>
  </r>
  <r>
    <n v="163"/>
    <s v="C7/016"/>
    <s v="Kellen"/>
    <s v="Joyce"/>
    <s v="Karimi"/>
    <x v="1"/>
    <x v="6"/>
    <s v="Kenya"/>
    <s v="University of Nairobi"/>
    <s v="EPIDEMIOLOGY/ BIOSTATISTICS"/>
    <s v="SCHOOL OF PUBLIC HEALTH"/>
    <s v="University of the Witwatersrand"/>
    <s v="No"/>
    <n v="2012904"/>
    <s v="Married"/>
    <s v="Married"/>
    <m/>
    <s v="kkarimi@cartafrica.org"/>
    <s v="karimikellen@gmail.com"/>
    <s v="+254(0)721263316"/>
    <m/>
    <d v="1979-11-10T00:00:00"/>
    <s v="Prevalence and Risk factors of non-communicable diseases related to urban ground water among households in informal settlements, Kisumu City, Kenya"/>
    <s v="Laboratory"/>
    <m/>
    <m/>
    <n v="23"/>
    <d v="2017-06-30T00:00:00"/>
    <d v="2017-03-01T00:00:00"/>
    <m/>
    <s v="Prof. Mutuku A. Mwanthi"/>
    <m/>
    <m/>
    <n v="1"/>
    <s v="Home"/>
    <m/>
    <m/>
    <s v="Yes"/>
    <m/>
    <m/>
    <s v="Researcher"/>
    <s v="Research Associate"/>
    <s v="Lecturer"/>
    <s v="Yes"/>
    <m/>
    <s v="UNIVERSITY OF NAIROBI"/>
    <s v="0000-0001-7064-8003"/>
    <m/>
    <d v="2017-02-27T00:00:00"/>
    <d v="2017-11-06T00:00:00"/>
    <s v="Yes"/>
    <d v="2018-08-29T00:00:00"/>
    <d v="2019-04-24T00:00:00"/>
    <m/>
    <m/>
    <m/>
    <s v="Investigation of Contamination of Community Groundwater Sources with Antibiotics in Informal Settlements in Kisumu, Kenya"/>
    <d v="2021-01-11T00:00:00"/>
    <s v="No"/>
    <d v="2021-08-02T00:00:00"/>
    <s v="No"/>
    <m/>
    <m/>
    <m/>
    <d v="2023-09-26T00:00:00"/>
    <x v="0"/>
    <n v="79"/>
    <n v="71"/>
    <s v="Investigation of contamination of community groundwater sources with antibiotics in informal settlements in Kisumu, Kenya"/>
    <m/>
    <m/>
    <m/>
    <m/>
    <m/>
    <m/>
    <m/>
    <s v="JAS 3&amp;4, 2021"/>
    <m/>
    <m/>
    <m/>
    <m/>
    <m/>
    <m/>
    <m/>
    <m/>
    <n v="1"/>
    <m/>
    <m/>
    <s v="SIDA/DAAD"/>
  </r>
  <r>
    <n v="164"/>
    <s v="C7/017"/>
    <s v="Marceline"/>
    <s v="Francis"/>
    <s v="Finda"/>
    <x v="1"/>
    <x v="6"/>
    <s v="Tanzania"/>
    <s v="Ifakara Health Institute"/>
    <s v="Public Health"/>
    <s v="Public Health"/>
    <s v="University of the Witwatersrand"/>
    <s v="No"/>
    <s v="Carta-17-17"/>
    <s v="Single"/>
    <s v="Single"/>
    <s v="Single"/>
    <s v="mfinda@cartafrica.org"/>
    <s v="marcelinefinda@gmail.com"/>
    <s v="+255684967440"/>
    <m/>
    <d v="1979-11-22T00:00:00"/>
    <s v="Effective outbreak Communication to urban and rural communities in Tanzania, using Zika as an example "/>
    <s v="Clinical research"/>
    <m/>
    <m/>
    <m/>
    <d v="2017-03-31T00:00:00"/>
    <d v="2017-03-01T00:00:00"/>
    <m/>
    <s v="Dr. Fredros Okumu"/>
    <m/>
    <m/>
    <n v="1"/>
    <s v="Host"/>
    <m/>
    <m/>
    <s v="No"/>
    <m/>
    <m/>
    <s v="Researcher"/>
    <m/>
    <s v="Senior Research Scientist"/>
    <s v="Yes"/>
    <m/>
    <s v="IFAKARA HEALTH INSTITUTE"/>
    <s v="0000-0003-4460-4415"/>
    <m/>
    <d v="2017-02-27T00:00:00"/>
    <d v="2017-11-06T00:00:00"/>
    <s v="Yes"/>
    <d v="2018-06-12T00:00:00"/>
    <d v="2018-06-29T00:00:00"/>
    <m/>
    <m/>
    <m/>
    <s v="Awareness and acceptance of alternative technologies for malaria control among stakeholders in Tanzania: A community engagement processs"/>
    <d v="2019-07-29T00:00:00"/>
    <s v="Yes"/>
    <d v="2020-03-01T00:00:00"/>
    <s v="Yes"/>
    <d v="2021-07-15T00:00:00"/>
    <m/>
    <m/>
    <d v="2021-09-30T00:00:00"/>
    <x v="0"/>
    <n v="56"/>
    <n v="47"/>
    <s v="Awareness and acceptance of alternative technologies for malaria control among stakeholders in Tanzania: A community engagement processs"/>
    <n v="1"/>
    <n v="23"/>
    <n v="8"/>
    <m/>
    <m/>
    <m/>
    <m/>
    <s v="No"/>
    <m/>
    <m/>
    <m/>
    <m/>
    <m/>
    <m/>
    <m/>
    <m/>
    <n v="4"/>
    <n v="4"/>
    <m/>
    <s v="SIDA"/>
  </r>
  <r>
    <n v="165"/>
    <s v="C7/018"/>
    <s v="Martha"/>
    <s v="Kabudula"/>
    <s v="Makwero"/>
    <x v="1"/>
    <x v="6"/>
    <s v="Malawi"/>
    <s v="University of Malawi"/>
    <s v="Medicine"/>
    <s v="Family Medicine"/>
    <s v="University of the Witwatersrand"/>
    <s v="No"/>
    <n v="2083454"/>
    <s v="Married"/>
    <s v="Married"/>
    <s v="Married"/>
    <s v="mmakwero@cartafrica.org"/>
    <s v="marthamakwero@gmail.com"/>
    <s v="+265 884111312"/>
    <s v="Masters in Medicine ( Family Medicine)"/>
    <d v="1975-03-03T00:00:00"/>
    <s v="Assessment of chronic care patients’ perspectives on core attributes of patient centered care in Malawi"/>
    <s v="Laboratory"/>
    <s v="yes"/>
    <m/>
    <n v="19.5"/>
    <d v="2017-03-22T00:00:00"/>
    <d v="2017-03-01T00:00:00"/>
    <m/>
    <s v="Prof. Adamson Muula"/>
    <s v="Jude Igumbor"/>
    <m/>
    <n v="2"/>
    <s v="Host"/>
    <m/>
    <m/>
    <s v="Yes"/>
    <m/>
    <m/>
    <s v="Academic"/>
    <s v="Clinical Lecturer"/>
    <s v="Clinical Lecturer &amp; Senior advisor"/>
    <s v="Yes"/>
    <s v="Head of Department, Family Medicine department"/>
    <s v="UNIVERSITY OF MALAWI"/>
    <s v="0000-0002-8396-5056"/>
    <m/>
    <d v="2017-02-27T00:00:00"/>
    <d v="2017-11-06T00:00:00"/>
    <s v="Yes"/>
    <d v="2019-05-08T00:00:00"/>
    <d v="2019-07-02T00:00:00"/>
    <m/>
    <m/>
    <m/>
    <s v="STAKEHOLDERS' UNDERSTANDING AND EXPERIENCES OF PATIENT CENTRED CARE: A CASE STUDY OF DIABETES MELLITUS MANAGEMENT IN BLANTYRE, MALAWI."/>
    <d v="2021-01-11T00:00:00"/>
    <s v="No"/>
    <d v="2021-08-02T00:00:00"/>
    <s v="No"/>
    <m/>
    <m/>
    <m/>
    <d v="2024-10-30T00:00:00"/>
    <x v="0"/>
    <n v="93"/>
    <n v="84"/>
    <s v="The Assessment of Patient-centered Care among diabetic patients in Southern Malawi"/>
    <n v="0"/>
    <n v="13"/>
    <n v="0"/>
    <m/>
    <m/>
    <m/>
    <m/>
    <s v="No"/>
    <s v="No"/>
    <m/>
    <m/>
    <m/>
    <m/>
    <s v="No"/>
    <m/>
    <m/>
    <n v="2"/>
    <m/>
    <m/>
    <s v="SIDA"/>
  </r>
  <r>
    <n v="166"/>
    <s v="C7/019"/>
    <s v="Marie Claire"/>
    <s v="-"/>
    <s v="Uwamahoro"/>
    <x v="1"/>
    <x v="6"/>
    <s v="Rwanda"/>
    <s v="University of Rwanda"/>
    <s v="Nursing"/>
    <s v="Nursing"/>
    <s v="University of the Witwatersrand"/>
    <s v="No"/>
    <n v="1760159"/>
    <s v="Married"/>
    <s v="Married"/>
    <s v="Married"/>
    <s v="muwamahoro@cartafrica.org"/>
    <s v="clairuwa073@gmail.com"/>
    <s v="+250788402547"/>
    <m/>
    <d v="1979-08-15T00:00:00"/>
    <s v="Developing intervention strategies to improve health literacy and quality of life for diabetic patients in Rwanda"/>
    <s v="Clinical research"/>
    <m/>
    <m/>
    <n v="15"/>
    <d v="2017-07-01T00:00:00"/>
    <d v="2017-03-01T00:00:00"/>
    <m/>
    <s v="Dr. Nokuthula Mafutha"/>
    <s v="Professor Daleen Casteleijn"/>
    <m/>
    <n v="2"/>
    <s v="Host"/>
    <m/>
    <m/>
    <s v="Yes"/>
    <m/>
    <m/>
    <s v="Academic"/>
    <m/>
    <s v="Post-Doctoral Associate"/>
    <s v="Yes"/>
    <m/>
    <s v="UNIVERSITY OF CALGARY (2022)"/>
    <s v="0000-0002-0750-3992"/>
    <m/>
    <d v="2017-02-27T00:00:00"/>
    <d v="2017-11-06T00:00:00"/>
    <s v="Yes"/>
    <d v="2018-02-15T00:00:00"/>
    <d v="2018-04-06T00:00:00"/>
    <m/>
    <m/>
    <m/>
    <s v="Development and pilot testing of an instrument to assess self management barriers among patients diagonised with type 2 diabetes patients in Rwanda."/>
    <d v="2019-07-29T00:00:00"/>
    <s v="Yes"/>
    <d v="2020-03-01T00:00:00"/>
    <s v="Yes"/>
    <m/>
    <m/>
    <m/>
    <d v="2021-05-28T00:00:00"/>
    <x v="0"/>
    <n v="52"/>
    <n v="43"/>
    <m/>
    <m/>
    <m/>
    <m/>
    <m/>
    <m/>
    <m/>
    <m/>
    <s v="No"/>
    <m/>
    <m/>
    <d v="2020-04-09T00:00:00"/>
    <d v="2020-07-23T00:00:00"/>
    <n v="4"/>
    <m/>
    <m/>
    <m/>
    <n v="3"/>
    <n v="3"/>
    <m/>
    <s v="SIDA"/>
  </r>
  <r>
    <n v="167"/>
    <s v="C7/020"/>
    <s v="Nishimwe"/>
    <s v="Aurore"/>
    <s v="Aurore"/>
    <x v="1"/>
    <x v="6"/>
    <s v="Rwanda"/>
    <s v="University of Rwanda"/>
    <s v="Public Health"/>
    <s v="Public Health"/>
    <s v="University of the Witwatersrand"/>
    <s v="No"/>
    <n v="1941393"/>
    <s v="Married"/>
    <s v="Married"/>
    <s v="Married"/>
    <s v="naurore@cartafrica.org"/>
    <s v="aurorehirwa@gmail.com"/>
    <s v="+250788814121"/>
    <s v="Master of Science in Health Informatics"/>
    <d v="1986-12-14T00:00:00"/>
    <s v="M-Health To Battle Maternal Death In Sub - Saharan Africa. Case Of Rwanda"/>
    <s v="Field"/>
    <s v="No"/>
    <m/>
    <n v="10.5"/>
    <d v="2017-04-01T00:00:00"/>
    <d v="2017-03-01T00:00:00"/>
    <m/>
    <s v="Dr. Daphney Nozizwe Conco "/>
    <m/>
    <m/>
    <n v="1"/>
    <s v="Host"/>
    <m/>
    <m/>
    <s v="No"/>
    <m/>
    <m/>
    <s v="Academic"/>
    <s v="Assistant Lecturer"/>
    <s v="Senior Lecturer"/>
    <s v="Yes"/>
    <s v="Deputy team leader/ digital health"/>
    <s v="UNIVERSITY OF RWANDA"/>
    <s v="0000-0002-8019-2561"/>
    <m/>
    <d v="2017-02-27T00:00:00"/>
    <d v="2017-11-06T00:00:00"/>
    <s v="Yes"/>
    <d v="2018-08-10T00:00:00"/>
    <d v="2018-11-12T00:00:00"/>
    <d v="2018-12-11T00:00:00"/>
    <m/>
    <m/>
    <s v="Safe delivery mhealth application and clinical decision making among nurses and midwives on basic emergency obstetric and newborn carein district Clinical researchs in Rwanda"/>
    <d v="2019-07-29T00:00:00"/>
    <s v="Yes"/>
    <d v="2020-03-01T00:00:00"/>
    <s v="Yes"/>
    <m/>
    <m/>
    <m/>
    <d v="2022-10-17T00:00:00"/>
    <x v="0"/>
    <n v="68"/>
    <n v="60"/>
    <s v="Safe delivery mhealth application and clinical decision making among nurses and midwives on basic emergency obstetric and newborn carein district Clinical researchs in Rwanda"/>
    <n v="0"/>
    <n v="9"/>
    <n v="0"/>
    <m/>
    <m/>
    <m/>
    <m/>
    <s v="No"/>
    <s v="Yes"/>
    <s v="I am on 4-year study leave for Ph.D. (20% contract) since March 2018 which implies that I am implementing 20% of my workload at my work Institution."/>
    <d v="2018-03-01T00:00:00"/>
    <d v="2022-03-01T00:00:00"/>
    <n v="48"/>
    <s v="No"/>
    <m/>
    <m/>
    <n v="2"/>
    <m/>
    <m/>
    <s v="SIDA"/>
  </r>
  <r>
    <n v="168"/>
    <s v="C7/021"/>
    <s v="Olufemi"/>
    <s v="Mayowa"/>
    <s v="Adetutu"/>
    <x v="0"/>
    <x v="6"/>
    <s v="Nigeria"/>
    <s v="Obafemi Awolowo University"/>
    <s v="Demography and Social Statistics"/>
    <s v="DEPARTMENT OF DEMOGRAPHY AND SOCIAL STATISTICS"/>
    <s v="Obafemi Awolowo University"/>
    <s v="Yes"/>
    <s v="SSP15/16/R/0002"/>
    <s v="Married"/>
    <s v="Married"/>
    <s v="Married"/>
    <s v="oadetutu@cartafrica.org"/>
    <s v="femzhor2006@yahoo.com"/>
    <s v="+2347038065386"/>
    <s v="DEMOGRAPHY AND SOCIAL STATISTICS"/>
    <d v="1979-07-23T00:00:00"/>
    <s v="Individual and Social Contexts of  Risky Sexual Behaviour of Emerging Adults in Nigeria"/>
    <s v="Field"/>
    <s v="No"/>
    <m/>
    <m/>
    <d v="2016-11-09T00:00:00"/>
    <d v="2017-03-01T00:00:00"/>
    <m/>
    <s v="Dr. Sola Asa"/>
    <m/>
    <m/>
    <n v="1"/>
    <s v="Home"/>
    <m/>
    <m/>
    <s v="Yes"/>
    <m/>
    <m/>
    <s v="Academic"/>
    <m/>
    <s v="Lecturer I"/>
    <m/>
    <m/>
    <s v="OBAFEMI AWOLOWO UNIVERSITY"/>
    <s v="0000-0001-5699-7055"/>
    <m/>
    <d v="2017-02-27T00:00:00"/>
    <d v="2017-11-06T00:00:00"/>
    <s v="Yes"/>
    <d v="2016-02-19T00:00:00"/>
    <d v="2016-02-19T00:00:00"/>
    <m/>
    <m/>
    <m/>
    <s v="Contextual Determinants of Sexual Behaviour of Emerging Adults in Nigeria"/>
    <d v="2019-07-29T00:00:00"/>
    <s v="Yes"/>
    <d v="2020-03-01T00:00:00"/>
    <s v="Yes"/>
    <m/>
    <m/>
    <m/>
    <d v="2019-12-14T00:00:00"/>
    <x v="0"/>
    <n v="34"/>
    <n v="26"/>
    <m/>
    <n v="0"/>
    <n v="0"/>
    <n v="3"/>
    <m/>
    <m/>
    <m/>
    <m/>
    <s v="No"/>
    <s v="No"/>
    <m/>
    <m/>
    <m/>
    <m/>
    <s v="No"/>
    <m/>
    <m/>
    <n v="1"/>
    <n v="3"/>
    <m/>
    <s v="SIDA"/>
  </r>
  <r>
    <n v="169"/>
    <s v="C7/022"/>
    <s v="Olufunmilola"/>
    <s v="Onabanjo"/>
    <s v="Ogun"/>
    <x v="1"/>
    <x v="6"/>
    <s v="Nigeria"/>
    <s v="University of Ibadan"/>
    <s v="Community Medicine"/>
    <s v="Medicine"/>
    <s v="University of Ibadan"/>
    <s v="Yes"/>
    <s v="PGX16121713024003"/>
    <s v="Married"/>
    <s v="Married"/>
    <m/>
    <s v="oogun@cartafrica.org"/>
    <s v="olufunmiogun@gmail.com"/>
    <s v="+2348032137984"/>
    <m/>
    <d v="1972-04-28T00:00:00"/>
    <s v="Usefulness of immunohistochemistry in the characterization of malignant potential in pterygium specimens following excision"/>
    <s v="Clinical research"/>
    <m/>
    <m/>
    <m/>
    <d v="2017-10-30T00:00:00"/>
    <d v="2017-03-01T00:00:00"/>
    <m/>
    <s v="Prof. Charles O. Bekibele"/>
    <m/>
    <m/>
    <n v="1"/>
    <s v="Home"/>
    <m/>
    <m/>
    <s v="No"/>
    <m/>
    <m/>
    <s v="Academic"/>
    <m/>
    <s v="Professor"/>
    <m/>
    <m/>
    <s v="UNIVERSITY OF IBADAN"/>
    <s v="0000-0001-6433-9300"/>
    <m/>
    <d v="2017-02-27T00:00:00"/>
    <d v="2017-11-06T00:00:00"/>
    <s v="Yes"/>
    <d v="2018-07-31T00:00:00"/>
    <d v="2018-08-20T00:00:00"/>
    <m/>
    <m/>
    <m/>
    <s v="Health related quality of life, mental health status and lived experiences of visually impaired adolescents in selected institutions in Oyo state, Nigeria"/>
    <d v="2019-07-29T00:00:00"/>
    <s v="Yes"/>
    <d v="2020-03-01T00:00:00"/>
    <s v="Yes"/>
    <m/>
    <m/>
    <m/>
    <d v="2021-12-13T00:00:00"/>
    <x v="0"/>
    <n v="58"/>
    <n v="50"/>
    <m/>
    <n v="17"/>
    <n v="2"/>
    <n v="0"/>
    <m/>
    <m/>
    <m/>
    <m/>
    <s v="No"/>
    <m/>
    <m/>
    <d v="2020-09-01T00:00:00"/>
    <d v="2021-05-01T00:00:00"/>
    <n v="9"/>
    <m/>
    <m/>
    <m/>
    <n v="3"/>
    <n v="3"/>
    <m/>
    <s v="SIDA"/>
  </r>
  <r>
    <n v="170"/>
    <s v="C7/023"/>
    <s v="Oluseye"/>
    <s v="Ademola"/>
    <s v="Okunola"/>
    <x v="0"/>
    <x v="6"/>
    <s v="Nigeria"/>
    <s v="Obafemi Awolowo University"/>
    <s v="SOCIOLOGY"/>
    <s v="SOCIOLOGY AND ANTHROPOLOGY"/>
    <s v="Obafemi Awolowo University"/>
    <s v="Yes"/>
    <m/>
    <s v="Married"/>
    <s v="Married"/>
    <m/>
    <s v="ookunola@cartafrica.org"/>
    <s v="spancho2001@yahoo.com"/>
    <s v="+2347039086791"/>
    <m/>
    <d v="1977-09-19T00:00:00"/>
    <s v="Socio-Cultural Determinants of Healthcare Utilisation among Caregivers for Under-Five Children in South Western Nigeria"/>
    <s v="Field"/>
    <m/>
    <m/>
    <m/>
    <d v="2017-04-12T00:00:00"/>
    <d v="2017-03-01T00:00:00"/>
    <m/>
    <s v="Prof. M.A.O Aluko"/>
    <m/>
    <m/>
    <n v="1"/>
    <s v="Home"/>
    <m/>
    <m/>
    <s v="Yes"/>
    <m/>
    <m/>
    <s v="Researcher"/>
    <m/>
    <s v="Research Fellow"/>
    <m/>
    <m/>
    <s v="OBAFEMI AWOLOWO UNIVERSITY"/>
    <s v="0000-0003-4138-0233"/>
    <m/>
    <d v="2017-02-27T00:00:00"/>
    <d v="2017-11-06T00:00:00"/>
    <s v="Yes"/>
    <d v="2018-04-10T00:00:00"/>
    <d v="2018-12-17T00:00:00"/>
    <m/>
    <m/>
    <m/>
    <s v="Sociological Analysis of Self-medication practices in the care of Under-five Children by Caregivers in South western Nigeria"/>
    <d v="2019-07-29T00:00:00"/>
    <s v="Yes"/>
    <d v="2020-03-01T00:00:00"/>
    <s v="Yes"/>
    <m/>
    <d v="2021-03-17T00:00:00"/>
    <d v="2021-07-26T00:00:00"/>
    <d v="2021-08-02T00:00:00"/>
    <x v="0"/>
    <n v="54"/>
    <n v="45"/>
    <s v="Sociological Analysis of Self-medication practices in the care of Under-five Children by Caregivers in Southwestern Nigeria."/>
    <n v="0"/>
    <n v="1"/>
    <n v="0"/>
    <m/>
    <m/>
    <m/>
    <m/>
    <s v="No"/>
    <m/>
    <m/>
    <m/>
    <m/>
    <m/>
    <m/>
    <m/>
    <m/>
    <m/>
    <m/>
    <m/>
    <s v="SIDA"/>
  </r>
  <r>
    <n v="171"/>
    <s v="C7/024"/>
    <s v="Olusola"/>
    <s v="Oluyinka"/>
    <s v="Olawoye"/>
    <x v="1"/>
    <x v="6"/>
    <s v="Nigeria"/>
    <s v="University of Ibadan"/>
    <s v="Ophthalmologist"/>
    <s v="Department of Ophthalmology"/>
    <s v="University of Ibadan"/>
    <s v="Yes"/>
    <n v="155101"/>
    <s v="Married"/>
    <s v="Married"/>
    <s v="Married"/>
    <s v="oolawoye@cartafrica.org"/>
    <s v="solaolawoye@yahoo.com"/>
    <s v="+2348023890063"/>
    <m/>
    <d v="1974-07-04T00:00:00"/>
    <s v="Prevalence and Determinants of Primary Open Angle Glaucoma in a sub-urban population in South West Nigeria"/>
    <s v="Clinical research"/>
    <m/>
    <m/>
    <m/>
    <d v="2015-10-30T00:00:00"/>
    <d v="2017-03-01T00:00:00"/>
    <m/>
    <s v="Prof. Olufunmilayo Fawole"/>
    <s v="Prof. Ashaye"/>
    <m/>
    <n v="2"/>
    <s v="Home"/>
    <m/>
    <m/>
    <s v="Yes"/>
    <m/>
    <m/>
    <s v="Academic"/>
    <s v="Lecturer"/>
    <s v="Professor"/>
    <m/>
    <m/>
    <s v="UNIVERSITY OF IBADAN"/>
    <s v="0000-0003-2357-8924"/>
    <m/>
    <d v="2017-02-27T00:00:00"/>
    <d v="2017-11-06T00:00:00"/>
    <s v="Yes"/>
    <d v="2017-09-27T00:00:00"/>
    <d v="2018-01-19T00:00:00"/>
    <m/>
    <m/>
    <m/>
    <s v="Pathways to care and Clinical research retention of glaucoma patients in South West Nigeria"/>
    <d v="2019-07-29T00:00:00"/>
    <s v="Yes"/>
    <d v="2020-03-01T00:00:00"/>
    <s v="Yes"/>
    <m/>
    <m/>
    <m/>
    <d v="2021-07-25T00:00:00"/>
    <x v="0"/>
    <n v="53"/>
    <n v="45"/>
    <m/>
    <n v="14"/>
    <n v="13"/>
    <n v="5"/>
    <m/>
    <m/>
    <m/>
    <m/>
    <s v="No"/>
    <m/>
    <m/>
    <d v="2020-09-03T00:00:00"/>
    <d v="2021-06-01T00:00:00"/>
    <n v="9"/>
    <m/>
    <m/>
    <m/>
    <n v="4"/>
    <n v="4"/>
    <m/>
    <s v="SIDA"/>
  </r>
  <r>
    <n v="172"/>
    <s v="C7/025"/>
    <s v="Stevens"/>
    <s v="M.B"/>
    <s v="Kisaka"/>
    <x v="0"/>
    <x v="6"/>
    <s v="Uganda"/>
    <s v="Makerere University"/>
    <s v="Epidemiology"/>
    <s v="Epidemiology and Biostatistics"/>
    <s v="University of Nairobi"/>
    <s v="No"/>
    <s v="W80/52986/2018"/>
    <s v="Married"/>
    <s v="Married"/>
    <s v="Married"/>
    <s v="skisaka@cartafrica.org"/>
    <s v="bmks@dr.com"/>
    <s v="+256 392 945 160"/>
    <s v="Master of Public Health"/>
    <d v="1980-10-10T00:00:00"/>
    <s v="HIV - Brucellosis co-infections in Uganda: Epidemiology, clinical profiles, antimicrobial susceptibility patterns and molecular characterization of Brucella species"/>
    <s v="Field and Laboratory"/>
    <m/>
    <m/>
    <m/>
    <d v="2017-06-01T00:00:00"/>
    <d v="2017-03-01T00:00:00"/>
    <m/>
    <s v="Prof. Fredrick Edward Makumbi"/>
    <m/>
    <m/>
    <n v="1"/>
    <s v="Home"/>
    <m/>
    <m/>
    <s v="Yes"/>
    <m/>
    <m/>
    <s v="Academic"/>
    <s v="Assistant Lecturer"/>
    <s v="Lecturer"/>
    <s v="Yes"/>
    <m/>
    <s v="NATIONAL AGRICULTURAL RESEARCH ORGANOZATION (NARO) - 2023"/>
    <s v="0000-0001-7848-316X"/>
    <m/>
    <d v="2017-02-27T00:00:00"/>
    <d v="2017-11-06T00:00:00"/>
    <s v="Yes"/>
    <m/>
    <d v="2019-01-30T00:00:00"/>
    <m/>
    <m/>
    <m/>
    <s v="PRE-CLINICAL CARE, CLINICAL MANAGEMENT AND OUTCOMES OF DOG BITE INJURIES IN HIGH RABIES BURDEN DISTRICTS OF WAKISO AND KAMPALA, UGANDA"/>
    <d v="2019-07-29T00:00:00"/>
    <s v="Yes"/>
    <d v="2020-03-01T00:00:00"/>
    <s v="Yes"/>
    <m/>
    <m/>
    <m/>
    <d v="2022-12-06T00:00:00"/>
    <x v="0"/>
    <n v="70"/>
    <n v="62"/>
    <s v="Preclinical care, clinical management and outcomes of dog bites injuries in high Rabies burden districts of Wakiso and Kampala, Uganda"/>
    <n v="5"/>
    <n v="5"/>
    <m/>
    <m/>
    <m/>
    <m/>
    <m/>
    <s v="No"/>
    <s v="Yes"/>
    <s v="I study out of my home country and home institution."/>
    <d v="2018-08-01T00:00:00"/>
    <d v="2020-08-01T00:00:00"/>
    <n v="24"/>
    <s v="No"/>
    <m/>
    <m/>
    <n v="1"/>
    <n v="2"/>
    <m/>
    <s v="SIDA/DAAD"/>
  </r>
  <r>
    <n v="173"/>
    <s v="C7/026"/>
    <s v="Sonti"/>
    <s v="Imogene"/>
    <s v="Pilusa"/>
    <x v="1"/>
    <x v="6"/>
    <s v="South Africa"/>
    <s v="University of the Witwatersrand"/>
    <s v="PHYSIOTHERAPY"/>
    <s v="PHYSIOTHERAPY"/>
    <s v="University of the Witwatersrand"/>
    <s v="Yes"/>
    <s v="9311506K"/>
    <s v="Married"/>
    <s v="Married"/>
    <s v="Married"/>
    <s v="spilusa@cartafrica.org"/>
    <s v="sonti.pilusa@wits.ac.za"/>
    <s v="082 053 6190"/>
    <m/>
    <d v="1975-07-01T00:00:00"/>
    <s v="Prevalence of Secondary and Co-Morbidities in People with Physical Disabilities  "/>
    <s v="Field"/>
    <m/>
    <m/>
    <m/>
    <d v="2017-02-03T00:00:00"/>
    <d v="2017-03-01T00:00:00"/>
    <m/>
    <s v="Hellen Myezwa"/>
    <s v="Prof. Joanne Potterton "/>
    <s v="Prof. Joanne Potterton "/>
    <n v="3"/>
    <s v="Home"/>
    <m/>
    <m/>
    <s v="No"/>
    <m/>
    <m/>
    <s v="Academic"/>
    <s v="Lecturer"/>
    <s v="Associate Professor"/>
    <s v="Yes"/>
    <m/>
    <s v="UNIVERSITY OF THE WITWATERSRAND"/>
    <s v="0000-0003-0606-9669"/>
    <m/>
    <d v="2017-02-27T00:00:00"/>
    <d v="2017-11-06T00:00:00"/>
    <s v="Yes"/>
    <d v="2017-09-27T00:00:00"/>
    <d v="2017-12-11T00:00:00"/>
    <d v="2018-01-16T00:00:00"/>
    <m/>
    <m/>
    <s v="Prevention care for secondary health conditions amongst people living with spinal cord iinjuries in the Tshwane Metropolitan area"/>
    <d v="2019-07-29T00:00:00"/>
    <s v="Yes"/>
    <d v="2020-03-01T00:00:00"/>
    <s v="Yes"/>
    <m/>
    <m/>
    <m/>
    <d v="2021-11-09T00:00:00"/>
    <x v="0"/>
    <n v="57"/>
    <n v="49"/>
    <s v="Prevention care of secondary health conditions among people living with spinal cord injuries in the Tshwane Metropolitan area"/>
    <n v="0"/>
    <n v="7"/>
    <n v="3"/>
    <m/>
    <m/>
    <m/>
    <m/>
    <s v="No"/>
    <m/>
    <m/>
    <m/>
    <m/>
    <m/>
    <m/>
    <m/>
    <m/>
    <n v="3"/>
    <n v="3"/>
    <m/>
    <s v="SIDA"/>
  </r>
  <r>
    <n v="174"/>
    <s v="C7/027"/>
    <s v="Gad"/>
    <m/>
    <s v="Rutayisire"/>
    <x v="0"/>
    <x v="6"/>
    <s v="Rwanda"/>
    <s v="University of Rwanda"/>
    <s v="Immunology and Clinical microbiology"/>
    <s v="Microbiology"/>
    <s v="Makerere University"/>
    <s v="No"/>
    <s v="NF"/>
    <s v="NF"/>
    <s v="NF"/>
    <s v="NF"/>
    <s v="grutayisire@cartafrica.org"/>
    <s v="gadrutal@yahoo.co.uk"/>
    <s v="+25078886881"/>
    <m/>
    <d v="1978-05-05T00:00:00"/>
    <s v="Molecular and social behaviour factors associated with mother to child transmission of drug resistant HIV-1 strains in District Clinical research’s PMTCT Clinic, Rwanda"/>
    <m/>
    <m/>
    <m/>
    <m/>
    <d v="2017-04-20T00:00:00"/>
    <d v="2017-03-01T00:00:00"/>
    <d v="2017-12-31T00:00:00"/>
    <m/>
    <m/>
    <m/>
    <n v="0"/>
    <m/>
    <m/>
    <m/>
    <m/>
    <m/>
    <m/>
    <m/>
    <m/>
    <m/>
    <m/>
    <m/>
    <s v="UNIVERSITY OF RWANDA"/>
    <m/>
    <m/>
    <d v="2017-02-27T00:00:00"/>
    <d v="2017-11-06T00:00:00"/>
    <s v="Yes"/>
    <m/>
    <m/>
    <m/>
    <m/>
    <m/>
    <m/>
    <m/>
    <m/>
    <m/>
    <m/>
    <m/>
    <m/>
    <m/>
    <m/>
    <x v="1"/>
    <s v="Terminated"/>
    <m/>
    <m/>
    <m/>
    <m/>
    <m/>
    <m/>
    <m/>
    <m/>
    <m/>
    <s v="No"/>
    <m/>
    <m/>
    <m/>
    <m/>
    <m/>
    <m/>
    <m/>
    <m/>
    <m/>
    <m/>
    <m/>
    <s v="WT-DELTAS"/>
  </r>
  <r>
    <n v="175"/>
    <s v="C8/001"/>
    <s v="Lindiwe"/>
    <m/>
    <s v="Farlane"/>
    <x v="1"/>
    <x v="7"/>
    <s v="South Africa"/>
    <s v="University of the Witwatersrand"/>
    <s v="Public Health"/>
    <s v="Monitoring &amp; Evaluation"/>
    <s v="University of the Witwatersrand"/>
    <s v="Yes"/>
    <m/>
    <s v="Single"/>
    <s v="Single"/>
    <m/>
    <s v="lfarlane@cartafrica.org"/>
    <s v="lindiwefarlane@gmail.com"/>
    <s v="+27113585324"/>
    <s v="MA HEALTH PROMOTION"/>
    <d v="1980-09-21T00:00:00"/>
    <s v="Systematic review and cohort analysis of at risk children tracked and managed through the 90-90-90 HIV treatment cascade in the City of Johannesburg District, South Africa"/>
    <s v="Field"/>
    <m/>
    <m/>
    <n v="23"/>
    <d v="2019-01-02T00:00:00"/>
    <d v="2018-03-01T00:00:00"/>
    <m/>
    <s v="Lee Fairlie"/>
    <s v="Saiqa Mullick"/>
    <s v="Nancy Yinger"/>
    <n v="3"/>
    <s v="Home"/>
    <s v="Home"/>
    <m/>
    <s v="Yes"/>
    <s v="No"/>
    <s v="No"/>
    <s v="Other"/>
    <s v="TECHNICAL HEAD: MONITORING &amp; EVALUATION"/>
    <s v="Consultant - Social &amp; Behavior Change"/>
    <m/>
    <m/>
    <s v="UNIVERSITY OF THE WITWATERSRAND"/>
    <s v="0000-0002-2051-0118"/>
    <m/>
    <d v="2018-03-05T00:00:00"/>
    <d v="2018-11-05T00:00:00"/>
    <s v="Yes"/>
    <d v="2019-11-30T00:00:00"/>
    <d v="2020-04-30T00:00:00"/>
    <m/>
    <m/>
    <m/>
    <s v="Improving 90-90-90 HIV coverage for children and adolescents in the inner city of Johannesburg, South Africa: an outcome evaluation"/>
    <d v="2021-01-11T00:00:00"/>
    <s v="Yes"/>
    <d v="2021-08-02T00:00:00"/>
    <s v="Yes"/>
    <m/>
    <m/>
    <m/>
    <d v="2025-04-29T00:00:00"/>
    <x v="0"/>
    <n v="86"/>
    <n v="78"/>
    <s v="Implementation evaluation of the Paediatric and Adolescent Scale-up Plan for 90-90-90 HIV outcomes in the inner City of Johannesburg, South Africa"/>
    <n v="2"/>
    <n v="0"/>
    <n v="0"/>
    <m/>
    <m/>
    <m/>
    <m/>
    <s v="No"/>
    <m/>
    <m/>
    <m/>
    <m/>
    <m/>
    <m/>
    <m/>
    <m/>
    <n v="2"/>
    <m/>
    <m/>
    <s v="SIDA"/>
  </r>
  <r>
    <n v="176"/>
    <s v="C8/002"/>
    <s v="Adeleye"/>
    <s v="Abiodun"/>
    <s v="Adeomi"/>
    <x v="0"/>
    <x v="7"/>
    <s v="Nigeria"/>
    <s v="Obafemi Awolowo University"/>
    <s v="Public Health"/>
    <s v="Community Health"/>
    <s v="University of the Witwatersrand"/>
    <s v="No"/>
    <m/>
    <m/>
    <s v="Married"/>
    <s v="Married"/>
    <s v="aadeomi@cartafrica.org"/>
    <s v="leyeadeomi@yahoo.com"/>
    <s v="+234 803 653 5077"/>
    <m/>
    <d v="1979-12-26T00:00:00"/>
    <s v="Pattern and determinants of the nutritional status of school-aged children and adolescents in Nigeria; using multi-level modeling"/>
    <s v="Field"/>
    <m/>
    <m/>
    <n v="6"/>
    <d v="2018-08-06T00:00:00"/>
    <d v="2018-03-01T00:00:00"/>
    <m/>
    <s v="Dr Kerstin Klipstein-Grobusch "/>
    <m/>
    <m/>
    <n v="1"/>
    <s v="Host"/>
    <m/>
    <m/>
    <s v="Yes"/>
    <m/>
    <m/>
    <s v="Academic"/>
    <m/>
    <s v="Senior Lecturer"/>
    <m/>
    <m/>
    <s v="OBAFEMI AWOLOWO UNIVERSITY"/>
    <s v="0000-0002-6645-7295"/>
    <m/>
    <d v="2018-03-05T00:00:00"/>
    <d v="2018-11-05T00:00:00"/>
    <s v="Yes"/>
    <d v="2019-09-12T00:00:00"/>
    <d v="2019-04-15T00:00:00"/>
    <m/>
    <m/>
    <m/>
    <s v="THE DOUBLE BURDEN OF MALNUTRITION AMONG SCHOOL-AGED CHILDREN AND ADOLESCENTS; THE NIGERIAN EXPERIENCE"/>
    <d v="2021-01-11T00:00:00"/>
    <s v="Yes"/>
    <d v="2021-08-02T00:00:00"/>
    <s v="Yes"/>
    <m/>
    <m/>
    <m/>
    <d v="2022-05-11T00:00:00"/>
    <x v="0"/>
    <n v="51"/>
    <n v="43"/>
    <m/>
    <n v="9"/>
    <n v="7"/>
    <n v="2"/>
    <m/>
    <m/>
    <m/>
    <m/>
    <s v="No"/>
    <m/>
    <m/>
    <m/>
    <m/>
    <m/>
    <m/>
    <m/>
    <m/>
    <n v="2"/>
    <n v="3"/>
    <m/>
    <s v="WT-DELTAS"/>
  </r>
  <r>
    <n v="177"/>
    <s v="C8/003"/>
    <s v="Jean de Dieu"/>
    <m/>
    <s v="Habimana"/>
    <x v="0"/>
    <x v="7"/>
    <s v="Rwanda"/>
    <s v="University of Rwanda"/>
    <s v="Applied Human Nutrition"/>
    <s v="Food Science, Nutrition and Technology"/>
    <s v="University of Rwanda"/>
    <s v="Yes"/>
    <m/>
    <s v="Married"/>
    <s v="Married"/>
    <m/>
    <s v="jhabimana@cartafrica.org"/>
    <s v="kajado7@gmail.com"/>
    <s v="+250788446024"/>
    <s v="MSc of applied Human Nutrition"/>
    <d v="1980-03-08T00:00:00"/>
    <s v="Prevalence of Aflatoxin from Breast Milk and its effect on nutrition status of children under two years old in Nyamagabe District of Rwanda"/>
    <s v="Field"/>
    <s v="No"/>
    <m/>
    <n v="25"/>
    <d v="2018-03-01T00:00:00"/>
    <d v="2018-03-01T00:00:00"/>
    <m/>
    <s v="Dr. John Wangoh"/>
    <m/>
    <m/>
    <n v="1"/>
    <s v="Host"/>
    <m/>
    <m/>
    <s v="No"/>
    <m/>
    <m/>
    <s v="Academic"/>
    <s v="Academic Staff"/>
    <s v="Assistant Lecturer"/>
    <s v="No"/>
    <s v="Member of Exams moderattion commeittee"/>
    <s v="UNIVERSITY OF RWANDA"/>
    <s v="0000-0002-7473-853X"/>
    <m/>
    <d v="2018-03-05T00:00:00"/>
    <d v="2018-11-05T00:00:00"/>
    <s v="Yes"/>
    <d v="2020-09-08T00:00:00"/>
    <d v="2021-04-30T00:00:00"/>
    <m/>
    <m/>
    <m/>
    <s v="Positive deviance in child growth"/>
    <d v="2021-10-01T00:00:00"/>
    <s v="No"/>
    <d v="2022-06-20T00:00:00"/>
    <s v="No"/>
    <m/>
    <m/>
    <m/>
    <m/>
    <x v="2"/>
    <m/>
    <m/>
    <m/>
    <m/>
    <m/>
    <m/>
    <m/>
    <m/>
    <m/>
    <m/>
    <s v="No"/>
    <s v="No"/>
    <m/>
    <m/>
    <m/>
    <m/>
    <s v="No"/>
    <m/>
    <m/>
    <n v="1"/>
    <m/>
    <m/>
    <s v="SIDA"/>
  </r>
  <r>
    <n v="178"/>
    <s v="C8/004"/>
    <s v="Julienne"/>
    <m/>
    <s v="Murererehe"/>
    <x v="1"/>
    <x v="7"/>
    <s v="Rwanda"/>
    <s v="University of Rwanda"/>
    <s v="Dentistry"/>
    <s v="Oral  maxillofacial surgery and pathology"/>
    <s v="University of the Witwatersrand"/>
    <s v="No"/>
    <m/>
    <s v="Single"/>
    <s v="Married"/>
    <m/>
    <s v="jmurererehe@cartafrica.org"/>
    <s v="jmurererehe@yahoo.com"/>
    <s v="+250788593017"/>
    <m/>
    <d v="1984-01-01T00:00:00"/>
    <s v="Effect of early treatment of dental caries and periodontal diseases on the psycho-social functionality and viral load among HIV-infected patients in Rwanda."/>
    <s v="Clinical research"/>
    <m/>
    <m/>
    <n v="23"/>
    <d v="2018-10-30T00:00:00"/>
    <d v="2018-03-01T00:00:00"/>
    <m/>
    <s v="Prof. V Yengopal "/>
    <s v="Dr Yolanda Malele-Kolisa; Yolanda.Kolisa@wits.ac.za; University of the Witwatersrand"/>
    <m/>
    <n v="2"/>
    <s v="Host"/>
    <m/>
    <m/>
    <s v="Yes"/>
    <m/>
    <m/>
    <s v="Academic"/>
    <s v="Assistant Lecturer "/>
    <s v="Associate Professor"/>
    <s v="Yes"/>
    <m/>
    <s v="UNIVERSITY OF RWANDA"/>
    <s v="0000-0001-7980-1107"/>
    <m/>
    <d v="2018-03-05T00:00:00"/>
    <d v="2018-11-05T00:00:00"/>
    <s v="Yes"/>
    <d v="2019-11-28T00:00:00"/>
    <d v="2020-03-05T00:00:00"/>
    <m/>
    <m/>
    <m/>
    <s v="Risk factors to caries and periodontal diseases among HIV-positive adults on Antiretroviral treatment in Nyarugenge district, Rwanda"/>
    <d v="2021-10-01T00:00:00"/>
    <s v="No"/>
    <d v="2022-06-20T00:00:00"/>
    <s v="No"/>
    <m/>
    <m/>
    <m/>
    <d v="2024-05-22T00:00:00"/>
    <x v="0"/>
    <n v="75"/>
    <n v="67"/>
    <s v="Risk factors for caries and periodontal diseases: A comparative study among HIV-positive and HIV-negative adults in Nyarugenge district, Rwanda."/>
    <n v="1"/>
    <n v="2"/>
    <n v="0"/>
    <m/>
    <m/>
    <m/>
    <m/>
    <s v="No"/>
    <m/>
    <m/>
    <d v="2020-05-01T00:00:00"/>
    <d v="2020-07-31T00:00:00"/>
    <n v="3"/>
    <m/>
    <m/>
    <m/>
    <n v="0"/>
    <m/>
    <m/>
    <s v="SIDA"/>
  </r>
  <r>
    <n v="179"/>
    <s v="C8/005"/>
    <s v="Jacob"/>
    <s v="Wale"/>
    <s v="Mobolaji"/>
    <x v="0"/>
    <x v="7"/>
    <s v="Nigeria"/>
    <s v="Obafemi Awolowo University"/>
    <s v="Demography and Social Statistics"/>
    <s v="Demography and Social Statistics"/>
    <s v="Obafemi Awolowo University"/>
    <s v="Yes"/>
    <s v="SSP16/17/H/0462"/>
    <s v="Married"/>
    <s v="Married"/>
    <s v="Married"/>
    <s v="jmobolaji@cartafrica.org"/>
    <s v="mobolawale@gmail.com"/>
    <s v="+2348030755825"/>
    <s v="M.Sc. Demography and Social Statistics"/>
    <d v="1980-01-17T00:00:00"/>
    <s v="Individual and Family Context of Social Support and Quality of Life of Elderly in South Western Nigeria"/>
    <s v="Field"/>
    <s v="No"/>
    <m/>
    <n v="18"/>
    <d v="2017-05-15T00:00:00"/>
    <d v="2018-03-01T00:00:00"/>
    <m/>
    <s v="Prof. Akanni Ibukun Akinyemi"/>
    <s v="Dr. Bola Lukman Solanke"/>
    <m/>
    <n v="2"/>
    <s v="Home"/>
    <s v="Home"/>
    <m/>
    <s v="Yes"/>
    <s v="No"/>
    <m/>
    <s v="Academic"/>
    <s v="Assistant Lecturer"/>
    <s v="Senior Lecturer"/>
    <s v="Yes"/>
    <m/>
    <s v="OBAFEMI AWOLOWO UNIVERSITY"/>
    <s v="0000-0002-4996-9387"/>
    <m/>
    <d v="2018-03-05T00:00:00"/>
    <d v="2018-11-05T00:00:00"/>
    <s v="Yes"/>
    <d v="2019-07-10T00:00:00"/>
    <d v="2019-07-29T00:00:00"/>
    <m/>
    <m/>
    <m/>
    <s v="Determinants and Health Implication of Unmet Needs for Informal Support for Older people in South-Western Nigeria."/>
    <d v="2021-01-11T00:00:00"/>
    <s v="Yes"/>
    <d v="2021-08-02T00:00:00"/>
    <s v="Yes"/>
    <m/>
    <d v="2021-08-13T00:00:00"/>
    <d v="2021-09-22T00:00:00"/>
    <d v="2021-09-22T00:00:00"/>
    <x v="0"/>
    <n v="43"/>
    <n v="35"/>
    <m/>
    <n v="0"/>
    <n v="3"/>
    <n v="3"/>
    <m/>
    <m/>
    <m/>
    <m/>
    <s v="No"/>
    <s v="No"/>
    <m/>
    <m/>
    <m/>
    <m/>
    <s v="Yes"/>
    <n v="43891"/>
    <n v="44012"/>
    <n v="2"/>
    <n v="3"/>
    <m/>
    <s v="SIDA"/>
  </r>
  <r>
    <n v="180"/>
    <s v="C8/006"/>
    <s v="Doris"/>
    <m/>
    <s v="Kwesiga"/>
    <x v="1"/>
    <x v="7"/>
    <s v="Uganda"/>
    <s v="Makerere University"/>
    <s v="Public Health"/>
    <s v="Health Policy, Planning and Management"/>
    <s v="Makerere University"/>
    <s v="Yes"/>
    <n v="207019377"/>
    <m/>
    <s v="Married"/>
    <m/>
    <s v="dkwesiga@cartafrica.org"/>
    <s v="dknnkwesiga@gmail.com"/>
    <s v="+256 750 972487"/>
    <m/>
    <d v="1981-01-13T00:00:00"/>
    <s v="Factors affecting measurement of pregnancy and adverse pregnancy outcomes in survey data collection and HDSS longitudinal surveillance"/>
    <m/>
    <m/>
    <m/>
    <n v="33"/>
    <d v="2017-11-06T00:00:00"/>
    <d v="2018-03-01T00:00:00"/>
    <d v="2020-02-06T00:00:00"/>
    <m/>
    <m/>
    <m/>
    <n v="0"/>
    <m/>
    <m/>
    <m/>
    <m/>
    <m/>
    <m/>
    <s v="Researcher"/>
    <m/>
    <m/>
    <m/>
    <m/>
    <s v="MAKERERE UNIVERSITY"/>
    <m/>
    <m/>
    <d v="2018-03-05T00:00:00"/>
    <m/>
    <s v="No"/>
    <m/>
    <m/>
    <m/>
    <m/>
    <m/>
    <m/>
    <m/>
    <m/>
    <m/>
    <m/>
    <m/>
    <m/>
    <m/>
    <m/>
    <x v="1"/>
    <s v="Terminated"/>
    <m/>
    <m/>
    <n v="3"/>
    <m/>
    <m/>
    <m/>
    <m/>
    <m/>
    <m/>
    <s v="No"/>
    <m/>
    <m/>
    <m/>
    <m/>
    <m/>
    <m/>
    <m/>
    <m/>
    <n v="2"/>
    <m/>
    <m/>
    <s v="SIDA"/>
  </r>
  <r>
    <n v="181"/>
    <s v="C8/007"/>
    <s v="Samuel"/>
    <s v="Waweru"/>
    <s v="Mwaniki"/>
    <x v="0"/>
    <x v="7"/>
    <s v="Kenya"/>
    <s v="University of Nairobi"/>
    <s v="Pharmacy"/>
    <m/>
    <s v="University of the Witwatersrand"/>
    <s v="No"/>
    <n v="2160178"/>
    <s v="Married"/>
    <s v="Married"/>
    <m/>
    <s v="smwaniki@cartafrica.org"/>
    <s v="smwanex@gmail.com"/>
    <s v="+254 721 543 351"/>
    <s v="MSC. TROPICAL AND INFECTIOUS DISEASES"/>
    <d v="1982-02-28T00:00:00"/>
    <s v="Sexual health of male university students who have sex with men in Nairobi, Kenya: Needs and Responses"/>
    <s v="Laboratory"/>
    <s v="yes"/>
    <m/>
    <n v="3"/>
    <d v="2018-09-30T00:00:00"/>
    <d v="2018-03-01T00:00:00"/>
    <m/>
    <s v="Dr. Thesla Palanee "/>
    <s v="Dr. Peter Mugo"/>
    <m/>
    <n v="2"/>
    <s v="Host"/>
    <m/>
    <m/>
    <s v="No"/>
    <m/>
    <m/>
    <s v="Administrative"/>
    <s v="PHARMACIST"/>
    <s v="PHARMACIST"/>
    <m/>
    <s v="Member, CARTA Steering Committee "/>
    <s v="UNIVERSITY OF NAIROBI"/>
    <s v="0000-0001-8682-311X"/>
    <m/>
    <d v="2018-03-05T00:00:00"/>
    <d v="2018-11-05T00:00:00"/>
    <s v="Yes"/>
    <d v="2019-11-28T00:00:00"/>
    <d v="2020-02-04T00:00:00"/>
    <m/>
    <m/>
    <m/>
    <s v="HIV, STI and related factors among tertiary male students who have sex with men in Nairobi, Kenya and Blantyre, Malawi"/>
    <d v="2021-10-01T00:00:00"/>
    <s v="No"/>
    <d v="2023-07-03T00:00:00"/>
    <s v="No"/>
    <d v="2023-01-23T00:00:00"/>
    <m/>
    <m/>
    <d v="2023-06-10T00:00:00"/>
    <x v="0"/>
    <n v="64"/>
    <n v="56"/>
    <s v="Integrated biological behavioural assessment of human immunodeficiency virus and sexually transmitted infections among tertiary student men who have sex with men in Nairobi, Kenya"/>
    <n v="1"/>
    <n v="2"/>
    <n v="0"/>
    <m/>
    <m/>
    <m/>
    <m/>
    <s v="No"/>
    <s v="Yes"/>
    <s v="TO CONCENTRATE ON PROTOCOL DEVELOPMENT AND DATA COLLECTION"/>
    <d v="2019-07-01T00:00:00"/>
    <d v="2020-06-30T00:00:00"/>
    <n v="11"/>
    <s v="No"/>
    <m/>
    <m/>
    <n v="2"/>
    <m/>
    <m/>
    <s v="WT-DELTAS"/>
  </r>
  <r>
    <n v="182"/>
    <s v="C8/008"/>
    <s v="Christine"/>
    <s v="Minoo"/>
    <s v="Mbindyo"/>
    <x v="1"/>
    <x v="7"/>
    <s v="Kenya"/>
    <s v="University of Nairobi"/>
    <s v="Veterinary Microbiology"/>
    <s v="Veterinary Pathology, Microbiology and Parasitology"/>
    <s v="University of Nairobi"/>
    <s v="Yes"/>
    <m/>
    <s v="Single"/>
    <s v="Single"/>
    <m/>
    <s v="cmbindyo@cartafrica.org"/>
    <s v="christineminoo@yahoo.com"/>
    <s v="+254726467024"/>
    <s v="Msc in Applied Microbiology (Bacteriology option)"/>
    <d v="1986-08-26T00:00:00"/>
    <s v="CHARACTERIZATION OF MICROBIOTA OF RAW MILK FROM HEALTHY AND MASTITIC DAIRY COWS BY METAGENOMIC ANALYSIS AND ASSESSMENT OF ANTIMICROBIAL RESISTANCE POTENTIAL FOR THE DETECTED STRAINS IN KIAMBU COUNTY"/>
    <s v="Laboratory"/>
    <m/>
    <m/>
    <n v="10"/>
    <d v="2018-10-01T00:00:00"/>
    <d v="2018-03-01T00:00:00"/>
    <m/>
    <s v="Prof. George Gitao"/>
    <s v="Prof. Paul Plummer"/>
    <s v="Prof. Charles Mulei"/>
    <n v="3"/>
    <s v="Home"/>
    <s v="Other"/>
    <s v="Home"/>
    <s v="Yes"/>
    <s v="No"/>
    <s v="No"/>
    <s v="Academic"/>
    <s v="Tutorial Fellow"/>
    <s v="Lecturer"/>
    <s v="Yes"/>
    <m/>
    <s v="UNIVERSITY OF NAIROBI"/>
    <s v="0000-0001-7423-0341"/>
    <m/>
    <d v="2018-03-05T00:00:00"/>
    <d v="2018-11-05T00:00:00"/>
    <s v="Yes"/>
    <d v="2018-08-22T00:00:00"/>
    <d v="2019-01-03T00:00:00"/>
    <m/>
    <m/>
    <m/>
    <s v="Bovine mastitis: Characterization of milk microbial diversity, their antibiotic resistance and factors linked to these profiles in dairy cows in Kenya"/>
    <d v="2021-01-11T00:00:00"/>
    <s v="Yes"/>
    <d v="2021-08-02T00:00:00"/>
    <s v="Yes"/>
    <m/>
    <m/>
    <m/>
    <d v="2022-04-28T00:00:00"/>
    <x v="0"/>
    <n v="50"/>
    <n v="42"/>
    <m/>
    <n v="1"/>
    <n v="2"/>
    <n v="0"/>
    <m/>
    <m/>
    <m/>
    <m/>
    <s v="No"/>
    <m/>
    <m/>
    <m/>
    <m/>
    <m/>
    <m/>
    <m/>
    <m/>
    <n v="2"/>
    <m/>
    <m/>
    <s v="WT-DELTAS"/>
  </r>
  <r>
    <n v="183"/>
    <s v="C8/009"/>
    <s v="Siphamandla"/>
    <s v="Bonga"/>
    <s v="Gumede"/>
    <x v="0"/>
    <x v="7"/>
    <s v="South Africa"/>
    <s v="University of the Witwatersrand"/>
    <s v="Clinical Medicine"/>
    <m/>
    <s v="University of the Witwatersrand"/>
    <s v="Yes"/>
    <m/>
    <s v="Single"/>
    <s v="Single"/>
    <m/>
    <s v="sgumede@cartafrica.org"/>
    <s v="sbzgumede@gmail.com"/>
    <s v="+27 11 358 5500"/>
    <m/>
    <d v="1984-10-01T00:00:00"/>
    <s v="Analysis of factors associated with adherence on second-line regimen in the inner city Johannesburg, South Africa: A mixed method retrospective cohort study"/>
    <s v="Clinical research"/>
    <m/>
    <m/>
    <n v="43"/>
    <d v="2019-01-01T00:00:00"/>
    <d v="2018-03-01T00:00:00"/>
    <m/>
    <s v="Samanta T Lalla-Edward"/>
    <s v="John de Wit"/>
    <m/>
    <n v="2"/>
    <s v="Home"/>
    <s v="Other"/>
    <m/>
    <s v="Yes"/>
    <s v="No"/>
    <m/>
    <s v="Other"/>
    <s v="Technical Specialist"/>
    <s v="Researcher"/>
    <m/>
    <m/>
    <s v="UNIVERSITY OF THE WITWATERSRAND"/>
    <s v="0000-0002-7870-1363"/>
    <m/>
    <d v="2018-03-05T00:00:00"/>
    <d v="2018-11-05T00:00:00"/>
    <s v="Yes"/>
    <d v="2019-08-13T00:00:00"/>
    <d v="2019-06-28T00:00:00"/>
    <m/>
    <m/>
    <m/>
    <s v="Adherence to first-line and second-line antiretroviral therapy (ART) in selected rural and urban communities in South Africa: assessment of patient support needs and adherence strategies"/>
    <d v="2021-01-11T00:00:00"/>
    <s v="Yes"/>
    <d v="2021-08-02T00:00:00"/>
    <s v="Yes"/>
    <m/>
    <m/>
    <m/>
    <d v="2024-11-14T00:00:00"/>
    <x v="0"/>
    <n v="81"/>
    <n v="73"/>
    <s v="Strengthening understanding of effective adherence strategies for first-line and second-line antiretroviral therapy (ART) in selected rural and urban communities in South Africa"/>
    <n v="1"/>
    <n v="4"/>
    <n v="0"/>
    <m/>
    <m/>
    <m/>
    <m/>
    <s v="No"/>
    <m/>
    <m/>
    <m/>
    <m/>
    <m/>
    <m/>
    <m/>
    <m/>
    <n v="3"/>
    <m/>
    <m/>
    <s v="SIDA"/>
  </r>
  <r>
    <n v="184"/>
    <s v="C8/010"/>
    <s v="Margaret"/>
    <s v="Omowaleola"/>
    <s v="Akinwaare"/>
    <x v="1"/>
    <x v="7"/>
    <s v="Nigeria"/>
    <s v="University of Ibadan"/>
    <s v="Nursing"/>
    <s v="Nursing"/>
    <s v="University of Ibadan"/>
    <s v="Yes"/>
    <n v="160413"/>
    <s v="Married"/>
    <s v="Married"/>
    <s v="Married"/>
    <s v="makinwaare@cartafrica.org"/>
    <s v="margaretakinwaare@gmail.com"/>
    <s v="+2348034242253"/>
    <s v="M.Sc"/>
    <d v="1975-04-30T00:00:00"/>
    <s v="Effects of goal-oriented prenatal class on birth preparedness and complication readiness among pregnant women in selected local governments in Ibadan"/>
    <s v="Field"/>
    <s v="No"/>
    <m/>
    <n v="28"/>
    <d v="2015-01-26T00:00:00"/>
    <d v="2018-03-01T00:00:00"/>
    <m/>
    <s v="Dr. O. Abimbola Oluwatosin"/>
    <m/>
    <m/>
    <n v="1"/>
    <m/>
    <m/>
    <m/>
    <s v="Yes"/>
    <m/>
    <m/>
    <s v="Academic"/>
    <s v="Lecturer II"/>
    <s v="Lecturer II"/>
    <m/>
    <m/>
    <s v="UNIVERSITY OF IBADAN"/>
    <s v="0000-0003-3453-2569"/>
    <m/>
    <d v="2018-03-05T00:00:00"/>
    <d v="2018-11-05T00:00:00"/>
    <s v="Yes"/>
    <d v="2018-08-14T00:00:00"/>
    <d v="2018-10-30T00:00:00"/>
    <m/>
    <m/>
    <m/>
    <s v="Fostering women's birth preparedness and complication through goal-oriented prenatal classes in primary health facilities in Ibadan, Nigeria."/>
    <d v="2021-01-11T00:00:00"/>
    <s v="Yes"/>
    <d v="2021-08-02T00:00:00"/>
    <s v="Yes"/>
    <m/>
    <m/>
    <m/>
    <d v="2022-03-28T00:00:00"/>
    <x v="0"/>
    <n v="49"/>
    <n v="41"/>
    <m/>
    <n v="1"/>
    <n v="0"/>
    <n v="1"/>
    <m/>
    <m/>
    <m/>
    <m/>
    <s v="No"/>
    <s v="No"/>
    <m/>
    <m/>
    <m/>
    <m/>
    <s v="No"/>
    <m/>
    <m/>
    <n v="3"/>
    <n v="3"/>
    <m/>
    <s v="SIDA"/>
  </r>
  <r>
    <n v="185"/>
    <s v="C8/011"/>
    <s v="Angella"/>
    <m/>
    <s v="Musewa"/>
    <x v="1"/>
    <x v="7"/>
    <s v="Uganda"/>
    <s v="Makerere University"/>
    <s v="One Health"/>
    <s v="Biosecurity, Ecosystems and Veterinary Public Health"/>
    <s v="University of Nairobi"/>
    <s v="No"/>
    <s v="W80/54808/2019"/>
    <s v="Married"/>
    <s v="Married"/>
    <m/>
    <s v="amusewa@cartafrica.org"/>
    <s v="musewaa@gmail.com"/>
    <s v="+256787456336"/>
    <s v="MSc. Clinical epidemiology and Biostatistics"/>
    <d v="1990-10-15T00:00:00"/>
    <s v="Molecular Epidemiology and Immunological responses associated with Flavivirus infections among febrile individuals in Western Uganda. "/>
    <s v="Laboratory"/>
    <s v="yes"/>
    <m/>
    <n v="31"/>
    <d v="2019-01-28T00:00:00"/>
    <d v="2018-03-01T00:00:00"/>
    <m/>
    <s v="Dr. Kato Charles Drago"/>
    <s v="Dr. Kristina Roesel"/>
    <m/>
    <n v="2"/>
    <s v="Home"/>
    <s v="Other"/>
    <m/>
    <s v="No"/>
    <s v="No"/>
    <m/>
    <s v="Academic"/>
    <s v="Assistant Lecturer"/>
    <s v="Assistant Lecturer"/>
    <m/>
    <m/>
    <s v="MAKERERE UNIVERSITY"/>
    <s v="0000-0002-9399-1522"/>
    <m/>
    <d v="2018-03-05T00:00:00"/>
    <d v="2018-11-05T00:00:00"/>
    <s v="Yes"/>
    <d v="2018-05-08T00:00:00"/>
    <d v="2019-07-19T00:00:00"/>
    <m/>
    <m/>
    <m/>
    <s v="Epidemiology and Molecular Characterization of Erysipelothrix rhusiopathiae infections in pigs and humans in Uganda"/>
    <d v="2021-01-11T00:00:00"/>
    <s v="Yes"/>
    <d v="2021-08-02T00:00:00"/>
    <s v="Yes"/>
    <m/>
    <m/>
    <m/>
    <m/>
    <x v="2"/>
    <m/>
    <m/>
    <m/>
    <n v="1"/>
    <n v="6"/>
    <n v="0"/>
    <m/>
    <m/>
    <m/>
    <m/>
    <s v="JAS 3&amp;4, 2021"/>
    <s v="No"/>
    <m/>
    <m/>
    <m/>
    <m/>
    <s v="No"/>
    <m/>
    <m/>
    <n v="0"/>
    <m/>
    <m/>
    <s v="SIDA"/>
  </r>
  <r>
    <n v="186"/>
    <s v="C8/012"/>
    <s v="Robert"/>
    <m/>
    <s v="Rutayisire"/>
    <x v="0"/>
    <x v="7"/>
    <s v="Rwanda"/>
    <s v="University of Rwanda"/>
    <s v="Chemistry"/>
    <s v="Biomedical Laboratory Sciences"/>
    <s v="University of Nairobi"/>
    <s v="No"/>
    <m/>
    <s v="Married"/>
    <s v="Married"/>
    <m/>
    <s v="rrutayisire@cartafrica.org"/>
    <s v="robertrutayisire@gmail.com"/>
    <s v="+250734984170"/>
    <m/>
    <d v="1985-10-14T00:00:00"/>
    <s v="The effect of HIV itself and HIV with ARV treatment on the biochemical risk factors related to cardiovascular diseases."/>
    <s v="Laboratory"/>
    <m/>
    <m/>
    <n v="38"/>
    <d v="2018-08-13T00:00:00"/>
    <d v="2018-03-01T00:00:00"/>
    <m/>
    <s v="Dr David Tumusiime"/>
    <m/>
    <m/>
    <n v="1"/>
    <m/>
    <m/>
    <m/>
    <s v="Yes"/>
    <m/>
    <m/>
    <s v="Academic"/>
    <s v="Assistant Lecturer"/>
    <s v="Lecturer"/>
    <s v="Yes"/>
    <m/>
    <s v="NATIONAL REFERENCE LABORATORY"/>
    <s v="0000-0003-4818-1552"/>
    <m/>
    <d v="2018-03-05T00:00:00"/>
    <d v="2018-11-05T00:00:00"/>
    <s v="Yes"/>
    <d v="2020-03-03T00:00:00"/>
    <d v="2019-08-23T00:00:00"/>
    <m/>
    <m/>
    <m/>
    <s v="ALTERED BIOMARKERS OF CARDIOVASCULAR DISEASES: THE ASSOCIATION WITH ART DRUGS."/>
    <d v="2021-10-01T00:00:00"/>
    <s v="No"/>
    <d v="2022-06-20T00:00:00"/>
    <s v="No"/>
    <m/>
    <m/>
    <m/>
    <m/>
    <x v="2"/>
    <m/>
    <m/>
    <m/>
    <n v="1"/>
    <n v="6"/>
    <n v="0"/>
    <m/>
    <m/>
    <m/>
    <m/>
    <s v="No"/>
    <m/>
    <m/>
    <m/>
    <m/>
    <m/>
    <m/>
    <m/>
    <m/>
    <n v="1"/>
    <m/>
    <m/>
    <s v="SIDA"/>
  </r>
  <r>
    <n v="187"/>
    <s v="C8/013"/>
    <s v="Getrude"/>
    <s v="Shepelo"/>
    <s v="Peter"/>
    <x v="1"/>
    <x v="7"/>
    <s v="Kenya"/>
    <s v="University of Nairobi"/>
    <s v="Veterinary Medicine"/>
    <s v="Clinical Studies"/>
    <s v="University of Nairobi"/>
    <s v="Yes"/>
    <m/>
    <s v="Married"/>
    <s v="Married"/>
    <s v="Married"/>
    <s v="gshepelo@cartafrica.org"/>
    <s v="shepelog@gmail.com"/>
    <s v="+254 2055198"/>
    <s v="Masters in Veterinary Medicine"/>
    <d v="1987-01-07T00:00:00"/>
    <s v="Molecular epidemiology of re-emerging zoonotic Ehrlichia infections in bovine in Nairobi and its peri-urban areas."/>
    <s v="Laboratory"/>
    <s v="yes"/>
    <m/>
    <n v="8"/>
    <d v="2018-03-01T00:00:00"/>
    <d v="2018-03-01T00:00:00"/>
    <m/>
    <s v="Prof. Daniel Waweru Gakuya "/>
    <s v="Dr. Gabriel Oluga Aboge"/>
    <s v="Prof. Ndichu Maingi"/>
    <n v="3"/>
    <s v="Home"/>
    <s v="Home"/>
    <s v="Home"/>
    <s v="Yes"/>
    <m/>
    <m/>
    <s v="Academic"/>
    <s v="Tutorial Fellow"/>
    <s v="Lecturer"/>
    <s v="Yes"/>
    <m/>
    <s v="UNIVERSITY OF NAIROBI"/>
    <s v="0000-0002-2188-3303"/>
    <m/>
    <d v="2018-03-05T00:00:00"/>
    <d v="2018-11-05T00:00:00"/>
    <s v="Yes"/>
    <d v="2018-08-15T00:00:00"/>
    <d v="2018-10-18T00:00:00"/>
    <m/>
    <m/>
    <m/>
    <s v="Epidemiology and characteristics of Ehrlichia infections in dairy cattle in Nairobi and peri-urban areas"/>
    <d v="2021-01-11T00:00:00"/>
    <s v="Yes"/>
    <d v="2021-08-02T00:00:00"/>
    <s v="Yes"/>
    <m/>
    <m/>
    <m/>
    <d v="2020-11-25T00:00:00"/>
    <x v="0"/>
    <n v="33"/>
    <n v="25"/>
    <s v="Epidemiology and Molecular Characterization of Anaplasma and Ehrlichia Species infecting Dairy cattle in smalleholder farms in Peri Urnab Nairobi, Kenya"/>
    <n v="3"/>
    <n v="5"/>
    <n v="1"/>
    <m/>
    <m/>
    <m/>
    <m/>
    <s v="No"/>
    <s v="No"/>
    <m/>
    <m/>
    <m/>
    <m/>
    <m/>
    <m/>
    <m/>
    <n v="1"/>
    <n v="2"/>
    <m/>
    <s v="WT-DELTAS/DAAD"/>
  </r>
  <r>
    <n v="188"/>
    <s v="C8/014"/>
    <s v="Atupele"/>
    <s v="Ngina"/>
    <s v="Mulaga"/>
    <x v="1"/>
    <x v="7"/>
    <s v="Malawi"/>
    <s v="University of Malawi"/>
    <s v="Mathematical Sciences"/>
    <s v="MATHEMATICS AND STATISTICS"/>
    <s v="University of the Malawi"/>
    <s v="Yes"/>
    <m/>
    <s v="Married"/>
    <s v="Married"/>
    <m/>
    <s v="amulaga@cartafrica.org"/>
    <s v="atupelemulaga@gmail.com"/>
    <s v="+265 882 363 717"/>
    <m/>
    <d v="1981-10-18T00:00:00"/>
    <s v="Spatial analysis and modeling of household out-of-pocket healthcare expenditure in Malawi: implications on household welfare           "/>
    <s v="Field"/>
    <m/>
    <m/>
    <n v="32"/>
    <d v="2018-04-01T00:00:00"/>
    <d v="2018-03-01T00:00:00"/>
    <m/>
    <s v="Dr.Mphatso Kamndaya"/>
    <s v="Dr Lumbwe Chola"/>
    <m/>
    <n v="2"/>
    <s v="Home"/>
    <s v="Other"/>
    <m/>
    <s v="Yes"/>
    <m/>
    <m/>
    <s v="Academic"/>
    <m/>
    <m/>
    <m/>
    <m/>
    <s v="UNIVERSITY OF MALAWI"/>
    <s v="0000-0002-9172-0366"/>
    <m/>
    <d v="2018-03-05T00:00:00"/>
    <d v="2018-11-05T00:00:00"/>
    <s v="Yes"/>
    <d v="2020-01-31T00:00:00"/>
    <d v="2019-08-19T00:00:00"/>
    <m/>
    <m/>
    <m/>
    <s v="Modelling catastrophic out-of-pocket health expenditure and its implication for household welfare in Malawi: A spatial multilevel approach"/>
    <d v="2021-01-11T00:00:00"/>
    <s v="Yes"/>
    <d v="2021-08-02T00:00:00"/>
    <s v="Yes"/>
    <m/>
    <m/>
    <m/>
    <d v="2022-12-05T00:00:00"/>
    <x v="0"/>
    <n v="58"/>
    <n v="50"/>
    <s v="Modelling Catastrophic Out-of-pocket Health Expenditures and its Implication for Household Welfare in Malawi: A Multilevel Spatial Approach."/>
    <n v="1"/>
    <n v="3"/>
    <n v="0"/>
    <m/>
    <m/>
    <m/>
    <m/>
    <s v="No"/>
    <m/>
    <m/>
    <m/>
    <m/>
    <m/>
    <m/>
    <m/>
    <m/>
    <n v="2"/>
    <m/>
    <m/>
    <s v="SIDA"/>
  </r>
  <r>
    <n v="189"/>
    <s v="C8/015"/>
    <s v="Oluwaseun"/>
    <s v="Taiwo"/>
    <s v="Esan"/>
    <x v="1"/>
    <x v="7"/>
    <s v="Nigeria"/>
    <s v="Obafemi Awolowo University"/>
    <s v="Public Health"/>
    <s v="Centre for Health Policy"/>
    <s v="University of the Witwatersrand"/>
    <s v="No"/>
    <n v="1928547"/>
    <s v="Married"/>
    <s v="Married"/>
    <m/>
    <s v="oesan@cartafrica.org"/>
    <s v="seunkayo@yahoo.com"/>
    <s v="+2348124352700"/>
    <s v="Master of Public Health (MPH), Master of Business Administration (MBA)"/>
    <d v="1975-07-30T00:00:00"/>
    <s v="Poor maternal Health Outcomes: Development of Strategies and Short term Evaluation for Improving Human Resources for Health in South West, Nigeria."/>
    <s v="Field"/>
    <m/>
    <m/>
    <n v="1"/>
    <d v="2018-05-01T00:00:00"/>
    <d v="2018-03-01T00:00:00"/>
    <m/>
    <s v="Dr. Duane Blaauw "/>
    <s v="Dr. Salome Maswime "/>
    <m/>
    <n v="2"/>
    <s v="Host"/>
    <s v="Host"/>
    <m/>
    <s v="No"/>
    <s v="No"/>
    <m/>
    <s v="Academic"/>
    <s v="Senior Lecturer"/>
    <s v="Associate Professor"/>
    <s v="Yes"/>
    <m/>
    <s v="OBAFEMI AWOLOWO UNIVERSITY"/>
    <s v="0000-0002-2908-6034"/>
    <m/>
    <d v="2018-03-05T00:00:00"/>
    <d v="2018-11-05T00:00:00"/>
    <s v="Yes"/>
    <d v="2019-02-26T00:00:00"/>
    <d v="2019-06-07T00:00:00"/>
    <m/>
    <m/>
    <m/>
    <s v="Strategies to Positively Shift Readiness for Change to a Respectful Maternity Care Practice During Childbirth in Public Health Facilities, Ibadan, Nigeria"/>
    <d v="2021-01-11T00:00:00"/>
    <s v="Yes"/>
    <d v="2021-08-02T00:00:00"/>
    <s v="Yes"/>
    <m/>
    <m/>
    <m/>
    <d v="2022-12-12T00:00:00"/>
    <x v="0"/>
    <n v="58"/>
    <n v="50"/>
    <s v="Improving readiness for change to respectful maternity care practice in public health facilities, Ibadan, Nigeria"/>
    <n v="5"/>
    <n v="5"/>
    <n v="0"/>
    <m/>
    <m/>
    <m/>
    <m/>
    <s v="No"/>
    <m/>
    <m/>
    <m/>
    <m/>
    <m/>
    <m/>
    <m/>
    <m/>
    <n v="3"/>
    <m/>
    <m/>
    <s v="WT-DELTAS"/>
  </r>
  <r>
    <n v="190"/>
    <s v="C8/016"/>
    <s v="Folashayo"/>
    <s v="Ikenna Peter"/>
    <s v="Adeniji"/>
    <x v="0"/>
    <x v="7"/>
    <s v="Nigeria"/>
    <s v="University of Ibadan"/>
    <s v="Public Health"/>
    <s v="Health Policy &amp; Management"/>
    <s v="University of the Witwatersrand"/>
    <s v="No"/>
    <m/>
    <s v="Married"/>
    <s v="Married"/>
    <s v="Married"/>
    <s v="fiadeniji@cartafrica.org"/>
    <s v="folashayoadeniji@yahoo.co.uk"/>
    <s v="+2347034649073"/>
    <s v="M.Sc. Economics"/>
    <d v="1981-12-04T00:00:00"/>
    <s v="Cost analysis of selected tobacco-related diseases in tertiary and secondary Clinical researchs in Ibadan, South-West, Nigeria: Implication for Tobacco Control Policy"/>
    <s v="Field"/>
    <m/>
    <m/>
    <n v="5"/>
    <d v="2018-08-06T00:00:00"/>
    <d v="2018-03-01T00:00:00"/>
    <m/>
    <s v="PD. Dr. med. Wilm Quentin"/>
    <m/>
    <m/>
    <n v="1"/>
    <m/>
    <m/>
    <m/>
    <s v="No"/>
    <m/>
    <m/>
    <s v="Academic"/>
    <s v="Lecturer II"/>
    <s v="Lecturer I"/>
    <s v="Yes"/>
    <m/>
    <s v="UNIVERSITY OF IBADAN"/>
    <s v="0000-0002-4697-3081"/>
    <m/>
    <d v="2018-03-05T00:00:00"/>
    <d v="2018-11-05T00:00:00"/>
    <s v="Yes"/>
    <d v="2019-05-30T00:00:00"/>
    <d v="2019-05-30T00:00:00"/>
    <m/>
    <m/>
    <m/>
    <s v="The Economic Burden of Cardiovascular Diseases in some sub-Saharan Africa Countries"/>
    <d v="2021-01-11T00:00:00"/>
    <s v="Yes"/>
    <d v="2021-08-02T00:00:00"/>
    <s v="Yes"/>
    <m/>
    <m/>
    <m/>
    <d v="2021-09-02T00:00:00"/>
    <x v="0"/>
    <n v="42"/>
    <n v="34"/>
    <m/>
    <n v="3"/>
    <n v="3"/>
    <n v="2"/>
    <m/>
    <m/>
    <m/>
    <m/>
    <s v="No"/>
    <m/>
    <m/>
    <m/>
    <m/>
    <m/>
    <m/>
    <m/>
    <m/>
    <n v="3"/>
    <n v="3"/>
    <m/>
    <s v="WT-DELTAS"/>
  </r>
  <r>
    <n v="191"/>
    <s v="C8/017"/>
    <s v="Lebogang"/>
    <s v="Johanna"/>
    <s v="Maseko"/>
    <x v="1"/>
    <x v="7"/>
    <s v="South Africa"/>
    <s v="University of the Witwatersrand"/>
    <s v="Occupational Therapy"/>
    <s v="Public Health"/>
    <s v="University of the Witwatersrand"/>
    <s v="Yes"/>
    <s v="9703746R"/>
    <s v="Married"/>
    <s v="Married"/>
    <m/>
    <s v="lmaseko@cartafrica.org"/>
    <s v="lkomape@hotmail.com"/>
    <s v="+2711 717 3701/0735266884"/>
    <s v="Master of Public Health (MPH)"/>
    <d v="1979-03-30T00:00:00"/>
    <s v="Rehabilitation in a reengineered Primary Health Care system: a model for service delivery in an under-resourced urban community setting"/>
    <s v="Field"/>
    <s v="No"/>
    <m/>
    <n v="19"/>
    <d v="2018-08-01T00:00:00"/>
    <d v="2018-03-01T00:00:00"/>
    <m/>
    <s v="Prof. Hellen Myezwa"/>
    <s v="Dr Fasloen Adams"/>
    <m/>
    <n v="2"/>
    <s v="Home"/>
    <s v="Home"/>
    <m/>
    <s v="No"/>
    <s v="No"/>
    <m/>
    <s v="Academic"/>
    <s v="Lecturer"/>
    <s v="Lecturer"/>
    <m/>
    <s v="Chairperson of committee and acting Head of Department when the Head of Department is out of the department"/>
    <s v="UNIVERSITY OF THE WITWATERSRAND"/>
    <s v="0000-0002-0996-4207"/>
    <m/>
    <d v="2018-03-05T00:00:00"/>
    <d v="2018-11-05T00:00:00"/>
    <s v="Yes"/>
    <d v="2019-03-07T00:00:00"/>
    <d v="2019-06-07T00:00:00"/>
    <m/>
    <m/>
    <m/>
    <s v="Integrating Rehabilitation services at Primary Healthcare level in Gauteng, South Africa"/>
    <d v="2021-01-11T00:00:00"/>
    <s v="Yes"/>
    <d v="2021-08-02T00:00:00"/>
    <s v="Yes"/>
    <m/>
    <m/>
    <m/>
    <d v="2024-11-14T00:00:00"/>
    <x v="0"/>
    <n v="81"/>
    <n v="73"/>
    <s v="Integrating rehabilitation services at primary healthcare level in Johannesburg, South Africa"/>
    <n v="2"/>
    <m/>
    <m/>
    <m/>
    <m/>
    <m/>
    <m/>
    <s v="No"/>
    <s v="No"/>
    <m/>
    <m/>
    <m/>
    <m/>
    <s v="No"/>
    <m/>
    <m/>
    <n v="2"/>
    <m/>
    <m/>
    <s v="SIDA"/>
  </r>
  <r>
    <n v="192"/>
    <s v="C8/018"/>
    <s v="Anne"/>
    <s v="Njeri"/>
    <s v="Maina"/>
    <x v="1"/>
    <x v="7"/>
    <s v="Kenya"/>
    <s v="University of Nairobi"/>
    <s v="Medical Microbiology"/>
    <s v="Medical Microbiology"/>
    <s v="University of Nairobi"/>
    <s v="Yes"/>
    <s v="H80/53286/2018"/>
    <s v="Married"/>
    <s v="Married"/>
    <m/>
    <s v="amaina@cartafrica.org"/>
    <s v="acnmaina@gmail.com"/>
    <s v="+254 737 348848"/>
    <s v="Msc. Medical Microbiology"/>
    <d v="1980-01-03T00:00:00"/>
    <s v="Cytokine Profile and the Genital Bacterial Microbiome in Neisseria gonorrhoeae infection: A Case-Control study"/>
    <s v="Clinical and laboratory based"/>
    <m/>
    <m/>
    <n v="11"/>
    <d v="2019-01-01T00:00:00"/>
    <d v="2018-03-01T00:00:00"/>
    <m/>
    <s v="Dr. Marianne Mureithi"/>
    <s v="Dr. John Ndemi Kiiru"/>
    <s v="Prof. Gunturu Revathi"/>
    <n v="3"/>
    <s v="Home"/>
    <s v="Home"/>
    <m/>
    <s v="Yes"/>
    <s v="No"/>
    <m/>
    <s v="Academic"/>
    <s v="Tutorial Fellow"/>
    <s v="Tutorial Fellow"/>
    <m/>
    <m/>
    <s v="UNIVERSITY OF NAIROBI"/>
    <s v="0000-0003-4945-0734"/>
    <m/>
    <d v="2018-03-05T00:00:00"/>
    <d v="2018-11-05T00:00:00"/>
    <s v="Yes"/>
    <d v="2018-08-07T00:00:00"/>
    <d v="2018-10-05T00:00:00"/>
    <m/>
    <m/>
    <m/>
    <s v="Role of the Genital Bacterial Microbiome in the Immune Response to Neisseria gonorrhoeae infection"/>
    <d v="2021-01-11T00:00:00"/>
    <s v="Yes"/>
    <d v="2021-08-02T00:00:00"/>
    <s v="Yes"/>
    <m/>
    <m/>
    <m/>
    <m/>
    <x v="2"/>
    <m/>
    <m/>
    <m/>
    <n v="1"/>
    <n v="3"/>
    <n v="0"/>
    <m/>
    <m/>
    <m/>
    <m/>
    <s v="No"/>
    <s v="No"/>
    <m/>
    <m/>
    <m/>
    <m/>
    <s v="No"/>
    <m/>
    <m/>
    <n v="3"/>
    <m/>
    <m/>
    <s v="WT-DELTAS"/>
  </r>
  <r>
    <n v="193"/>
    <s v="C8/019"/>
    <s v="Oyeyemi"/>
    <s v="Olajumoke"/>
    <s v="Oyelade"/>
    <x v="1"/>
    <x v="7"/>
    <s v="Nigeria"/>
    <s v="Obafemi Awolowo University"/>
    <s v="Nursing"/>
    <s v="Department of Nursing Sciences"/>
    <s v="University of the Witwatersrand"/>
    <s v="No"/>
    <n v="1815816"/>
    <m/>
    <s v="Single"/>
    <m/>
    <s v="ooyelade@cartafrica.org"/>
    <s v="oyeyemisamuel13@gmail.com"/>
    <s v="+234(0)8076580198"/>
    <m/>
    <d v="1982-11-18T00:00:00"/>
    <s v="Development of Quality Care Indicator for the Management of Violent Mentally ill Patients in Psychiatric Clinical researchs in Nigeria."/>
    <s v="Clinical research"/>
    <m/>
    <m/>
    <n v="7"/>
    <d v="2018-07-30T00:00:00"/>
    <d v="2018-03-01T00:00:00"/>
    <m/>
    <s v="Dr Nokuthula Mafutha"/>
    <m/>
    <m/>
    <n v="1"/>
    <s v="Host"/>
    <m/>
    <m/>
    <s v="Yes"/>
    <m/>
    <m/>
    <s v="Academic"/>
    <m/>
    <s v="Senior Lecturer"/>
    <s v="Yes"/>
    <m/>
    <s v="OBAFEMI AWOLOWO UNIVERSITY"/>
    <s v="0000-0002-0173-9208"/>
    <m/>
    <d v="2018-03-05T00:00:00"/>
    <d v="2018-11-05T00:00:00"/>
    <s v="Yes"/>
    <d v="2018-08-21T00:00:00"/>
    <d v="2018-09-21T00:00:00"/>
    <m/>
    <m/>
    <m/>
    <s v="A context specific psychosocial rehabilitation practice guide for the management of patients living with schizophrenia in South West Nigeria"/>
    <d v="2021-01-11T00:00:00"/>
    <s v="Yes"/>
    <d v="2021-08-02T00:00:00"/>
    <s v="Yes"/>
    <m/>
    <m/>
    <m/>
    <d v="2022-06-29T00:00:00"/>
    <x v="0"/>
    <n v="52"/>
    <n v="44"/>
    <s v="“An Exploration into Mealtimes for Families of Children with Autism Spectrum Disorders in South Africa.”"/>
    <n v="2"/>
    <n v="5"/>
    <n v="2"/>
    <m/>
    <m/>
    <m/>
    <m/>
    <s v="No"/>
    <m/>
    <m/>
    <m/>
    <m/>
    <m/>
    <m/>
    <m/>
    <m/>
    <n v="2"/>
    <m/>
    <m/>
    <s v="WT-DELTAS"/>
  </r>
  <r>
    <n v="194"/>
    <s v="C8/020"/>
    <s v="Faustin"/>
    <m/>
    <s v="Ntirenganya"/>
    <x v="0"/>
    <x v="7"/>
    <s v="Rwanda"/>
    <s v="University of Rwanda"/>
    <s v="Onco-Plastic surgery"/>
    <s v="Surgery"/>
    <s v="University of Rwanda"/>
    <s v="Yes"/>
    <m/>
    <s v="Married"/>
    <s v="Married"/>
    <m/>
    <s v="fntirenganya@cartafrica.org"/>
    <s v="fostino21@yahoo.fr"/>
    <s v="+250788732667"/>
    <s v="Surgery"/>
    <d v="1979-03-01T00:00:00"/>
    <s v="The analysis of biomarkers and key oncogenes expression in Rwandan breast cancer patients: From molecular sub-typing to clinical presentation, prognosis and outcomes"/>
    <s v="Laboratory"/>
    <s v="yes"/>
    <m/>
    <n v="12"/>
    <d v="2018-09-01T00:00:00"/>
    <d v="2018-03-01T00:00:00"/>
    <m/>
    <s v="Prof RULISA Steven"/>
    <m/>
    <m/>
    <n v="1"/>
    <s v="Home"/>
    <m/>
    <m/>
    <s v="Yes"/>
    <m/>
    <m/>
    <s v="Academic"/>
    <s v="Senior Lecturer of Surgery and Head of department"/>
    <s v="Associate Professor"/>
    <s v="Yes"/>
    <m/>
    <s v="UNIVERSITY OF RWANDA"/>
    <s v="0000-0001-8886-8100_x000a_"/>
    <m/>
    <d v="2018-03-05T00:00:00"/>
    <d v="2018-11-05T00:00:00"/>
    <s v="Yes"/>
    <d v="2018-06-01T00:00:00"/>
    <d v="2018-02-01T00:00:00"/>
    <m/>
    <m/>
    <m/>
    <s v="Risk factors, clinical and histopathology-based Model to predict breast cancer molecular subtypes in premenopausal women, Rwanda"/>
    <d v="2021-01-11T00:00:00"/>
    <s v="Yes"/>
    <d v="2021-08-02T00:00:00"/>
    <s v="Yes"/>
    <m/>
    <m/>
    <m/>
    <d v="2023-11-17T00:00:00"/>
    <x v="0"/>
    <m/>
    <m/>
    <m/>
    <n v="9"/>
    <n v="57"/>
    <n v="0"/>
    <m/>
    <m/>
    <m/>
    <m/>
    <s v="No"/>
    <s v="No"/>
    <m/>
    <m/>
    <m/>
    <m/>
    <s v="No"/>
    <m/>
    <m/>
    <n v="2"/>
    <m/>
    <m/>
    <s v="WT-DELTAS"/>
  </r>
  <r>
    <n v="195"/>
    <s v="C8/021"/>
    <s v="Foluso"/>
    <s v="Ayobami"/>
    <s v="Atiba"/>
    <x v="1"/>
    <x v="7"/>
    <s v="Nigeria"/>
    <s v="University of Ibadan"/>
    <s v="Neuroscience"/>
    <s v="School of Anatomical Sciences"/>
    <s v="University of the Witwatersrand"/>
    <s v="No"/>
    <n v="2113374"/>
    <m/>
    <s v="Married"/>
    <m/>
    <s v="fatiba@cartafrica.org"/>
    <s v="omoloye1@yahoo.com"/>
    <s v="+234 8034237082"/>
    <m/>
    <d v="1977-07-26T00:00:00"/>
    <s v="Studies on the effect of kolanut isolates on the developing brain of rats: Electron microscopic structure of the blood brain barrier"/>
    <s v="Field and Laboratory"/>
    <m/>
    <m/>
    <n v="9"/>
    <d v="2018-06-10T00:00:00"/>
    <d v="2018-03-01T00:00:00"/>
    <m/>
    <s v="Dr Felix Mbajiorgu"/>
    <s v="Prof. Amadi Ihunwo"/>
    <s v="Prof. Adefolarin Malomo"/>
    <n v="3"/>
    <s v="Host"/>
    <s v="Host"/>
    <m/>
    <s v="Yes"/>
    <s v="No"/>
    <s v="No"/>
    <s v="Academic"/>
    <s v="Lecturer"/>
    <s v="Senior Lecturer"/>
    <m/>
    <m/>
    <s v="UNIVERSITY OF IBADAN"/>
    <s v="0000-0003-4780-7840"/>
    <m/>
    <d v="2018-03-05T00:00:00"/>
    <d v="2018-11-05T00:00:00"/>
    <s v="Yes"/>
    <d v="2020-12-04T00:00:00"/>
    <d v="2020-10-20T00:00:00"/>
    <m/>
    <m/>
    <m/>
    <s v="Kolanut (Cola nitida) consumption among pregnant women and structural changes in the postnatal brain of Sprague-Dawley rat pups"/>
    <d v="2021-01-11T00:00:00"/>
    <s v="Yes"/>
    <d v="2021-08-02T00:00:00"/>
    <s v="Yes"/>
    <m/>
    <m/>
    <m/>
    <d v="2024-07-25T00:00:00"/>
    <x v="0"/>
    <n v="77"/>
    <n v="69"/>
    <s v="Effects of aqueous extract of kolanut (Cola nitida) on Sprague Dawley dams and exposure on the hippocampus of the progeny"/>
    <n v="1"/>
    <n v="5"/>
    <n v="0"/>
    <m/>
    <m/>
    <m/>
    <m/>
    <s v="No"/>
    <m/>
    <m/>
    <m/>
    <m/>
    <m/>
    <m/>
    <m/>
    <m/>
    <m/>
    <m/>
    <m/>
    <s v="WT-DELTAS"/>
  </r>
  <r>
    <n v="196"/>
    <s v="C8/022"/>
    <s v="Leo"/>
    <s v="Peter Lockie"/>
    <s v="Masamba"/>
    <x v="0"/>
    <x v="7"/>
    <s v="Malawi"/>
    <s v="University of Malawi"/>
    <s v="Internal Medicine"/>
    <s v="Oncology/Medicine"/>
    <s v="University of the Malawi"/>
    <s v="Yes"/>
    <m/>
    <m/>
    <s v="Married"/>
    <m/>
    <s v="lmasamba@cartafrica.org"/>
    <s v="leomasamba@yahoo.co.uk"/>
    <s v="+2651630333/+265888868714"/>
    <m/>
    <d v="1979-09-11T00:00:00"/>
    <s v="EVALUATING IMPACT OF HIV, BENIGN NEUTROPAENIA AND DARC-NULL ON CHEMOTHERAPY INDUCED INFECTIONS IN CANCER PATIENTS AT QUEEN ELIZABETH CENTRAL Clinical research"/>
    <m/>
    <m/>
    <m/>
    <n v="12"/>
    <d v="2018-07-03T00:00:00"/>
    <d v="2018-03-01T00:00:00"/>
    <d v="2021-07-21T00:00:00"/>
    <s v="Prof Adamson Muula"/>
    <m/>
    <m/>
    <n v="1"/>
    <s v="Home"/>
    <m/>
    <m/>
    <s v="Yes"/>
    <m/>
    <m/>
    <s v="Academic"/>
    <m/>
    <m/>
    <m/>
    <m/>
    <s v="UNIVERSITY OF MALAWI"/>
    <s v="0000-0002-7775-0139"/>
    <m/>
    <d v="2018-03-05T00:00:00"/>
    <d v="2018-11-05T00:00:00"/>
    <s v="Yes"/>
    <d v="2020-09-25T00:00:00"/>
    <d v="2020-10-18T00:00:00"/>
    <m/>
    <m/>
    <m/>
    <m/>
    <m/>
    <m/>
    <m/>
    <m/>
    <m/>
    <m/>
    <m/>
    <m/>
    <x v="1"/>
    <m/>
    <m/>
    <m/>
    <n v="0"/>
    <m/>
    <m/>
    <m/>
    <m/>
    <m/>
    <m/>
    <s v="No"/>
    <m/>
    <m/>
    <m/>
    <m/>
    <m/>
    <m/>
    <m/>
    <m/>
    <m/>
    <m/>
    <m/>
    <s v="WT-DELTAS"/>
  </r>
  <r>
    <n v="197"/>
    <s v="C8/023"/>
    <s v="Florence"/>
    <s v="Basiimwa"/>
    <s v="Tushemerirwe"/>
    <x v="1"/>
    <x v="7"/>
    <s v="Uganda"/>
    <s v="Makerere University"/>
    <s v="Public Health"/>
    <s v="Community Health and Behavioural Sciences"/>
    <m/>
    <s v="No"/>
    <m/>
    <m/>
    <s v="Single"/>
    <m/>
    <s v="ftushemerirwe@cartafrica.org"/>
    <s v="ftusht01@gmail.com"/>
    <s v="256794944401_x000a_256414543872"/>
    <m/>
    <d v="1973-01-02T00:00:00"/>
    <s v="The Uganda Food System and its influence on Non-Communicable Diseases trends "/>
    <m/>
    <m/>
    <m/>
    <n v="14"/>
    <d v="2018-08-31T00:00:00"/>
    <d v="2018-03-01T00:00:00"/>
    <d v="2022-03-31T00:00:00"/>
    <s v="Assoc. Prof. Freddie Ssengooba"/>
    <s v="Dr. Henry Wamani"/>
    <m/>
    <n v="2"/>
    <s v="Home"/>
    <s v="Home"/>
    <m/>
    <s v="No"/>
    <m/>
    <m/>
    <s v="Academic"/>
    <m/>
    <m/>
    <m/>
    <m/>
    <s v="MAKERERE UNIVERSITY"/>
    <s v="0000-0001-7147-6012"/>
    <m/>
    <d v="2018-03-05T00:00:00"/>
    <d v="2018-11-05T00:00:00"/>
    <s v="Yes"/>
    <m/>
    <m/>
    <m/>
    <m/>
    <m/>
    <m/>
    <m/>
    <m/>
    <m/>
    <m/>
    <m/>
    <m/>
    <m/>
    <m/>
    <x v="1"/>
    <m/>
    <m/>
    <m/>
    <n v="4"/>
    <m/>
    <m/>
    <m/>
    <m/>
    <m/>
    <m/>
    <s v="No"/>
    <m/>
    <m/>
    <m/>
    <m/>
    <m/>
    <m/>
    <m/>
    <m/>
    <m/>
    <m/>
    <m/>
    <s v="WT-DELTAS"/>
  </r>
  <r>
    <n v="198"/>
    <s v="C8/024"/>
    <s v="Oluwafemi"/>
    <s v="Akinyele"/>
    <s v="Popoola"/>
    <x v="0"/>
    <x v="7"/>
    <s v="Nigeria"/>
    <s v="University of Ibadan"/>
    <s v="Public Health"/>
    <s v="Community Medicine"/>
    <s v="University of Ibadan"/>
    <s v="Yes"/>
    <m/>
    <m/>
    <s v="Married"/>
    <m/>
    <s v="opopoola@cartafrica.org"/>
    <s v="drpopee@gmail.com"/>
    <s v="+2348131733285"/>
    <m/>
    <d v="1977-12-29T00:00:00"/>
    <s v="An assessment of patient safety culture and practices across tiers of the Nigerian Health System: a contextual analysis for intervention"/>
    <s v="Clinical research"/>
    <m/>
    <m/>
    <n v="2"/>
    <d v="2018-11-01T00:00:00"/>
    <d v="2018-03-01T00:00:00"/>
    <m/>
    <s v="Dr Akindele Olupelumi Adebiyi"/>
    <s v="Prof Eme Theodora Owoaje"/>
    <m/>
    <n v="2"/>
    <m/>
    <s v="Home"/>
    <m/>
    <s v="Yes"/>
    <s v="Yes"/>
    <m/>
    <s v="Academic"/>
    <m/>
    <s v="Lecturerr"/>
    <m/>
    <m/>
    <s v="UNIVERSITY OF IBADAN"/>
    <s v="0000-0001-8535-7882"/>
    <m/>
    <d v="2018-03-05T00:00:00"/>
    <d v="2018-11-05T00:00:00"/>
    <s v="Yes"/>
    <d v="2020-01-03T00:00:00"/>
    <d v="2020-01-27T00:00:00"/>
    <m/>
    <m/>
    <m/>
    <s v="Analysing patient safety culture and medical errors in a tertiary Clinical research in South Western Nigeria"/>
    <d v="2021-01-11T00:00:00"/>
    <s v="Yes"/>
    <d v="2021-08-02T00:00:00"/>
    <s v="Yes"/>
    <m/>
    <m/>
    <m/>
    <m/>
    <x v="2"/>
    <m/>
    <m/>
    <m/>
    <n v="5"/>
    <n v="12"/>
    <n v="0"/>
    <m/>
    <m/>
    <m/>
    <m/>
    <s v="No"/>
    <m/>
    <m/>
    <m/>
    <m/>
    <m/>
    <m/>
    <m/>
    <m/>
    <m/>
    <m/>
    <m/>
    <s v="WT-DELTAS"/>
  </r>
  <r>
    <n v="199"/>
    <s v="C8/025"/>
    <s v="Catherine"/>
    <m/>
    <s v="Kafu"/>
    <x v="1"/>
    <x v="7"/>
    <s v="Kenya"/>
    <s v="Moi University"/>
    <s v="Health Communication"/>
    <s v="Development Communication"/>
    <s v="University of the Witwatersrand"/>
    <s v="No"/>
    <n v="1540298"/>
    <s v="Single"/>
    <s v="Single"/>
    <m/>
    <s v="ckafu@cartafrica.org"/>
    <s v="catekafu@gmail.com"/>
    <s v="+254 532 033 471"/>
    <s v="Communication and Journalism"/>
    <d v="1986-07-21T00:00:00"/>
    <s v="Mass Media As A Key Adherence Intervention Strategy For The Perinatal Infected HIV Adolescents"/>
    <s v="Field"/>
    <s v="No"/>
    <m/>
    <n v="15"/>
    <d v="2018-09-03T00:00:00"/>
    <d v="2018-03-01T00:00:00"/>
    <m/>
    <s v="Prof. Dina Ligaga"/>
    <s v="Dr. Juddy Wachira"/>
    <m/>
    <n v="2"/>
    <s v="Host"/>
    <s v="Home"/>
    <m/>
    <s v="No"/>
    <s v="No"/>
    <m/>
    <s v="Researcher"/>
    <s v="Manager, Social Behavioural Department-AMPATHPlus"/>
    <s v="Departmental Manager"/>
    <m/>
    <m/>
    <s v="MOI UNIVERSITY"/>
    <s v="0000-0003-4890-4458"/>
    <m/>
    <d v="2018-03-05T00:00:00"/>
    <d v="2018-11-05T00:00:00"/>
    <s v="Yes"/>
    <d v="2019-05-22T00:00:00"/>
    <d v="2020-04-20T00:00:00"/>
    <m/>
    <m/>
    <m/>
    <s v="Exploring the Kenyan media framing of abortion content on television: A focus on adolescents"/>
    <d v="2021-01-11T00:00:00"/>
    <s v="Yes"/>
    <d v="2021-08-02T00:00:00"/>
    <s v="Yes"/>
    <m/>
    <m/>
    <m/>
    <d v="2025-02-13T00:00:00"/>
    <x v="0"/>
    <m/>
    <m/>
    <s v="Exploring media framing of abortion content on Kenyan Television: A focus on adolescents."/>
    <n v="1"/>
    <n v="8"/>
    <n v="0"/>
    <m/>
    <m/>
    <m/>
    <m/>
    <s v="No"/>
    <s v="No"/>
    <s v="N/A"/>
    <m/>
    <m/>
    <m/>
    <s v="No"/>
    <m/>
    <m/>
    <n v="1"/>
    <m/>
    <m/>
    <s v="SIDA"/>
  </r>
  <r>
    <n v="200"/>
    <s v="C8/026"/>
    <s v="Agnes"/>
    <s v="Jemuge"/>
    <s v="Maleyo"/>
    <x v="1"/>
    <x v="7"/>
    <s v="Kenya"/>
    <s v="Moi University"/>
    <s v="Environmental Planning and Managementt"/>
    <s v="Geography and Environmental Studies"/>
    <s v="University of Nairobi"/>
    <s v="No"/>
    <n v="10104312016"/>
    <m/>
    <s v="Married"/>
    <m/>
    <s v="amaleyo@cartafrica.org"/>
    <s v="maleyoagnes@gmail.com"/>
    <s v="+254720319202"/>
    <m/>
    <d v="1985-11-05T00:00:00"/>
    <s v="THE EFFECT OF MINING ACTIVITIES AND CORPORATE SOCIAL RESPONSIBILITY (CSR) INITIATIVES ON LIVELIHOODS: A CASE OF SODA ASH MINING IN LAKE MAGADI, KENYA"/>
    <s v="Field"/>
    <m/>
    <m/>
    <n v="41"/>
    <d v="2016-08-12T00:00:00"/>
    <d v="2018-03-01T00:00:00"/>
    <m/>
    <s v="Dr. Kennedy J. Omoke"/>
    <s v="Dr. James M. Moronge"/>
    <m/>
    <n v="2"/>
    <s v="Host"/>
    <s v="Host"/>
    <m/>
    <s v="No"/>
    <m/>
    <m/>
    <s v="Academic"/>
    <s v="Assistant Lecturer"/>
    <s v="Assistant Lecturer"/>
    <m/>
    <m/>
    <s v="MOI UNIVERSITY"/>
    <s v="0000-0003-3475-9982"/>
    <m/>
    <d v="2018-03-05T00:00:00"/>
    <d v="2018-11-05T00:00:00"/>
    <s v="Yes"/>
    <d v="2019-09-06T00:00:00"/>
    <d v="2020-04-06T00:00:00"/>
    <m/>
    <m/>
    <m/>
    <s v="AN EVALUATION OF FACTORS LOCAL ACTORS CONSIDER WHEN PROVIDING ACCESS TO CHILDBIRTH SERVICES: A CASE OF MAGADI SUB COUNTY"/>
    <d v="2021-01-11T00:00:00"/>
    <s v="Yes"/>
    <d v="2021-08-02T00:00:00"/>
    <s v="Yes"/>
    <m/>
    <m/>
    <m/>
    <m/>
    <x v="2"/>
    <m/>
    <m/>
    <m/>
    <n v="3"/>
    <m/>
    <m/>
    <m/>
    <m/>
    <m/>
    <m/>
    <s v="No"/>
    <m/>
    <m/>
    <m/>
    <m/>
    <m/>
    <m/>
    <m/>
    <m/>
    <m/>
    <m/>
    <m/>
    <s v="SIDA"/>
  </r>
  <r>
    <n v="201"/>
    <s v="C9/001"/>
    <s v="Ernest"/>
    <s v="Yamie"/>
    <s v="Moya"/>
    <x v="0"/>
    <x v="8"/>
    <s v="Malawi"/>
    <s v="University of Malawi"/>
    <s v="Maternal Health"/>
    <s v="Public Health Department"/>
    <s v="University of the Malawi"/>
    <s v="Yes"/>
    <m/>
    <s v="Married"/>
    <s v="Married"/>
    <m/>
    <s v="emoya@cartafrica.org"/>
    <s v="emoya@medcol.mw"/>
    <s v="+2651871911/'+265999639917"/>
    <m/>
    <d v="1985-04-15T00:00:00"/>
    <s v="A prospective cohort study on “Extent of iron deficiency anemia and its impact on Malawian postnatal mothers”"/>
    <s v="Clinical research"/>
    <m/>
    <m/>
    <n v="14"/>
    <d v="2019-09-01T00:00:00"/>
    <d v="2019-03-01T00:00:00"/>
    <m/>
    <s v="Prof. Phiri Kamija"/>
    <s v="Dr. Martin Mwangi"/>
    <m/>
    <n v="2"/>
    <s v="Home"/>
    <s v="Home"/>
    <m/>
    <s v="No"/>
    <s v="Yes"/>
    <m/>
    <s v="Researcher"/>
    <s v="Research fellow"/>
    <s v="Senior Research fellow"/>
    <s v="Yes"/>
    <m/>
    <s v="UNIVERSITY OF MALAWI"/>
    <s v="0000-0002-1157-7724"/>
    <m/>
    <d v="2019-03-04T00:00:00"/>
    <d v="2019-11-01T00:00:00"/>
    <s v="Yes"/>
    <d v="2019-12-16T00:00:00"/>
    <d v="2019-12-09T00:00:00"/>
    <m/>
    <m/>
    <m/>
    <s v="Long-term effects of antenatal intravenous iron on maternal well-being after child birth"/>
    <d v="2021-10-01T00:00:00"/>
    <s v="Yes"/>
    <d v="2022-06-20T00:00:00"/>
    <s v="Yes"/>
    <d v="2023-09-28T00:00:00"/>
    <m/>
    <m/>
    <d v="2024-02-15T00:00:00"/>
    <x v="0"/>
    <n v="60"/>
    <n v="52"/>
    <m/>
    <n v="0"/>
    <n v="5"/>
    <m/>
    <m/>
    <m/>
    <m/>
    <m/>
    <s v="No"/>
    <m/>
    <m/>
    <m/>
    <m/>
    <m/>
    <m/>
    <m/>
    <m/>
    <n v="2"/>
    <m/>
    <m/>
    <s v="WT-DELTAS"/>
  </r>
  <r>
    <n v="202"/>
    <s v="C9/002"/>
    <s v="Olujide"/>
    <s v="Olusesan"/>
    <s v="Arije"/>
    <x v="0"/>
    <x v="8"/>
    <s v="Nigeria"/>
    <s v="Obafemi Awolowo University"/>
    <s v="Public Health"/>
    <s v="Public Health"/>
    <s v="University of the Witwatersrand"/>
    <s v="No"/>
    <n v="1507128"/>
    <s v="Married"/>
    <s v="Married"/>
    <m/>
    <s v="oarije@cartafrica.org"/>
    <s v="olujide_arije@yahoo.com"/>
    <s v="+2348023208897"/>
    <s v="MBA"/>
    <d v="1978-10-01T00:00:00"/>
    <s v="Impact on adolescent health of a minimum healthcare package delivered by primary health care workers with strengthened links to primary health care facilities"/>
    <s v="Field"/>
    <s v="No"/>
    <m/>
    <n v="21"/>
    <d v="2020-01-07T00:00:00"/>
    <d v="2019-03-01T00:00:00"/>
    <m/>
    <s v="Dr Olumide, Adesola O."/>
    <m/>
    <m/>
    <n v="1"/>
    <s v="University of Ibadan, Ibadan"/>
    <m/>
    <m/>
    <s v="Yes"/>
    <m/>
    <m/>
    <s v="Researcher"/>
    <s v="Research Fellow"/>
    <s v="Research Fellow 1; Senior lecture r (Jan 2022)"/>
    <s v="Yes"/>
    <m/>
    <s v="OBAFEMI AWOLOWO UNIVERSITY"/>
    <s v="0000-0001-5192-3698"/>
    <m/>
    <d v="2019-03-04T00:00:00"/>
    <d v="2019-11-01T00:00:00"/>
    <s v="Yes"/>
    <d v="2020-08-14T00:00:00"/>
    <d v="2021-05-03T00:00:00"/>
    <m/>
    <m/>
    <m/>
    <s v="Adolescent and youth-friendly health service capacity and readiness in primary healthcare facilities in South West Nigeria"/>
    <d v="2021-10-01T00:00:00"/>
    <s v="Yes"/>
    <d v="2022-06-20T00:00:00"/>
    <s v="Yes"/>
    <m/>
    <m/>
    <m/>
    <d v="2023-10-03T00:00:00"/>
    <x v="0"/>
    <n v="55"/>
    <n v="48"/>
    <s v="Quality of care and stated preferences in sexual and reproductive health services for adolescents and young people in Southwest Nigeria"/>
    <n v="7"/>
    <n v="8"/>
    <m/>
    <m/>
    <m/>
    <m/>
    <m/>
    <s v="No"/>
    <m/>
    <m/>
    <m/>
    <m/>
    <m/>
    <s v="No"/>
    <m/>
    <m/>
    <n v="3"/>
    <m/>
    <m/>
    <s v="WT-DELTAS"/>
  </r>
  <r>
    <n v="203"/>
    <s v="C9/003"/>
    <s v="Skye"/>
    <s v="Nandi"/>
    <s v="Adams"/>
    <x v="1"/>
    <x v="8"/>
    <s v="South Africa"/>
    <s v="University of the Witwatersrand"/>
    <s v="Speech Pathology"/>
    <s v="Speech Pathology"/>
    <s v="University of the Witwatersrand"/>
    <s v="Yes"/>
    <n v="161842"/>
    <s v="Single"/>
    <s v="Single"/>
    <m/>
    <s v="sadams@cartafrica.org"/>
    <s v="skye.adams@wits.ac.za"/>
    <s v="+27 11 717 4484,+27 732218804 "/>
    <m/>
    <d v="1990-10-16T00:00:00"/>
    <s v="Implementation of a dysphagia management programme for children with Cerebral Palsy in a care facilities in Johannesburg"/>
    <s v="Clinical research"/>
    <m/>
    <m/>
    <n v="33"/>
    <d v="2018-05-22T00:00:00"/>
    <d v="2019-03-01T00:00:00"/>
    <m/>
    <s v="Dr Jaishika Seedat "/>
    <m/>
    <m/>
    <n v="1"/>
    <s v="Home"/>
    <m/>
    <m/>
    <s v="Yes"/>
    <m/>
    <m/>
    <s v="Academic"/>
    <m/>
    <s v="Lecturer "/>
    <m/>
    <m/>
    <s v="UNIVERSITY OF THE WITWATERSRAND"/>
    <s v="0000-0002-6388-0960"/>
    <m/>
    <d v="2019-03-04T00:00:00"/>
    <d v="2019-11-01T00:00:00"/>
    <s v="Yes"/>
    <d v="2019-11-06T00:00:00"/>
    <d v="2019-08-16T00:00:00"/>
    <m/>
    <m/>
    <m/>
    <s v="An Exploration into Mealtimes for Families of Children with Autism Spectrum Disorders in Gauteng, South Africa"/>
    <d v="2021-10-01T00:00:00"/>
    <s v="Yes"/>
    <d v="2023-07-03T00:00:00"/>
    <s v="No"/>
    <d v="2022-04-27T00:00:00"/>
    <m/>
    <m/>
    <d v="2022-10-17T00:00:00"/>
    <x v="0"/>
    <n v="44"/>
    <n v="36"/>
    <s v="An Exploration into Mealtimes for Families of Children with Autism Spectrum Disorders in South Africa."/>
    <n v="0"/>
    <n v="5"/>
    <m/>
    <m/>
    <m/>
    <m/>
    <m/>
    <s v="No"/>
    <m/>
    <m/>
    <m/>
    <m/>
    <m/>
    <m/>
    <m/>
    <m/>
    <n v="0"/>
    <m/>
    <m/>
    <s v="WT-DELTAS"/>
  </r>
  <r>
    <n v="204"/>
    <s v="C9/004"/>
    <s v="Noel"/>
    <m/>
    <s v="Korukire"/>
    <x v="0"/>
    <x v="8"/>
    <s v="Rwanda"/>
    <s v="University of Rwanda"/>
    <s v="Environmental Health Sciences "/>
    <s v="Environmental Health Sciences "/>
    <s v="University of Rwanda"/>
    <s v="Yes"/>
    <n v="217303134"/>
    <s v="Married"/>
    <s v="Married"/>
    <m/>
    <s v="nkorukire@cartafrica.org"/>
    <s v="koranoe@yahoo.com"/>
    <s v="+250789453462/ +250788524045"/>
    <s v="HI&amp;UMD"/>
    <d v="1980-12-25T00:00:00"/>
    <s v="Water quality and community health in  informal settlements in Rwanda"/>
    <s v="Laboratory"/>
    <s v="No"/>
    <m/>
    <n v="21"/>
    <d v="2019-09-01T00:00:00"/>
    <d v="2019-03-01T00:00:00"/>
    <m/>
    <s v="Ass.Prof. Theoneste Ntakirutimana"/>
    <m/>
    <m/>
    <n v="1"/>
    <s v="Home"/>
    <m/>
    <m/>
    <s v="Yes"/>
    <m/>
    <m/>
    <s v="Academic"/>
    <s v="Lecturer"/>
    <s v="Lecturer"/>
    <s v="No"/>
    <s v="The chairperson of the National Council Board(NCB) of Rwanda Allied Health Professions Council (RAHPC). _x000a_Nominated to be head of the commanding of the COVID-19 response team at the level of College of Medicine and Health Sciences, University of Rwanda._x000a_"/>
    <s v="UNIVERSITY OF RWANDA"/>
    <s v="0000-0003-1249-5138"/>
    <m/>
    <d v="2019-03-04T00:00:00"/>
    <d v="2019-11-01T00:00:00"/>
    <s v="Yes"/>
    <d v="2021-03-11T00:00:00"/>
    <d v="2021-03-15T00:00:00"/>
    <m/>
    <m/>
    <m/>
    <s v="Health effects of exposure to urban indoor and outdoor air pollution among communities living in Kigali, Rwanda"/>
    <d v="2021-10-01T00:00:00"/>
    <s v="Yes"/>
    <d v="2022-06-20T00:00:00"/>
    <s v="Yes"/>
    <m/>
    <m/>
    <m/>
    <d v="2025-09-16T00:00:00"/>
    <x v="0"/>
    <n v="79"/>
    <n v="71"/>
    <m/>
    <m/>
    <m/>
    <m/>
    <m/>
    <m/>
    <m/>
    <m/>
    <s v="No"/>
    <m/>
    <m/>
    <m/>
    <m/>
    <m/>
    <m/>
    <m/>
    <m/>
    <n v="2"/>
    <m/>
    <m/>
    <s v="WT-DELTAS"/>
  </r>
  <r>
    <n v="205"/>
    <s v="C9/005"/>
    <s v="Priscille"/>
    <m/>
    <s v="Musabirema"/>
    <x v="1"/>
    <x v="8"/>
    <s v="Rwanda"/>
    <s v="University of Rwanda"/>
    <s v="Nursing"/>
    <s v="Midwifery"/>
    <s v="University of the Witwatersrand"/>
    <s v="No"/>
    <n v="2394319"/>
    <s v="Married"/>
    <s v="Married"/>
    <m/>
    <s v="pmusabirema@cartafrica.org"/>
    <s v="priscillemusa10@yahoo.fr"/>
    <s v="+250788304396/+250788497838"/>
    <s v="Critical Care and Trauma Nursing"/>
    <d v="1976-01-01T00:00:00"/>
    <s v="Ecological factors impacting adherence to hemodialysis sessions among persons with end stage renal disease, in Rwanda: a mixed method study."/>
    <s v="Laboratory"/>
    <s v="yes"/>
    <m/>
    <n v="8"/>
    <d v="2020-01-10T00:00:00"/>
    <d v="2019-03-01T00:00:00"/>
    <m/>
    <s v="Professor Lize Maree"/>
    <m/>
    <m/>
    <n v="1"/>
    <s v="Host"/>
    <m/>
    <m/>
    <s v="Yes"/>
    <m/>
    <m/>
    <s v="Academic"/>
    <s v="Lecturer"/>
    <s v="Lecturer"/>
    <s v="No"/>
    <m/>
    <s v="UNIVERSITY OF RWANDA"/>
    <s v="0000-0002-5106-1394"/>
    <m/>
    <d v="2019-03-04T00:00:00"/>
    <d v="2019-11-01T00:00:00"/>
    <s v="Yes"/>
    <d v="2020-12-01T00:00:00"/>
    <d v="2021-02-01T00:00:00"/>
    <m/>
    <m/>
    <m/>
    <s v="Holistic adherence to hemodialysis and associated social-ecological factors among persons with end-stage renal diseases in Rwanda."/>
    <d v="2021-10-01T00:00:00"/>
    <s v="Yes"/>
    <d v="2022-06-20T00:00:00"/>
    <s v="Yes"/>
    <d v="2023-03-01T00:00:00"/>
    <m/>
    <m/>
    <d v="2023-11-10T00:00:00"/>
    <x v="0"/>
    <n v="57"/>
    <n v="49"/>
    <s v="Development and pilot testing of an educational supportive program for persons with end-stage renal disease on hemodialysis in Rwanda"/>
    <n v="1"/>
    <n v="1"/>
    <m/>
    <m/>
    <m/>
    <m/>
    <m/>
    <s v="No"/>
    <m/>
    <m/>
    <m/>
    <m/>
    <m/>
    <m/>
    <m/>
    <m/>
    <n v="3"/>
    <m/>
    <m/>
    <s v="WT-DELTAS"/>
  </r>
  <r>
    <n v="206"/>
    <s v="C9/006"/>
    <s v="Lilian"/>
    <s v="Nkirote"/>
    <s v="Njagi"/>
    <x v="1"/>
    <x v="8"/>
    <s v="Kenya"/>
    <s v="University of Nairobi"/>
    <s v="Tropical and Infectious Diseases"/>
    <s v="Clinical Medicine and therapeutics"/>
    <s v="University of Nairobi"/>
    <s v="Yes"/>
    <s v="W80/52095/2017"/>
    <s v="Single"/>
    <s v="Single"/>
    <m/>
    <s v="lnjagi@cartafrica.org"/>
    <s v="njagi.lilian@gmail.com"/>
    <s v="+254731575686/'+254722575686"/>
    <s v="Master of Science in Tropical and Infectious Diseases"/>
    <d v="1979-03-11T00:00:00"/>
    <s v="Tuberculosis and HIV, novel strategies for treatment monitoring."/>
    <s v="Laboratory"/>
    <s v="yes"/>
    <m/>
    <n v="12"/>
    <d v="2018-12-08T00:00:00"/>
    <d v="2019-03-01T00:00:00"/>
    <m/>
    <s v="Dr Kennedy Abuga"/>
    <s v="Dr Marianne Mureithi"/>
    <s v="Dr Videlis Nduba"/>
    <n v="3"/>
    <s v="Home"/>
    <s v="Home"/>
    <s v="Other"/>
    <s v="Yes"/>
    <s v="No"/>
    <s v="No"/>
    <s v="Other"/>
    <s v="Senior Project Officer"/>
    <s v="Senior Clinical Research Scientist"/>
    <s v="Yes"/>
    <s v="Sub investigator at KEMRI Center for Respiratory Disease Research."/>
    <s v="KEMRI WELLCOME TRUST "/>
    <s v="0000-0002-5067-0788"/>
    <m/>
    <d v="2019-03-04T00:00:00"/>
    <d v="2019-11-01T00:00:00"/>
    <s v="Yes"/>
    <d v="2018-11-07T00:00:00"/>
    <d v="2019-10-30T00:00:00"/>
    <m/>
    <m/>
    <m/>
    <s v="Isoniazid for latent tuberculosis infection: Validating and testing novel treatment monitoring methods in Kenya"/>
    <d v="2021-10-01T00:00:00"/>
    <s v="Yes"/>
    <d v="2022-06-20T00:00:00"/>
    <s v="Yes"/>
    <m/>
    <d v="2025-02-06T00:00:00"/>
    <m/>
    <d v="2025-02-14T00:00:00"/>
    <x v="0"/>
    <n v="72"/>
    <n v="64"/>
    <m/>
    <n v="3"/>
    <n v="0"/>
    <m/>
    <m/>
    <m/>
    <m/>
    <m/>
    <s v="No"/>
    <m/>
    <m/>
    <d v="2023-09-01T00:00:00"/>
    <d v="2024-06-30T00:00:00"/>
    <n v="10"/>
    <m/>
    <m/>
    <m/>
    <n v="1"/>
    <m/>
    <m/>
    <s v="WT-DELTAS"/>
  </r>
  <r>
    <n v="207"/>
    <s v="C9/007"/>
    <s v="Leonidas"/>
    <m/>
    <s v="Banamwana"/>
    <x v="0"/>
    <x v="8"/>
    <s v="Rwanda"/>
    <s v="University of Rwanda"/>
    <s v="BIOSTATISTICS"/>
    <s v="Applied Statistics"/>
    <s v="University of Rwanda"/>
    <s v="Yes"/>
    <m/>
    <s v="Married"/>
    <s v="Married"/>
    <m/>
    <s v="lbanamwana@cartafrica.org"/>
    <s v="leontosbanamwana@gmail.com"/>
    <s v="+250785385308; 250783544242"/>
    <s v="Statistics"/>
    <d v="1982-07-25T00:00:00"/>
    <s v="Sexual and Reproductive Health among adolescents"/>
    <s v="Field"/>
    <m/>
    <m/>
    <n v="6"/>
    <d v="2019-10-20T00:00:00"/>
    <d v="2019-03-01T00:00:00"/>
    <m/>
    <s v="Dr. Onyango Owuor Nelson"/>
    <s v="Dr. Chukwu Unna Angela"/>
    <m/>
    <n v="2"/>
    <s v="Host"/>
    <s v="Other"/>
    <m/>
    <s v="Yes"/>
    <s v="No"/>
    <m/>
    <s v="Academic"/>
    <s v="Lecturer "/>
    <s v="Lecturer"/>
    <s v="No"/>
    <m/>
    <s v="UNIVERSITY OF RWANDA"/>
    <s v="0000-0003-1267-235X"/>
    <m/>
    <d v="2019-03-04T00:00:00"/>
    <d v="2019-11-01T00:00:00"/>
    <s v="Yes"/>
    <d v="2020-03-25T00:00:00"/>
    <d v="2020-05-20T00:00:00"/>
    <m/>
    <m/>
    <m/>
    <s v="Assessing Sexual Behaviors, Fertility Preferences and Contraceptive Use among Sexual Active People living with HIV/AIDS in Rwanda"/>
    <d v="2021-10-01T00:00:00"/>
    <s v="Yes"/>
    <d v="2022-06-20T00:00:00"/>
    <s v="Yes"/>
    <m/>
    <m/>
    <m/>
    <m/>
    <x v="2"/>
    <m/>
    <m/>
    <m/>
    <n v="1"/>
    <n v="0"/>
    <m/>
    <m/>
    <m/>
    <m/>
    <m/>
    <s v="No"/>
    <m/>
    <m/>
    <m/>
    <m/>
    <m/>
    <m/>
    <m/>
    <m/>
    <n v="1"/>
    <m/>
    <m/>
    <s v="WT-DELTAS"/>
  </r>
  <r>
    <n v="208"/>
    <s v="C9/008"/>
    <s v="Charles "/>
    <m/>
    <s v="Ssemugabo"/>
    <x v="0"/>
    <x v="8"/>
    <s v="Uganda"/>
    <s v="Makerere University"/>
    <s v="Environmental Health"/>
    <s v="Disease Control and Environmental Health"/>
    <s v="Makerere University"/>
    <s v="Yes"/>
    <s v="2018/HD07/19459U "/>
    <s v="Single"/>
    <s v="Single"/>
    <m/>
    <s v="cssemugabo@cartafrica.org"/>
    <s v="cssemugabo@gmail.com"/>
    <s v="+256 779 625 182/_x000a_'+256706066096"/>
    <s v="Public Health - Health promotion "/>
    <d v="1988-08-06T00:00:00"/>
    <s v="Pesticide residues in fruits and vegetables along the food supply and consumption chain and associated human health effects in central Uganda"/>
    <s v="Laboratory"/>
    <s v="yes"/>
    <m/>
    <n v="15"/>
    <d v="2019-07-01T00:00:00"/>
    <d v="2019-03-01T00:00:00"/>
    <m/>
    <s v="Prof. David Guwatudde"/>
    <s v="Dr. John C. Ssempebwa "/>
    <s v="Prof. Asa Bradman"/>
    <n v="3"/>
    <s v="Home"/>
    <s v="Home"/>
    <s v="Other"/>
    <s v="No"/>
    <s v="No"/>
    <s v="No"/>
    <s v="Academic"/>
    <s v="Research Associate "/>
    <s v="Research Associate "/>
    <m/>
    <m/>
    <s v="MAKERERE UNIVERSITY"/>
    <s v="0000-0001-6857-0091"/>
    <m/>
    <d v="2019-03-04T00:00:00"/>
    <d v="2019-11-01T00:00:00"/>
    <s v="Yes"/>
    <d v="2019-05-14T00:00:00"/>
    <d v="2019-10-08T00:00:00"/>
    <m/>
    <m/>
    <m/>
    <s v="Health risk assessment of pesticide residues in fruits and vegetables among consumers in central Uganda - using the &quot;from farm to fork&quot; principle  "/>
    <d v="2021-10-01T00:00:00"/>
    <s v="Yes"/>
    <d v="2022-06-20T00:00:00"/>
    <s v="Yes"/>
    <m/>
    <d v="2023-08-30T00:00:00"/>
    <m/>
    <d v="2023-08-30T00:00:00"/>
    <x v="0"/>
    <n v="54"/>
    <n v="46"/>
    <s v="Pesticide residues in fruits and vegetables along the food supply and consumption chain and associated human health effects in central Uganda"/>
    <n v="7"/>
    <n v="24"/>
    <m/>
    <m/>
    <m/>
    <m/>
    <m/>
    <s v="No"/>
    <m/>
    <m/>
    <m/>
    <m/>
    <m/>
    <m/>
    <m/>
    <m/>
    <m/>
    <m/>
    <m/>
    <s v="WT-DELTAS"/>
  </r>
  <r>
    <n v="209"/>
    <s v="C9/009"/>
    <s v="Cyril"/>
    <s v="Nyalik"/>
    <s v="Ogada"/>
    <x v="0"/>
    <x v="8"/>
    <s v="Kenya"/>
    <s v="University of Nairobi"/>
    <s v="Dentistry"/>
    <s v="Conservative and Prosthetic Dentisry"/>
    <s v="University of the Witwatersrand"/>
    <s v="No"/>
    <m/>
    <s v="Married"/>
    <s v="Married"/>
    <m/>
    <s v="cogada@cartafrica.org"/>
    <s v="nyalikogada@yahoo.com"/>
    <s v="+254772438224; 254720342901"/>
    <m/>
    <d v="1983-03-08T00:00:00"/>
    <m/>
    <s v="Field"/>
    <m/>
    <m/>
    <n v="17"/>
    <d v="2020-08-12T00:00:00"/>
    <d v="2019-03-01T00:00:00"/>
    <m/>
    <s v=" Prof. Laetitia Rispel"/>
    <s v="Dr Richard Ayah "/>
    <m/>
    <n v="2"/>
    <s v="Host"/>
    <s v="Home"/>
    <m/>
    <s v="No"/>
    <s v="Yes"/>
    <m/>
    <s v="Academic"/>
    <s v="Tutorial Fellow"/>
    <s v="Lecturer "/>
    <m/>
    <m/>
    <s v="UNIVERSITY OF NAIROBI"/>
    <s v="0000-0003-0919-3411"/>
    <m/>
    <d v="2019-03-04T00:00:00"/>
    <d v="2019-11-01T00:00:00"/>
    <s v="Yes"/>
    <m/>
    <m/>
    <m/>
    <m/>
    <m/>
    <s v="Absenteeism among Doctors and health service utilization in the devolved system of government in Kenya."/>
    <d v="2023-05-15T00:00:00"/>
    <s v="No"/>
    <d v="2023-07-03T00:00:00"/>
    <s v="No"/>
    <m/>
    <m/>
    <m/>
    <m/>
    <x v="2"/>
    <m/>
    <m/>
    <m/>
    <m/>
    <m/>
    <m/>
    <m/>
    <m/>
    <m/>
    <m/>
    <s v="No"/>
    <m/>
    <m/>
    <m/>
    <m/>
    <m/>
    <m/>
    <m/>
    <m/>
    <n v="3"/>
    <m/>
    <m/>
    <s v="WT-DELTAS"/>
  </r>
  <r>
    <n v="210"/>
    <s v="C9/010"/>
    <s v="Evelyne"/>
    <m/>
    <s v="Kantarama"/>
    <x v="1"/>
    <x v="8"/>
    <s v="Rwanda"/>
    <s v="University of Rwanda"/>
    <s v="Biochemistry"/>
    <s v="Clinical Biology"/>
    <s v="University of Rwanda"/>
    <s v="Yes"/>
    <m/>
    <s v="Married"/>
    <s v="Married"/>
    <m/>
    <s v="ekantarama@cartafrica.org"/>
    <s v="kantever11@gmail.com"/>
    <s v="+250788651907"/>
    <s v="Medical Biochemistry"/>
    <d v="1980-01-01T00:00:00"/>
    <s v="Medical Biochemistry with focus on the relationship between epigenetic effects of hormonal contraceptives and lipid profile abnormalities"/>
    <s v="Laboratory"/>
    <s v="yes"/>
    <m/>
    <n v="11"/>
    <d v="2019-12-11T00:00:00"/>
    <d v="2019-03-01T00:00:00"/>
    <m/>
    <s v="Prof. Muvunyi Mambo"/>
    <s v="Dr. Uwineza Annette"/>
    <m/>
    <n v="2"/>
    <s v="Home"/>
    <s v="Home"/>
    <m/>
    <s v="No"/>
    <s v="Yes"/>
    <m/>
    <s v="Academic"/>
    <s v="Assistant Lecturer"/>
    <s v="Lecturer"/>
    <s v="No"/>
    <m/>
    <s v="UNIVERSITY OF RWANDA"/>
    <s v="0000-0002-5428-8914"/>
    <m/>
    <d v="2019-03-04T00:00:00"/>
    <d v="2019-11-01T00:00:00"/>
    <s v="Yes"/>
    <m/>
    <m/>
    <m/>
    <m/>
    <m/>
    <s v="Dyslipidemia, related factors and risk of cardiovascular diseases in users of hormonal contraceptives in Rwanda"/>
    <d v="2021-10-01T00:00:00"/>
    <s v="Yes"/>
    <d v="2022-06-20T00:00:00"/>
    <s v="Yes"/>
    <m/>
    <m/>
    <m/>
    <d v="2023-10-30T00:00:00"/>
    <x v="0"/>
    <n v="56"/>
    <n v="48"/>
    <s v="Effect of Depo Medroxyprogesterone Acetate (DMPA)  Injectable Contraceptive on Cardiometabolic Risk Profile Among Women of Reproductive Age in Kigali, Rwanda"/>
    <n v="0"/>
    <m/>
    <m/>
    <m/>
    <m/>
    <m/>
    <m/>
    <s v="JAS1, 2019"/>
    <m/>
    <m/>
    <m/>
    <m/>
    <m/>
    <m/>
    <m/>
    <m/>
    <n v="4"/>
    <m/>
    <m/>
    <s v="WT-DELTAS"/>
  </r>
  <r>
    <n v="211"/>
    <s v="C9/011"/>
    <s v="Wilfred"/>
    <m/>
    <s v="Eneku"/>
    <x v="0"/>
    <x v="8"/>
    <s v="Uganda"/>
    <s v="Makerere University"/>
    <s v="Pathobiology"/>
    <s v="Pharmacy, Clinical and Comparative Medicine"/>
    <s v="Makerere University"/>
    <s v="Yes"/>
    <n v="201000282"/>
    <s v="Married"/>
    <s v="Married"/>
    <m/>
    <s v="weneku@cartafrica.org"/>
    <s v="weneku@gmail.com"/>
    <s v="+256 776 535187, +256 752 535187"/>
    <s v="Masters of Veterinary Pathology"/>
    <d v="1981-08-05T00:00:00"/>
    <s v="Molecular and Sero-Epidemiology of Rickettsia in Uganda"/>
    <s v="Field and Laboratory"/>
    <m/>
    <m/>
    <n v="28"/>
    <d v="2019-04-01T00:00:00"/>
    <d v="2019-03-01T00:00:00"/>
    <m/>
    <s v="Prof. Byarugaba K. Denis"/>
    <s v="Assoc. Prof. Robert Tweyongyere"/>
    <m/>
    <n v="2"/>
    <m/>
    <m/>
    <m/>
    <m/>
    <m/>
    <m/>
    <s v="Academic"/>
    <s v="Assistant Lecturer"/>
    <m/>
    <m/>
    <m/>
    <s v="MAKERERE UNIVERSITY"/>
    <s v="0000-0001-5013-7118"/>
    <m/>
    <d v="2019-03-04T00:00:00"/>
    <d v="2019-11-01T00:00:00"/>
    <s v="Yes"/>
    <m/>
    <d v="2020-04-13T00:00:00"/>
    <m/>
    <m/>
    <m/>
    <s v="Molecular and Sero-epidemiology of Zoonotic rickettsioses in Uganda"/>
    <d v="2021-10-01T00:00:00"/>
    <s v="Yes"/>
    <d v="2022-06-20T00:00:00"/>
    <s v="Yes"/>
    <m/>
    <m/>
    <m/>
    <d v="2024-07-10T00:00:00"/>
    <x v="0"/>
    <n v="65"/>
    <n v="57"/>
    <m/>
    <n v="4"/>
    <n v="1"/>
    <m/>
    <m/>
    <m/>
    <m/>
    <m/>
    <s v="No"/>
    <m/>
    <m/>
    <m/>
    <m/>
    <m/>
    <m/>
    <m/>
    <m/>
    <n v="3"/>
    <m/>
    <m/>
    <s v="WT-DELTAS"/>
  </r>
  <r>
    <n v="212"/>
    <s v="C9/012"/>
    <s v="Kirsty"/>
    <m/>
    <s v="Van Stormbroek"/>
    <x v="1"/>
    <x v="8"/>
    <s v="South Africa"/>
    <s v="University of the Witwatersrand"/>
    <s v="Occupational Therapy"/>
    <s v="Occupational Therapy"/>
    <s v="University of the Witwatersrand"/>
    <s v="Yes"/>
    <m/>
    <s v="Single"/>
    <s v="Single"/>
    <m/>
    <s v="kstormbroek@cartafrica.org"/>
    <s v="kirststorm@gmail.com"/>
    <s v="+27 11 717 3701/'+27760977705"/>
    <s v="MSc Occupational Therapy"/>
    <d v="1983-05-25T00:00:00"/>
    <s v="Improving access to quality hand injury-care services in the public service."/>
    <s v="Field"/>
    <m/>
    <m/>
    <n v="1"/>
    <d v="2019-03-04T00:00:00"/>
    <d v="2019-03-01T00:00:00"/>
    <m/>
    <s v="Professor Hellen Myezwa,"/>
    <s v="Dr Tania Rauch-van der Merwe"/>
    <s v="Professor Lisa O’Brien"/>
    <n v="3"/>
    <s v="Home"/>
    <s v="Other"/>
    <m/>
    <s v="Yes"/>
    <s v="No"/>
    <m/>
    <s v="Academic"/>
    <s v="Lecturer 1"/>
    <s v="Senior Lecturer"/>
    <s v="Yes"/>
    <s v="Chairperson, Committee on Immunization and HIV/AIDS for the Nigerian Medical Association, Osun State Chapter"/>
    <s v="UNIVERSITY OF THE WITWATERSRAND"/>
    <s v="0000-0003-4890-5063"/>
    <m/>
    <d v="2019-03-04T00:00:00"/>
    <d v="2019-11-01T00:00:00"/>
    <s v="Yes"/>
    <d v="2019-11-01T00:00:00"/>
    <d v="2020-02-01T00:00:00"/>
    <m/>
    <m/>
    <m/>
    <s v="Towards enabling livelihood after hand injury: Contextually responsive support and development strategies for generalist occupational therapists delivering hand rehabilitation in South Africa."/>
    <d v="2021-10-01T00:00:00"/>
    <s v="Yes"/>
    <d v="2022-06-20T00:00:00"/>
    <s v="Yes"/>
    <m/>
    <m/>
    <m/>
    <d v="2024-05-31T00:00:00"/>
    <x v="0"/>
    <n v="63"/>
    <n v="55"/>
    <s v="Contextually responsive support and development strategies for generalist occupational therapists delivering hand-injury care in South Africa"/>
    <n v="2"/>
    <n v="0"/>
    <m/>
    <m/>
    <m/>
    <m/>
    <m/>
    <s v="No"/>
    <m/>
    <m/>
    <m/>
    <m/>
    <m/>
    <m/>
    <m/>
    <m/>
    <n v="0"/>
    <m/>
    <m/>
    <s v="WT-DELTAS"/>
  </r>
  <r>
    <n v="213"/>
    <s v="C9/013"/>
    <s v="Funmito"/>
    <s v="Omolola"/>
    <s v="Fehintola"/>
    <x v="1"/>
    <x v="8"/>
    <s v="Nigeria"/>
    <s v="Obafemi Awolowo University"/>
    <s v="Medical doctor"/>
    <s v="Community Health"/>
    <s v="University of Ibadan"/>
    <s v="No"/>
    <n v="78570"/>
    <s v="Married"/>
    <s v="Married"/>
    <m/>
    <s v="fomolola@cartafrica.org"/>
    <s v="funmitoabioye@yahoo.com"/>
    <s v="+2348033913964; 2348037998247"/>
    <m/>
    <d v="1976-11-18T00:00:00"/>
    <s v="Effect of multi-level intervention on modifiable risk factors of non-communicable diseases among in –school adolescents in Nigeria"/>
    <s v="Field"/>
    <m/>
    <m/>
    <n v="30"/>
    <d v="2019-04-15T00:00:00"/>
    <d v="2019-03-01T00:00:00"/>
    <m/>
    <s v="Prof/Omotade/Olayemi"/>
    <s v="Prof/Fatusi/Adesegun"/>
    <m/>
    <n v="2"/>
    <s v="Host"/>
    <s v="Home"/>
    <m/>
    <s v="Yes"/>
    <m/>
    <m/>
    <s v="Academic"/>
    <s v="Lecturer"/>
    <s v="Senior Lecturer"/>
    <s v="Yes"/>
    <m/>
    <s v="OBAFEMI AWOLOWO UNIVERSITY"/>
    <s v="0000-0002-3283-6641"/>
    <m/>
    <d v="2019-03-04T00:00:00"/>
    <d v="2019-11-01T00:00:00"/>
    <s v="Yes"/>
    <d v="2021-06-22T00:00:00"/>
    <d v="2020-09-09T00:00:00"/>
    <m/>
    <m/>
    <m/>
    <s v="Health literacy on  behavioural risk factors of NCDs and its determinants among adolescents"/>
    <d v="2021-10-01T00:00:00"/>
    <s v="Yes"/>
    <d v="2022-06-20T00:00:00"/>
    <s v="Yes"/>
    <m/>
    <d v="2023-09-18T00:00:00"/>
    <m/>
    <d v="2023-10-27T00:00:00"/>
    <x v="0"/>
    <n v="56"/>
    <n v="48"/>
    <m/>
    <n v="2"/>
    <n v="2"/>
    <m/>
    <m/>
    <m/>
    <m/>
    <m/>
    <s v="No"/>
    <m/>
    <m/>
    <d v="2023-05-01T00:00:00"/>
    <d v="2023-10-30T00:00:00"/>
    <n v="6"/>
    <m/>
    <m/>
    <m/>
    <n v="3"/>
    <m/>
    <m/>
    <s v="SIDA"/>
  </r>
  <r>
    <n v="214"/>
    <s v="C9/014"/>
    <s v="OLUFUNMILOLA"/>
    <s v="BAMIDELE"/>
    <s v="MAKANJUOLA"/>
    <x v="1"/>
    <x v="8"/>
    <s v="Nigeria"/>
    <s v="University of Ibadan"/>
    <s v="Medical Microbiology"/>
    <s v="Medical Microbiology and Parasitology"/>
    <s v="University of Ibadan"/>
    <s v="Yes"/>
    <s v="PGS19250719432936"/>
    <s v="Married"/>
    <s v="Married"/>
    <m/>
    <s v="omakanjuola@cartafrica.org"/>
    <s v="funmimakanjuola@yahoo.com"/>
    <s v="+2348034731717; 2348087643340"/>
    <s v="MSc Epidemiology"/>
    <d v="1974-10-18T00:00:00"/>
    <s v="Cutaneous fungal infections in rural and urban primary school children in Oyo State, Nigeria: Epidemiology, diagnosis and public health impact."/>
    <s v="Laboratory"/>
    <s v="yes"/>
    <m/>
    <n v="2"/>
    <d v="2019-01-07T00:00:00"/>
    <d v="2019-03-01T00:00:00"/>
    <m/>
    <s v="Prof Fawole Olufunmilayo"/>
    <m/>
    <m/>
    <n v="1"/>
    <s v="Home"/>
    <m/>
    <m/>
    <s v="Yes"/>
    <m/>
    <m/>
    <s v="Academic"/>
    <s v="Lecturer I"/>
    <s v="Senior Lecturer"/>
    <s v="Yes"/>
    <m/>
    <s v="UNIVERSITY OF IBADAN"/>
    <s v="0000-0001-7785-0183"/>
    <m/>
    <d v="2019-03-04T00:00:00"/>
    <d v="2019-11-01T00:00:00"/>
    <s v="Yes"/>
    <d v="2019-09-16T00:00:00"/>
    <d v="2020-12-22T00:00:00"/>
    <m/>
    <m/>
    <m/>
    <s v="Molecular epidemiology of dermatophyte infections among HIV positive individuals in South-Western Nigeria"/>
    <d v="2022-11-07T00:00:00"/>
    <s v="No"/>
    <d v="2023-07-03T00:00:00"/>
    <s v="No"/>
    <m/>
    <m/>
    <m/>
    <m/>
    <x v="2"/>
    <m/>
    <m/>
    <m/>
    <n v="7"/>
    <n v="5"/>
    <m/>
    <m/>
    <m/>
    <m/>
    <m/>
    <s v="No"/>
    <m/>
    <m/>
    <m/>
    <m/>
    <m/>
    <m/>
    <m/>
    <m/>
    <n v="4"/>
    <m/>
    <m/>
    <s v="SIDA"/>
  </r>
  <r>
    <n v="215"/>
    <s v="C9/015"/>
    <s v="Abiket"/>
    <s v="Nanfizat"/>
    <s v="Alamukii"/>
    <x v="1"/>
    <x v="8"/>
    <s v="Nigeria"/>
    <s v="University of Ibadan"/>
    <s v="Zoology"/>
    <s v="Institute for Advanced Medical Research and Training (IAMRAT)"/>
    <s v="University of Ibadan"/>
    <s v="Yes"/>
    <n v="138807"/>
    <s v="Single"/>
    <s v="Single"/>
    <m/>
    <s v="aabiket@cartafrica.org"/>
    <s v="iyabiket@gmail.com"/>
    <s v="+234 706 435 6537"/>
    <s v="M.Sc Zoology (Cell biology and Genetics)"/>
    <d v="1987-02-11T00:00:00"/>
    <s v="Prevalence of breast cancer among Nigerian women and the use of TNF alpha and receptors’ Single Nucleotide Polymorphisms as possible diagnostic indicators."/>
    <s v="Laboratory"/>
    <s v="yes"/>
    <m/>
    <n v="13"/>
    <d v="2016-02-17T00:00:00"/>
    <d v="2019-03-01T00:00:00"/>
    <m/>
    <s v="Dr. Nwuba I. Roseangela"/>
    <m/>
    <m/>
    <n v="1"/>
    <s v="Home"/>
    <m/>
    <m/>
    <s v="Yes"/>
    <m/>
    <m/>
    <s v="Academic"/>
    <s v="Teaching and Research Assistant at the Department of Zoology, University of Ibadan"/>
    <s v="Teaching and Research Assistant at the Department of Zoology"/>
    <m/>
    <m/>
    <s v="UNIVERSITY OF MEDICAL SCIENCES, ONDO, NIGERIA"/>
    <s v="0000-0002-5741-1383"/>
    <m/>
    <d v="2019-03-04T00:00:00"/>
    <d v="2019-11-01T00:00:00"/>
    <s v="Yes"/>
    <d v="2018-06-20T00:00:00"/>
    <d v="2020-05-26T00:00:00"/>
    <m/>
    <m/>
    <m/>
    <s v="TUMOUR NECROSIS FACTOR ALPHA (TNF α) AND ITS RECEPTORS AS INDICATORS FOR BREAST CANCER AMONG NIGERIAN WOMEN"/>
    <d v="2021-10-01T00:00:00"/>
    <s v="Yes"/>
    <d v="2022-06-20T00:00:00"/>
    <s v="Yes"/>
    <m/>
    <d v="2023-08-14T00:00:00"/>
    <m/>
    <d v="2023-08-25T00:00:00"/>
    <x v="0"/>
    <n v="54"/>
    <n v="46"/>
    <s v="Barriers to early diagnosis turnout nacrosis factors and receptors genetic varied  as possible predictors fro breast cancer among Nigerian women"/>
    <n v="2"/>
    <n v="1"/>
    <m/>
    <m/>
    <m/>
    <m/>
    <m/>
    <s v="No"/>
    <m/>
    <m/>
    <m/>
    <m/>
    <m/>
    <m/>
    <m/>
    <m/>
    <m/>
    <m/>
    <m/>
    <s v="SIDA"/>
  </r>
  <r>
    <n v="216"/>
    <s v="C9/016"/>
    <s v="Olindah"/>
    <s v="Mkhonto"/>
    <s v="Silaule"/>
    <x v="1"/>
    <x v="8"/>
    <s v="South Africa"/>
    <s v="University of the Witwatersrand"/>
    <s v="occupational therapy"/>
    <s v="Occupational therapy"/>
    <s v="University of the Witwatersrand"/>
    <s v="Yes"/>
    <s v="0504217T"/>
    <s v="Single"/>
    <s v="Single"/>
    <m/>
    <s v="osilaule@cartafrica.org"/>
    <s v="o.silaule@gmail.com"/>
    <s v="+27 11 717 3701/'+27782035213/+27 11 717 3714"/>
    <s v="MSc Occupational therapy"/>
    <d v="1987-04-11T00:00:00"/>
    <s v="Quality and efficiency in mental health services in South Africa"/>
    <s v="Field"/>
    <m/>
    <m/>
    <n v="6"/>
    <d v="2020-01-31T00:00:00"/>
    <d v="2019-03-01T00:00:00"/>
    <m/>
    <s v="Dr Adams Fasloen"/>
    <s v="Dr Nkosi-Mafutha Nokuthula"/>
    <m/>
    <n v="2"/>
    <s v="Home"/>
    <s v="Home"/>
    <m/>
    <s v="No"/>
    <s v="No"/>
    <m/>
    <s v="Academic"/>
    <s v="Lecturer"/>
    <s v="Senior Lecturer"/>
    <m/>
    <m/>
    <s v="UNIVERSITY OF CAPE TOWN"/>
    <s v="0000-0003-4890-5063"/>
    <m/>
    <d v="2019-03-04T00:00:00"/>
    <d v="2019-11-01T00:00:00"/>
    <s v="Yes"/>
    <d v="2020-03-28T00:00:00"/>
    <d v="2020-08-07T00:00:00"/>
    <m/>
    <m/>
    <m/>
    <s v="Developing and validation of a community-based program for caregivers of persons with mental disorders in rural South Africa"/>
    <d v="2021-10-01T00:00:00"/>
    <s v="Yes"/>
    <d v="2022-06-20T00:00:00"/>
    <s v="Yes"/>
    <d v="2023-11-17T00:00:00"/>
    <m/>
    <m/>
    <d v="2024-05-29T00:00:00"/>
    <x v="0"/>
    <n v="63"/>
    <n v="55"/>
    <s v="Developing strategies for alleviating caregiver burden among informal caregivers of persons with severe mental disorders in Bushbuckridge, Mpumalanga Province Informal caregivers of persons with severe mental disorders are faced with high levels of distress"/>
    <n v="0"/>
    <m/>
    <m/>
    <m/>
    <m/>
    <m/>
    <m/>
    <s v="No"/>
    <m/>
    <m/>
    <m/>
    <m/>
    <m/>
    <m/>
    <m/>
    <m/>
    <n v="0"/>
    <m/>
    <m/>
    <s v="SIDA"/>
  </r>
  <r>
    <n v="217"/>
    <s v="C9/017"/>
    <s v="Jane"/>
    <s v="Wanjiru"/>
    <s v="Macharia"/>
    <x v="1"/>
    <x v="8"/>
    <s v="Kenya"/>
    <s v="University of Nairobi"/>
    <s v="Chemistry"/>
    <s v="Department of Chemistry"/>
    <s v="University of Nairobi"/>
    <s v="Yes"/>
    <s v="I80/52247/2017"/>
    <s v="Married"/>
    <s v="Married"/>
    <m/>
    <s v="jmacharia@cartafrica.org"/>
    <s v="jmacharia251@gmail.com"/>
    <s v="+254 726418703"/>
    <s v="Msc in Chemistry"/>
    <d v="1986-04-09T00:00:00"/>
    <m/>
    <s v="Other"/>
    <m/>
    <m/>
    <n v="5"/>
    <d v="2018-09-03T00:00:00"/>
    <d v="2019-03-01T00:00:00"/>
    <d v="2022-09-14T00:00:00"/>
    <s v="Prof. Kariuki K. David"/>
    <s v="Prof. Thole Benard"/>
    <m/>
    <n v="2"/>
    <s v="Home"/>
    <s v="Home"/>
    <s v="Other"/>
    <s v="No"/>
    <m/>
    <m/>
    <s v="Researcher"/>
    <s v="Part-time researcher"/>
    <s v="Researcher"/>
    <m/>
    <m/>
    <s v="UNIVERSITY OF NAIROBI"/>
    <s v="0000-0003-3415-2048"/>
    <m/>
    <d v="2019-03-04T00:00:00"/>
    <d v="2019-11-01T00:00:00"/>
    <s v="Yes"/>
    <d v="2018-11-23T00:00:00"/>
    <d v="2019-05-14T00:00:00"/>
    <m/>
    <m/>
    <m/>
    <s v="Prenatal and Postnatal Exposure to Fluoride in High Fluoride Areas in Kenya"/>
    <m/>
    <m/>
    <m/>
    <m/>
    <m/>
    <m/>
    <m/>
    <m/>
    <x v="1"/>
    <s v="Terminated"/>
    <m/>
    <m/>
    <n v="1"/>
    <n v="1"/>
    <m/>
    <m/>
    <m/>
    <m/>
    <m/>
    <s v="JAS 1, 2019"/>
    <m/>
    <m/>
    <d v="2021-07-21T00:00:00"/>
    <d v="2022-06-21T00:00:00"/>
    <n v="12"/>
    <m/>
    <m/>
    <m/>
    <n v="2"/>
    <m/>
    <m/>
    <s v="SIDA"/>
  </r>
  <r>
    <n v="218"/>
    <s v="C9/018"/>
    <s v="Abimbola  "/>
    <s v="Margaret"/>
    <s v="Obimakinde"/>
    <x v="1"/>
    <x v="8"/>
    <s v="Nigeria"/>
    <s v="University of Ibadan"/>
    <s v="Family Medicine "/>
    <s v="Family Medicine "/>
    <s v="University of the Witwatersrand"/>
    <s v="No"/>
    <s v="Registration on going "/>
    <s v="Married"/>
    <s v="Married"/>
    <m/>
    <s v="mabimbola@cartafrica.org"/>
    <s v="tolutammy@yahoo.com"/>
    <s v="+234 8106912778"/>
    <m/>
    <d v="1976-02-08T00:00:00"/>
    <s v="Effect of Life Style Modifications On the Control of Chronic Non-Communicable Diseases in Sub Sahara Africa"/>
    <s v="Field"/>
    <m/>
    <m/>
    <n v="24"/>
    <d v="2019-07-01T00:00:00"/>
    <d v="2019-03-01T00:00:00"/>
    <m/>
    <s v="Prof Shabir Moosa"/>
    <m/>
    <m/>
    <n v="1"/>
    <s v="Host"/>
    <m/>
    <m/>
    <s v="No"/>
    <m/>
    <m/>
    <s v="Academic"/>
    <s v="Lecturer"/>
    <s v="Senior Lecturer"/>
    <m/>
    <m/>
    <s v="UNIVERSITY OF IBADAN"/>
    <s v="0000-0001-5954-952x"/>
    <m/>
    <d v="2019-03-04T00:00:00"/>
    <d v="2019-11-01T00:00:00"/>
    <s v="Yes"/>
    <d v="2021-03-03T00:00:00"/>
    <d v="2021-04-01T00:00:00"/>
    <m/>
    <m/>
    <m/>
    <s v="CHILDREN STREETISM IN IBADAN, NIGERIA; THE FAMILY DYNAMICS, EXPERIENCES AND HEALTH OUTCOMES"/>
    <d v="2021-10-01T00:00:00"/>
    <s v="Yes"/>
    <d v="2022-06-20T00:00:00"/>
    <s v="Yes"/>
    <m/>
    <m/>
    <m/>
    <d v="2023-11-28T00:00:00"/>
    <x v="0"/>
    <n v="57"/>
    <n v="49"/>
    <s v="Children on the streets of Ibadan, Nigeria: experiences, family dynamics and health status."/>
    <n v="5"/>
    <n v="6"/>
    <m/>
    <m/>
    <m/>
    <m/>
    <m/>
    <s v="No"/>
    <m/>
    <m/>
    <m/>
    <m/>
    <m/>
    <m/>
    <m/>
    <m/>
    <n v="2"/>
    <m/>
    <m/>
    <s v="SIDA"/>
  </r>
  <r>
    <n v="219"/>
    <s v="C9/019"/>
    <s v="Ronald"/>
    <s v="Kibet"/>
    <s v="Tonui"/>
    <x v="0"/>
    <x v="8"/>
    <s v="Kenya"/>
    <s v="Moi University"/>
    <s v="Immunology"/>
    <s v="Clinical Microbiology and Infectious Diseases"/>
    <s v="University of the Witwatersrand"/>
    <s v="No"/>
    <m/>
    <s v="Married"/>
    <s v="Married"/>
    <m/>
    <s v="rtonui@cartafrica.org"/>
    <s v="tonuironald@gmail.com"/>
    <s v="+254532060958/+254722258484"/>
    <s v="Immunology, Global Health and Infectious Diseases"/>
    <d v="1979-08-17T00:00:00"/>
    <s v="Role of immune response genes’ polymorphisms in susceptibility to and severity of Mycobacterium tuberculosis infections"/>
    <s v="Laboratory"/>
    <s v="yes"/>
    <m/>
    <n v="16"/>
    <d v="2020-01-01T00:00:00"/>
    <d v="2019-03-01T00:00:00"/>
    <m/>
    <s v=" Dr. Aijaz Ahmad_x0009_"/>
    <s v=" Prof. Simeon Mining_x0009_"/>
    <s v="Dr. Rispah Torrorey"/>
    <n v="3"/>
    <s v="Host"/>
    <s v="Home"/>
    <s v="Home"/>
    <s v="Yes"/>
    <m/>
    <m/>
    <s v="Academic"/>
    <s v="Lecturer"/>
    <s v="Lecturer"/>
    <m/>
    <m/>
    <s v="MOI UNIVERSITY"/>
    <s v="0000-0001-5087-1435"/>
    <m/>
    <d v="2019-03-04T00:00:00"/>
    <d v="2019-11-01T00:00:00"/>
    <s v="Yes"/>
    <d v="2022-11-22T00:00:00"/>
    <d v="2022-11-22T00:00:00"/>
    <m/>
    <m/>
    <m/>
    <s v="Genetic predictors of tuberculosis in western Kenya"/>
    <d v="2021-10-01T00:00:00"/>
    <s v="Yes"/>
    <d v="2022-06-20T00:00:00"/>
    <s v="Yes"/>
    <m/>
    <m/>
    <m/>
    <m/>
    <x v="2"/>
    <m/>
    <m/>
    <m/>
    <n v="3"/>
    <m/>
    <m/>
    <m/>
    <m/>
    <m/>
    <m/>
    <s v="No"/>
    <m/>
    <m/>
    <m/>
    <m/>
    <m/>
    <m/>
    <m/>
    <m/>
    <n v="3"/>
    <m/>
    <m/>
    <s v="SIDA"/>
  </r>
  <r>
    <n v="220"/>
    <s v="C9/020"/>
    <s v="Omolayo "/>
    <s v="Bukola "/>
    <s v="Oluwatope"/>
    <x v="1"/>
    <x v="8"/>
    <s v="Nigeria"/>
    <s v="Obafemi Awolowo University"/>
    <s v="Demography"/>
    <s v="DEMOGRAPHY AND SOCIAL STATISTICS "/>
    <s v="Obafemi Awolowo University"/>
    <s v="Yes"/>
    <s v="SSP17/18/R/0016"/>
    <s v="Married"/>
    <s v="Married"/>
    <m/>
    <s v="ooluwatope@cartafrica.org"/>
    <s v=" omolayooluwatope@gmail.com"/>
    <s v="+2348023926477"/>
    <s v="Master of Public Health (MPH)"/>
    <d v="1975-04-16T00:00:00"/>
    <m/>
    <s v="Field"/>
    <s v="No"/>
    <m/>
    <n v="9"/>
    <d v="2018-10-23T00:00:00"/>
    <d v="2019-03-01T00:00:00"/>
    <m/>
    <s v="DR SOLANKE LUKMAN BOLA"/>
    <s v="DR T. SULAIMAN ADEDOKUN"/>
    <m/>
    <n v="2"/>
    <s v="Home"/>
    <s v="Home"/>
    <m/>
    <s v="Yes"/>
    <m/>
    <m/>
    <s v="Researcher"/>
    <s v="Research Officer"/>
    <m/>
    <m/>
    <m/>
    <s v="OBAFEMI AWOLOWO UNIVERSITY"/>
    <s v="0000-0002-3908-0314"/>
    <m/>
    <d v="2019-03-04T00:00:00"/>
    <d v="2019-11-01T00:00:00"/>
    <s v="Yes"/>
    <d v="2021-07-27T00:00:00"/>
    <d v="2021-06-04T00:00:00"/>
    <m/>
    <m/>
    <m/>
    <s v="Contextual Social support for maternal healthcare service utilisation in Nigeria"/>
    <d v="2021-10-01T00:00:00"/>
    <s v="Yes"/>
    <d v="2022-06-20T00:00:00"/>
    <s v="Yes"/>
    <m/>
    <d v="2023-12-12T00:00:00"/>
    <d v="2023-12-23T00:00:00"/>
    <d v="2023-01-12T00:00:00"/>
    <x v="0"/>
    <n v="47"/>
    <n v="39"/>
    <s v="Social supports, capability of women and utilisation of healthcare services in Northwest and Southwest Nigeria"/>
    <n v="7"/>
    <n v="4"/>
    <m/>
    <m/>
    <m/>
    <m/>
    <m/>
    <s v="No"/>
    <m/>
    <m/>
    <m/>
    <m/>
    <m/>
    <m/>
    <m/>
    <m/>
    <n v="3"/>
    <m/>
    <m/>
    <s v="SIDA"/>
  </r>
  <r>
    <n v="221"/>
    <s v="C9/021"/>
    <s v="Alex "/>
    <s v="John"/>
    <s v="Ntamatungiro"/>
    <x v="0"/>
    <x v="8"/>
    <s v="Tanzania"/>
    <s v="Ifakara Health Institute"/>
    <s v="Public Health"/>
    <s v="Biomedical"/>
    <s v="University of the Witwatersrand"/>
    <s v="No"/>
    <m/>
    <s v="Married"/>
    <s v="Married"/>
    <m/>
    <s v="antamatungiro@cartafrica.org"/>
    <s v="ajntamatungiro@gmail.com"/>
    <s v="255 222 774 714/255 222 774 756"/>
    <s v="Master of Science in Molecular biology of Infectious diseases "/>
    <d v="1982-02-26T00:00:00"/>
    <s v="Understanding the Spatial-Temporal trends of HIV drug resistant strains among newly diagnosed HIV-1 treatment-naive patients in rural Tanzania."/>
    <s v="Laboratory"/>
    <s v="yes"/>
    <m/>
    <n v="9"/>
    <d v="2020-01-31T00:00:00"/>
    <d v="2019-03-01T00:00:00"/>
    <m/>
    <s v="Dr. Kagura Juliana"/>
    <s v="Joel Msafiri Francis"/>
    <s v="Dr. Maja Wisser"/>
    <n v="3"/>
    <s v="Host"/>
    <s v="Host"/>
    <s v="Home"/>
    <s v="Yes"/>
    <s v="No"/>
    <s v="No"/>
    <s v="Researcher"/>
    <s v="Research Scientist"/>
    <m/>
    <m/>
    <m/>
    <s v="IFAKARA HEALTH INSTITUTE"/>
    <s v="0000-0002-3134-3992"/>
    <m/>
    <d v="2019-03-04T00:00:00"/>
    <d v="2019-11-01T00:00:00"/>
    <s v="Yes"/>
    <d v="2021-02-12T00:00:00"/>
    <d v="2021-06-28T00:00:00"/>
    <m/>
    <m/>
    <m/>
    <s v="Levels and temporal trends of pre-ART drug resistance among pregnant women over a full decade of ART rollout in a Tanzanian rural setting"/>
    <d v="2021-10-01T00:00:00"/>
    <s v="Yes"/>
    <d v="2022-06-20T00:00:00"/>
    <s v="Yes"/>
    <m/>
    <m/>
    <m/>
    <d v="2024-01-22T00:00:00"/>
    <x v="0"/>
    <n v="59"/>
    <n v="51"/>
    <s v="Trend of pre-antiretroviral therapy HIV-1 drug resistance in Kilombero and Ulanga antiretroviral cohort, South-Western Tanzania, for over 15 years (2005-2020)"/>
    <n v="24"/>
    <n v="6"/>
    <m/>
    <m/>
    <m/>
    <m/>
    <m/>
    <s v="No"/>
    <m/>
    <m/>
    <m/>
    <m/>
    <m/>
    <m/>
    <m/>
    <m/>
    <n v="1"/>
    <m/>
    <m/>
    <s v="SIDA"/>
  </r>
  <r>
    <n v="222"/>
    <s v="C9/022"/>
    <s v="Glory "/>
    <m/>
    <s v="Mzembe"/>
    <x v="1"/>
    <x v="8"/>
    <s v="Malawi"/>
    <s v="University of Malawi"/>
    <s v="CLINICAL EPIDEMIOLOGY "/>
    <s v="Training and Research"/>
    <s v="University of the Malawi"/>
    <s v="Yes"/>
    <n v="201980015427"/>
    <s v="Married"/>
    <s v="Married"/>
    <m/>
    <s v="gmzembe@cartafrica.org"/>
    <s v="glorymzembe00@gmail.com"/>
    <s v="+2651677245/'+265997373789"/>
    <s v="London School of Hygiene and Tropical Medicine, University of London "/>
    <d v="1991-07-02T00:00:00"/>
    <s v="Predictors of iron deficiency and iron deficiency anaemia and its impact on incidence of childhood illnesses and immune response to vaccines among infants up to 12 months of age in Zomba and Blantyre Districts of Malawi - an observational cohort study "/>
    <s v="Clinical research"/>
    <m/>
    <m/>
    <n v="3"/>
    <d v="2019-12-16T00:00:00"/>
    <d v="2019-03-01T00:00:00"/>
    <m/>
    <s v="Prof Phiri Samuel Kamija"/>
    <s v="Dr Mwangi Ndegwa Martin"/>
    <m/>
    <n v="2"/>
    <s v="Home"/>
    <s v="Home"/>
    <m/>
    <s v="No"/>
    <s v="Yes"/>
    <m/>
    <s v="Researcher"/>
    <s v="Research Fellow"/>
    <s v="Research Fellow"/>
    <m/>
    <m/>
    <s v="UNIVERSITY OF MALAWI"/>
    <s v="0000-0002-7277-9987"/>
    <m/>
    <d v="2019-03-04T00:00:00"/>
    <d v="2019-11-01T00:00:00"/>
    <s v="Yes"/>
    <d v="2019-05-24T00:00:00"/>
    <d v="2019-07-07T00:00:00"/>
    <m/>
    <m/>
    <m/>
    <s v="Effect of intravenous iron use in pregnancy on infant's immune response and health outcomes "/>
    <d v="2021-10-01T00:00:00"/>
    <s v="Yes"/>
    <d v="2022-06-20T00:00:00"/>
    <s v="Yes"/>
    <m/>
    <m/>
    <m/>
    <m/>
    <x v="2"/>
    <m/>
    <m/>
    <m/>
    <n v="0"/>
    <n v="5"/>
    <m/>
    <m/>
    <m/>
    <m/>
    <m/>
    <s v="No"/>
    <m/>
    <m/>
    <d v="2023-06-01T00:00:00"/>
    <d v="2024-05-31T00:00:00"/>
    <n v="12"/>
    <m/>
    <m/>
    <m/>
    <n v="0"/>
    <m/>
    <m/>
    <s v="SIDA"/>
  </r>
  <r>
    <n v="223"/>
    <s v="C9/023"/>
    <s v="Temitope "/>
    <m/>
    <s v="Ilori"/>
    <x v="1"/>
    <x v="8"/>
    <s v="Nigeria"/>
    <s v="University of Ibadan"/>
    <s v="FAMILY MEDICINE"/>
    <s v="COMMUNITY MEDICINE"/>
    <s v="University of Ibadan"/>
    <s v="Yes"/>
    <m/>
    <s v="Married"/>
    <s v="Married"/>
    <m/>
    <s v="tilori@cartafrica.org"/>
    <s v="boatop@yahoo.com"/>
    <s v="+234 8102723484; +234 8023009099"/>
    <s v="Master degree in Human Nutrition (MSc. Human Nutrition) from the University of Ibadan, Nigeria"/>
    <d v="1973-06-13T00:00:00"/>
    <s v="Dietary Intake and Metabolic Risk Factors for Cardiovascular Diseases Among Adults in Selected Local Government Areas of Oyo State, Nigeria: A Rural Urban Comparison"/>
    <s v="Field"/>
    <s v="No"/>
    <m/>
    <n v="45"/>
    <d v="2020-01-10T00:00:00"/>
    <d v="2019-03-01T00:00:00"/>
    <m/>
    <s v="Prof.Baldwin-Ragaven Laurel "/>
    <m/>
    <m/>
    <n v="1"/>
    <s v="University of Witwatersrand, South Africa"/>
    <m/>
    <m/>
    <s v="Yes"/>
    <m/>
    <m/>
    <s v="Academic"/>
    <s v="Lecturer I"/>
    <s v="Lecturer I"/>
    <m/>
    <m/>
    <s v="UNIVERSITY OF IBADAN"/>
    <s v="0000-0001-6648-9521"/>
    <m/>
    <d v="2019-03-04T00:00:00"/>
    <d v="2019-11-02T00:00:00"/>
    <s v="Yes"/>
    <d v="2010-10-13T00:00:00"/>
    <d v="2020-10-12T00:00:00"/>
    <m/>
    <m/>
    <m/>
    <s v="Psycho social factors, Dietary Patterns and Cardiovascular Risk Factors among Adults in selected Urban Slum and Non Slum Areas of Oyo State, Nigeria."/>
    <d v="2021-10-01T00:00:00"/>
    <s v="Yes"/>
    <d v="2022-06-20T00:00:00"/>
    <s v="Yes"/>
    <m/>
    <m/>
    <m/>
    <m/>
    <x v="2"/>
    <m/>
    <m/>
    <m/>
    <n v="3"/>
    <n v="7"/>
    <m/>
    <m/>
    <m/>
    <m/>
    <m/>
    <s v="No"/>
    <m/>
    <m/>
    <m/>
    <m/>
    <m/>
    <m/>
    <m/>
    <m/>
    <n v="3"/>
    <m/>
    <m/>
    <s v="SIDA"/>
  </r>
  <r>
    <n v="224"/>
    <s v="C9/024"/>
    <s v="Joselyn"/>
    <s v="Annet"/>
    <s v="Atuhairwe"/>
    <x v="1"/>
    <x v="8"/>
    <s v="Uganda"/>
    <s v="Makerere University"/>
    <s v="Medical Entomology"/>
    <s v="Disease Control and Environmental Health"/>
    <m/>
    <s v="Yes"/>
    <m/>
    <s v="Married"/>
    <s v="Married"/>
    <m/>
    <s v="jatuhairwe@cartafrica.org"/>
    <s v="atuhairwejoselyn@gmail.com"/>
    <s v="+256 782 422 826"/>
    <s v="Master of Science in Biology and Control of Parasites and Disease Vectors"/>
    <d v="1984-06-11T00:00:00"/>
    <s v="Characterising residual malaria transmission in areas where universal distribution of Long Lasting Insecticide-treated Nets and Indoor Residual Spraying have been rolled out in Uganda"/>
    <m/>
    <m/>
    <m/>
    <n v="26"/>
    <m/>
    <d v="2019-03-01T00:00:00"/>
    <d v="2022-09-14T00:00:00"/>
    <m/>
    <m/>
    <m/>
    <n v="0"/>
    <m/>
    <m/>
    <m/>
    <m/>
    <m/>
    <m/>
    <s v="Researcher"/>
    <s v="Research fellow"/>
    <s v="Research fellow"/>
    <m/>
    <m/>
    <s v="MAKERERE UNIVERSITY"/>
    <s v="0000-0002-1488-3364"/>
    <m/>
    <d v="2020-03-01T00:00:00"/>
    <d v="2020-11-01T00:00:00"/>
    <s v="No"/>
    <m/>
    <m/>
    <m/>
    <m/>
    <m/>
    <s v="Characterising residual malaria transmission in areas where universal distribution of Long Lasting Insecticide-treated Nets and Indoor Residual Spraying have been rolled out in Uganda"/>
    <m/>
    <m/>
    <m/>
    <m/>
    <m/>
    <m/>
    <m/>
    <m/>
    <x v="1"/>
    <s v="Terminated"/>
    <m/>
    <m/>
    <n v="1"/>
    <n v="2"/>
    <m/>
    <m/>
    <m/>
    <m/>
    <m/>
    <s v="No"/>
    <s v="Yes"/>
    <m/>
    <d v="2019-08-28T00:00:00"/>
    <d v="2020-03-24T00:00:00"/>
    <n v="7"/>
    <m/>
    <m/>
    <m/>
    <n v="3"/>
    <m/>
    <m/>
    <s v="SIDA"/>
  </r>
  <r>
    <n v="225"/>
    <s v="C10/001"/>
    <s v="Alice"/>
    <m/>
    <s v="Muhayimana"/>
    <x v="1"/>
    <x v="9"/>
    <s v="Rwanda"/>
    <s v="University of Rwanda"/>
    <s v="Nursing"/>
    <s v="Nursing/Midwifery"/>
    <s v="University of the Witwatersrand"/>
    <s v="No"/>
    <m/>
    <s v="Married"/>
    <s v="Married"/>
    <m/>
    <s v="amuhayimana@cartafrica.org"/>
    <s v="hayiali@yahoo.fr"/>
    <s v="+250788687626"/>
    <s v="Masters of Science in Nursing(Maternal and Neonatal Health)"/>
    <d v="1980-05-05T00:00:00"/>
    <s v="Status of Respectful Care during Childbirth among Mothers  and its Drivers from Health Care Providers at Eastern Province of Rwanda"/>
    <s v="Field"/>
    <m/>
    <m/>
    <m/>
    <d v="2021-03-11T00:00:00"/>
    <d v="2020-03-01T00:00:00"/>
    <m/>
    <s v="Dr Irene J. Kearns"/>
    <m/>
    <m/>
    <n v="1"/>
    <m/>
    <m/>
    <m/>
    <m/>
    <m/>
    <m/>
    <s v="Academic"/>
    <s v="Assistant Lecturer"/>
    <s v="Assistant Lecturer"/>
    <s v="No"/>
    <m/>
    <s v="UNIVERSITY OF RWANDA"/>
    <s v="0000-0002-5318-497X"/>
    <m/>
    <d v="2020-03-02T00:00:00"/>
    <s v="11/1/2020 &amp; 22/5/2022"/>
    <s v="Yes"/>
    <d v="2021-09-13T00:00:00"/>
    <d v="2021-12-01T00:00:00"/>
    <m/>
    <m/>
    <m/>
    <s v="Status of Respectful Care during Childbirth among Mothers  and its Drivers from Health Care Providers at Eastern Province of Rwanda"/>
    <d v="2022-11-07T00:00:00"/>
    <s v="Yes"/>
    <d v="2024-07-03T00:00:00"/>
    <s v="Yes"/>
    <m/>
    <m/>
    <m/>
    <d v="2024-09-03T00:00:00"/>
    <x v="0"/>
    <n v="55"/>
    <n v="42"/>
    <s v="DEVELOPMENT OF STRATEGIES FOR HEALTH CARE PROVIDERS TO SUSTAIN RESPECTFUL MATERNITY CARE TO WOMEN IN LABOUR"/>
    <n v="0"/>
    <m/>
    <m/>
    <m/>
    <m/>
    <m/>
    <m/>
    <s v="No"/>
    <m/>
    <m/>
    <m/>
    <m/>
    <m/>
    <m/>
    <m/>
    <m/>
    <n v="3"/>
    <m/>
    <m/>
    <s v="SIDA"/>
  </r>
  <r>
    <n v="226"/>
    <s v="C10/002"/>
    <s v="Aline"/>
    <m/>
    <s v="Uwase"/>
    <x v="1"/>
    <x v="9"/>
    <s v="Rwanda"/>
    <s v="University of Rwanda"/>
    <s v="Public Health"/>
    <s v="Anesthesia"/>
    <s v="University of the Witwatersrand"/>
    <s v="No"/>
    <n v="2477108"/>
    <s v="Married"/>
    <s v="Married"/>
    <m/>
    <s v="auwase@cartafrica.org"/>
    <s v="alinemunyaneza1@gmail.com"/>
    <s v="+ 250 789 865 930; +250 788 642 136"/>
    <s v="Master's degree in Public Health"/>
    <d v="1985-11-06T00:00:00"/>
    <s v="Effect of nutrition education based on  health belief model and involving male partner’s compared to traditional education on nutritional knowledge and healthy dietary practices Among pregnant women in the southern province of Rwanda"/>
    <s v="Field"/>
    <m/>
    <m/>
    <m/>
    <d v="2019-12-16T00:00:00"/>
    <d v="2020-03-01T00:00:00"/>
    <m/>
    <s v="Prof. Jonathan Levin"/>
    <m/>
    <m/>
    <n v="1"/>
    <m/>
    <m/>
    <m/>
    <m/>
    <m/>
    <m/>
    <s v="Academic"/>
    <s v="Assistant Lecturer"/>
    <s v="Assistant Lecturer"/>
    <s v="No"/>
    <s v="Deputy coordinator of post-graduate studies,  School of Health Sciences "/>
    <s v="UNIVERSITY OF RWANDA"/>
    <s v="0000-0001-6256-2541"/>
    <m/>
    <d v="2020-03-03T00:00:00"/>
    <s v="11/1/2020 &amp; 22/5/2022"/>
    <s v="Yes"/>
    <d v="2020-10-07T00:00:00"/>
    <d v="2020-09-01T00:00:00"/>
    <m/>
    <m/>
    <m/>
    <s v="Effect of nutrition education based on  health belief model and involving male partner’s compared to traditional education on nutritional knowledge and healthy dietary practices Among pregnant women in the southern province of Rwanda"/>
    <d v="2022-11-07T00:00:00"/>
    <s v="Yes"/>
    <d v="2024-07-03T00:00:00"/>
    <s v="Yes"/>
    <d v="2025-03-31T00:00:00"/>
    <m/>
    <m/>
    <d v="2025-10-06T00:00:00"/>
    <x v="0"/>
    <n v="68"/>
    <e v="#VALUE!"/>
    <m/>
    <n v="1"/>
    <n v="2"/>
    <m/>
    <m/>
    <m/>
    <m/>
    <m/>
    <s v="No"/>
    <m/>
    <m/>
    <d v="2024-10-21T00:00:00"/>
    <d v="2025-02-28T00:00:00"/>
    <n v="4"/>
    <m/>
    <m/>
    <m/>
    <n v="0"/>
    <m/>
    <m/>
    <s v="SIDA"/>
  </r>
  <r>
    <n v="227"/>
    <s v="C10/004"/>
    <s v="Aneth"/>
    <s v="Vedastus"/>
    <s v="Kalinjuma"/>
    <x v="1"/>
    <x v="9"/>
    <s v="Tanzania"/>
    <s v="Ifakara Health Institute"/>
    <s v="BIOSTATISTICS"/>
    <s v="Intervention and Clinical Trials Department"/>
    <s v="University of the Witwatersrand"/>
    <s v="No"/>
    <m/>
    <s v="Single"/>
    <s v="Single"/>
    <m/>
    <s v="akalinjuma@cartafrica.org"/>
    <s v="avedastus@gmail.com; avedastus@yahoo.com"/>
    <s v="+255232625164; +255754662828"/>
    <s v="Master of Science in Statistics specializing in Biostatistics "/>
    <d v="1982-07-23T00:00:00"/>
    <s v="Transition dynamics and treatment outcomes among HIV-positive adults in Ifakara, Tanzania: A comprehensive analysis for optimizing existing longitudinal cohort data"/>
    <s v="Clinical research"/>
    <m/>
    <m/>
    <m/>
    <d v="2020-09-15T00:00:00"/>
    <d v="2020-03-01T00:00:00"/>
    <m/>
    <s v="Prof. Kennedy Otwombe "/>
    <s v="Dr. Fiona Vanobberghen"/>
    <m/>
    <n v="2"/>
    <m/>
    <m/>
    <m/>
    <m/>
    <m/>
    <m/>
    <s v="Administrative"/>
    <s v="Research Scientist"/>
    <m/>
    <m/>
    <m/>
    <s v="IFAKARA HEALTH INSTITUTE"/>
    <s v="0000-0001-5862-9264"/>
    <m/>
    <d v="2020-03-05T00:00:00"/>
    <s v="11/1/2020 &amp; 22/5/2022"/>
    <s v="Yes"/>
    <d v="2021-04-23T00:00:00"/>
    <d v="2021-10-05T00:00:00"/>
    <m/>
    <m/>
    <m/>
    <s v="Transition dynamics and treatment outcomes among HIV-positive adults in Ifakara, Tanzania: A comprehensive analysis for optimizing existing longitudinal cohort data"/>
    <d v="2022-11-07T00:00:00"/>
    <s v="Yes"/>
    <d v="2024-07-03T00:00:00"/>
    <s v="Yes"/>
    <m/>
    <d v="2024-11-01T00:00:00"/>
    <m/>
    <d v="2025-11-29T00:00:00"/>
    <x v="0"/>
    <m/>
    <m/>
    <n v="2511"/>
    <n v="15"/>
    <n v="4"/>
    <m/>
    <m/>
    <m/>
    <m/>
    <m/>
    <s v="No"/>
    <m/>
    <m/>
    <m/>
    <m/>
    <m/>
    <m/>
    <m/>
    <m/>
    <n v="0"/>
    <m/>
    <m/>
    <s v="SIDA"/>
  </r>
  <r>
    <n v="228"/>
    <s v="C10/015"/>
    <s v="Mary"/>
    <s v="Ogbenyi"/>
    <s v="Ugalahi"/>
    <x v="1"/>
    <x v="9"/>
    <s v="Nigeria"/>
    <s v="University of Ibadan"/>
    <s v="Opthamology"/>
    <s v="Ophthalmology"/>
    <s v="University of Ibadan"/>
    <s v="Yes"/>
    <m/>
    <s v="Single"/>
    <s v="Single"/>
    <m/>
    <s v="mugalahi@cartafrica.org"/>
    <s v="oheobe26@yahoo.com; maryugalahi@gmail.com"/>
    <s v="+234 (0)8126908495"/>
    <s v="MSc Global Health"/>
    <d v="1976-02-26T00:00:00"/>
    <s v="Pathways to Care and Determinants of Delayed Presentation of Children to Child Eye Health Tertiary Facilities (CEHTF) in Ibadan, South West Nigeria"/>
    <s v="Field"/>
    <m/>
    <m/>
    <m/>
    <d v="2020-05-04T00:00:00"/>
    <d v="2020-03-01T00:00:00"/>
    <m/>
    <s v="Dr. Adebiyi Olupelumi Akindele"/>
    <m/>
    <m/>
    <n v="1"/>
    <m/>
    <m/>
    <m/>
    <m/>
    <m/>
    <m/>
    <s v="Academic"/>
    <s v="Lecturer I"/>
    <s v="Senior Lecturer"/>
    <s v="Yes"/>
    <m/>
    <s v="UNIVERSITY OF IBADAN"/>
    <s v="0000-0003-3272-310X"/>
    <m/>
    <d v="2020-03-16T00:00:00"/>
    <d v="2020-11-01T00:00:00"/>
    <s v="Yes"/>
    <m/>
    <d v="2022-02-08T00:00:00"/>
    <m/>
    <m/>
    <m/>
    <s v="Pathways to Care and Determinants of Delayed Presentation of Children to Child Eye Health Tertiary Facilities (CEHTF) in Ibadan, South West Nigeria"/>
    <d v="2023-05-15T00:00:00"/>
    <s v="No"/>
    <d v="2024-07-03T00:00:00"/>
    <s v="Yes"/>
    <m/>
    <m/>
    <m/>
    <d v="2025-03-01T00:00:00"/>
    <x v="0"/>
    <n v="60"/>
    <e v="#VALUE!"/>
    <m/>
    <n v="4"/>
    <n v="3"/>
    <m/>
    <m/>
    <m/>
    <m/>
    <m/>
    <s v="No"/>
    <m/>
    <m/>
    <d v="2024-10-01T00:00:00"/>
    <d v="2025-01-31T00:00:00"/>
    <n v="4"/>
    <m/>
    <m/>
    <m/>
    <n v="0"/>
    <m/>
    <m/>
    <s v="SIDA"/>
  </r>
  <r>
    <n v="229"/>
    <s v="C10/016"/>
    <s v="Maureen"/>
    <s v="Daisy"/>
    <s v="Majamanda"/>
    <x v="1"/>
    <x v="9"/>
    <s v="Malawi"/>
    <s v="University of Malawi"/>
    <s v="Nursing"/>
    <s v="CHILD HEALTH"/>
    <s v="University of the Witwatersrand"/>
    <s v="No"/>
    <m/>
    <s v="Married"/>
    <s v="Married"/>
    <m/>
    <s v="mmajamanda@cartafrica.org"/>
    <s v="mdmajamanda@gmail.com"/>
    <s v="+265873623; 265992160415"/>
    <s v="MASTER IN ADVANCED PRACTICE (CHILD HEALTH)"/>
    <d v="1979-07-13T00:00:00"/>
    <s v="Improving the quality of paediatric oncology nursing care in Malawi through nursing education: a mixed methods study"/>
    <s v="Clinical research"/>
    <m/>
    <m/>
    <m/>
    <d v="2021-07-21T00:00:00"/>
    <d v="2020-03-01T00:00:00"/>
    <m/>
    <s v="Professor Lize Maree"/>
    <s v="Dr. Irene Kearns"/>
    <m/>
    <n v="2"/>
    <m/>
    <m/>
    <m/>
    <m/>
    <m/>
    <m/>
    <s v="Academic"/>
    <s v="Senior Lecturer"/>
    <s v="Senior Lecturer"/>
    <s v="Yes"/>
    <m/>
    <s v="UNIVERSITY OF MALAWI"/>
    <s v="0000-0001-8886-3158"/>
    <m/>
    <d v="2020-03-17T00:00:00"/>
    <s v="11/1/2020 &amp; 22/5/2022"/>
    <s v="Yes"/>
    <d v="2022-02-04T00:00:00"/>
    <d v="2022-04-05T00:00:00"/>
    <m/>
    <m/>
    <m/>
    <s v="Improving the quality of paediatric oncology nursing care in Malawi through nursing education: a mixed methods study"/>
    <d v="2022-11-07T00:00:00"/>
    <s v="Yes"/>
    <d v="2024-07-03T00:00:00"/>
    <s v="Yes"/>
    <m/>
    <m/>
    <m/>
    <m/>
    <x v="2"/>
    <m/>
    <m/>
    <m/>
    <n v="1"/>
    <n v="6"/>
    <m/>
    <m/>
    <m/>
    <m/>
    <m/>
    <s v="No"/>
    <m/>
    <m/>
    <m/>
    <m/>
    <m/>
    <m/>
    <m/>
    <m/>
    <n v="3"/>
    <m/>
    <m/>
    <s v="SIDA"/>
  </r>
  <r>
    <n v="230"/>
    <s v="C10/006"/>
    <s v="Beryl"/>
    <s v="Chelangat"/>
    <s v="Maritim"/>
    <x v="1"/>
    <x v="9"/>
    <s v="Kenya"/>
    <s v="Moi University"/>
    <s v="Public Health "/>
    <s v="School of Medicine"/>
    <s v="University of the Witwatersrand"/>
    <s v="No"/>
    <m/>
    <s v="Divorced"/>
    <s v="Divorced"/>
    <m/>
    <s v="bmaritim@cartafrica.org"/>
    <s v="berylc.maritim@gmail.com"/>
    <s v="+254722799685"/>
    <s v="Masters in Business Adminstration"/>
    <d v="1985-03-26T00:00:00"/>
    <s v="Why They Stay: Understanding Retention in Voluntary National Health Insurance Among Rural Informal Sector Households in Western Kenya"/>
    <s v="Field"/>
    <m/>
    <m/>
    <m/>
    <d v="2020-07-01T00:00:00"/>
    <d v="2020-03-01T00:00:00"/>
    <m/>
    <s v="Prof. Jane Goudge"/>
    <s v="Dr. Adam Koon"/>
    <s v="Dr. Adam Koon"/>
    <n v="3"/>
    <m/>
    <m/>
    <m/>
    <m/>
    <m/>
    <m/>
    <s v="Academic"/>
    <s v="Program Manager"/>
    <s v="Early Carrer Researcher"/>
    <s v="Yes"/>
    <m/>
    <s v="KEMRI WELLCOME TRUST (2023)"/>
    <s v="0000-0002-3754-0735"/>
    <m/>
    <d v="2020-03-07T00:00:00"/>
    <s v="11/1/2020 &amp; 22/5/2022"/>
    <s v="Yes"/>
    <d v="2020-11-26T00:00:00"/>
    <d v="2021-01-18T00:00:00"/>
    <m/>
    <m/>
    <m/>
    <s v="Why They Stay: Understanding Retention in Voluntary National Health Insurance Among Rural Informal Sector Households in Western Kenya"/>
    <d v="2022-11-07T00:00:00"/>
    <s v="Yes"/>
    <d v="2024-07-03T00:00:00"/>
    <s v="Yes"/>
    <m/>
    <m/>
    <m/>
    <d v="2023-09-19T00:00:00"/>
    <x v="0"/>
    <n v="43"/>
    <e v="#VALUE!"/>
    <s v="Examining the role of affordability, citizen engagement and social solidarity in determining health insurance coverage in Kenya"/>
    <n v="2"/>
    <n v="1"/>
    <m/>
    <m/>
    <m/>
    <m/>
    <m/>
    <s v="No"/>
    <m/>
    <m/>
    <m/>
    <m/>
    <m/>
    <m/>
    <m/>
    <m/>
    <n v="3"/>
    <m/>
    <m/>
    <s v="SIDA"/>
  </r>
  <r>
    <n v="231"/>
    <s v="C10/007"/>
    <s v="Chinenyenwa"/>
    <s v="Maria Dorathy"/>
    <s v="Ohia"/>
    <x v="1"/>
    <x v="9"/>
    <s v="Nigeria"/>
    <s v="University of Ibadan"/>
    <s v="Environmental health"/>
    <s v="Environmental Health"/>
    <s v="University of Ibadan"/>
    <s v="No"/>
    <m/>
    <s v="Married"/>
    <s v="Married"/>
    <s v="Married"/>
    <s v="cohia@cartafrica.org"/>
    <s v="ohiacmd@gmail.com"/>
    <s v="+234 7038318289"/>
    <s v="MPH (Environmental Health)"/>
    <d v="1980-05-21T00:00:00"/>
    <s v="Unravelling the drivers and dynamics of sustained malaria transmission in South-West Nigeria"/>
    <s v="Field and Laboratory"/>
    <m/>
    <m/>
    <m/>
    <m/>
    <d v="2020-03-01T00:00:00"/>
    <m/>
    <s v="Prof Charles M. Mbogo"/>
    <s v="Prof. Wolfang Richard Mukabana"/>
    <s v="Prof. Godson Ana"/>
    <n v="3"/>
    <m/>
    <m/>
    <m/>
    <m/>
    <m/>
    <m/>
    <s v="Academic"/>
    <s v="Lecturer II"/>
    <s v="Lecturer I"/>
    <s v="Yes"/>
    <m/>
    <s v="UNIVERSITY OF IBADAN"/>
    <s v="0000-0001-8337-3221"/>
    <m/>
    <d v="2020-03-08T00:00:00"/>
    <d v="2020-11-01T00:00:00"/>
    <s v="Yes"/>
    <m/>
    <m/>
    <m/>
    <m/>
    <m/>
    <s v="Unravelling the drivers and dynamics of sustained malaria transmission in South-West Nigeria"/>
    <d v="2022-11-07T00:00:00"/>
    <s v="Yes"/>
    <d v="2024-07-03T00:00:00"/>
    <s v="Yes"/>
    <m/>
    <m/>
    <m/>
    <d v="2021-12-13T00:00:00"/>
    <x v="0"/>
    <n v="22"/>
    <n v="14"/>
    <s v="Bio-Insecticidal effectiveness of Moringa oleifera-synthesised silver nanoparticles and other products on selected mosquito species and toxicity effects on a non-target organism (Clarias gariepinus)"/>
    <n v="3"/>
    <n v="2"/>
    <m/>
    <m/>
    <m/>
    <m/>
    <m/>
    <s v="JAS 1, 2020"/>
    <m/>
    <m/>
    <m/>
    <m/>
    <m/>
    <m/>
    <m/>
    <m/>
    <n v="4"/>
    <n v="4"/>
    <m/>
    <s v="SIDA"/>
  </r>
  <r>
    <n v="232"/>
    <s v="C10/008"/>
    <s v="Duncan "/>
    <s v="Wekesa"/>
    <s v="Nyukuri"/>
    <x v="0"/>
    <x v="9"/>
    <s v="Kenya"/>
    <s v="University of Nairobi"/>
    <s v="Medical Doctor"/>
    <s v="Clinical Medicine and Therapeutics"/>
    <s v="University of Nairobi"/>
    <s v="Yes"/>
    <m/>
    <s v="Single"/>
    <s v="Single"/>
    <m/>
    <s v="dnyukuri@cartafrica.org"/>
    <s v="dnyukuri@gmail.com"/>
    <s v="+254 720977887"/>
    <s v="Master of Medicine in Internal Medicine"/>
    <d v="1982-09-13T00:00:00"/>
    <s v="The Role of Multiplex PCR and Procalcitonin in diagnosis and management of Community Acquired Pneumonia among Adults Admitted at Kenyatta National Clinical research"/>
    <s v="Laboratory"/>
    <m/>
    <m/>
    <m/>
    <m/>
    <d v="2020-03-01T00:00:00"/>
    <d v="2023-06-30T00:00:00"/>
    <s v="Dr. Jared Mecha"/>
    <m/>
    <m/>
    <n v="1"/>
    <m/>
    <m/>
    <m/>
    <m/>
    <m/>
    <m/>
    <s v="Academic"/>
    <m/>
    <m/>
    <m/>
    <m/>
    <s v="UNIVERSITY OF NAIROBI"/>
    <s v="0000-0002-4739-2000"/>
    <m/>
    <d v="2020-03-09T00:00:00"/>
    <d v="2020-11-01T00:00:00"/>
    <s v="Yes"/>
    <m/>
    <m/>
    <m/>
    <m/>
    <m/>
    <s v="The Role of Multiplex PCR and Procalcitonin in diagnosis and management of Community Acquired Pneumonia among Adults Admitted at Kenyatta National Clinical research"/>
    <m/>
    <m/>
    <m/>
    <m/>
    <m/>
    <m/>
    <m/>
    <m/>
    <x v="1"/>
    <m/>
    <m/>
    <m/>
    <m/>
    <m/>
    <m/>
    <m/>
    <m/>
    <m/>
    <m/>
    <s v="No"/>
    <m/>
    <m/>
    <m/>
    <m/>
    <m/>
    <m/>
    <m/>
    <m/>
    <n v="1"/>
    <m/>
    <m/>
    <s v="SIDA"/>
  </r>
  <r>
    <n v="233"/>
    <s v="C10/018"/>
    <s v="Oluwatosin"/>
    <s v="Eunice"/>
    <s v="Olorunmoteni"/>
    <x v="1"/>
    <x v="9"/>
    <s v="Nigeria"/>
    <s v="Obafemi Awolowo University"/>
    <s v="Neuroscience"/>
    <s v="Paediatrics and Child Health"/>
    <s v="University of the Witwatersrand"/>
    <s v="No"/>
    <m/>
    <s v="Married"/>
    <s v="Married"/>
    <m/>
    <s v="oolorunmoteni@cartafrica.org"/>
    <s v="tosinolorunmoteni@gmail.com"/>
    <s v="+234815 209 2837; +234803 941 3535"/>
    <s v="MPH"/>
    <d v="1981-03-07T00:00:00"/>
    <s v="WHAT IS IN A GOOD NIGHT’S SLEEP? PATTERN, DETERMINANTS AND ASSOCIATED PROBLEMS WITH SLEEP IN NIGERIAN ADOLESCENTS"/>
    <s v="Laboratory"/>
    <m/>
    <m/>
    <m/>
    <d v="2021-04-19T00:00:00"/>
    <d v="2020-03-01T00:00:00"/>
    <m/>
    <s v="Dr Scheuermaier Karine"/>
    <s v="Dr Gomez-Olive F. Xavier"/>
    <s v="Prof. Fatusi Olayiwola Adesegun"/>
    <n v="3"/>
    <m/>
    <m/>
    <m/>
    <m/>
    <m/>
    <m/>
    <s v="Academic"/>
    <s v="Lecturer I"/>
    <s v="Senior Lecturer "/>
    <s v="Yes"/>
    <m/>
    <s v="OBAFEMI AWOLOWO UNIVERSITY"/>
    <s v="0000-0001-8561-9918"/>
    <m/>
    <d v="2020-03-19T00:00:00"/>
    <d v="2020-11-01T00:00:00"/>
    <s v="Yes"/>
    <d v="2021-07-14T00:00:00"/>
    <d v="2021-06-08T00:00:00"/>
    <m/>
    <m/>
    <m/>
    <s v="WHAT IS IN A GOOD NIGHT’S SLEEP? PATTERN, DETERMINANTS AND ASSOCIATED PROBLEMS WITH SLEEP IN NIGERIAN ADOLESCENTS"/>
    <d v="2023-05-15T00:00:00"/>
    <s v="No"/>
    <d v="2024-07-03T00:00:00"/>
    <s v="Yes"/>
    <m/>
    <m/>
    <d v="2025-03-31T00:00:00"/>
    <d v="2025-03-31T00:00:00"/>
    <x v="0"/>
    <n v="61"/>
    <n v="53"/>
    <s v=" Sleep characteristics among In-school Adolescents in South-Western Nigeria: Pattern, Determinants and Association with Cardiometabolic risk factors"/>
    <n v="4"/>
    <n v="3"/>
    <m/>
    <m/>
    <m/>
    <m/>
    <m/>
    <s v="No"/>
    <m/>
    <m/>
    <m/>
    <m/>
    <m/>
    <m/>
    <m/>
    <m/>
    <n v="2"/>
    <m/>
    <m/>
    <s v="SIDA"/>
  </r>
  <r>
    <n v="234"/>
    <s v="C10/010"/>
    <s v="Frederick "/>
    <m/>
    <s v="Oporia"/>
    <x v="0"/>
    <x v="9"/>
    <s v="Uganda"/>
    <s v="Makerere University"/>
    <s v="Public Health"/>
    <s v="Disease Control and Environmental Health"/>
    <s v="Makerere University"/>
    <s v="Yes"/>
    <m/>
    <s v="Married"/>
    <s v="Married"/>
    <m/>
    <s v="foporia@cartafrica.org"/>
    <s v="phrezzie@gmail.com"/>
    <s v="+256 703 857 428"/>
    <s v="Master of Public Health"/>
    <d v="1985-10-23T00:00:00"/>
    <s v="Preventing drowning among boaters in Lake Albert, Uganda: An enhanced educational intervention to improve knowledge and use of seaworthy lifejackets"/>
    <s v="Field"/>
    <m/>
    <m/>
    <m/>
    <d v="2020-08-31T00:00:00"/>
    <d v="2020-03-01T00:00:00"/>
    <m/>
    <s v="Prof Fred Nuwaha Ntoni"/>
    <s v="Dr Jagnoor Jagnoor"/>
    <s v="Dr Simon Peter Kibira"/>
    <n v="3"/>
    <m/>
    <m/>
    <m/>
    <m/>
    <m/>
    <m/>
    <s v="Researcher"/>
    <s v="Research Associate"/>
    <m/>
    <s v="Yes"/>
    <m/>
    <s v="MAKERERE UNIVERSITY"/>
    <s v="0000-0001-6280-8919"/>
    <m/>
    <d v="2020-03-11T00:00:00"/>
    <d v="2020-11-01T00:00:00"/>
    <s v="Yes"/>
    <d v="2021-03-16T00:00:00"/>
    <d v="2022-02-01T00:00:00"/>
    <m/>
    <m/>
    <m/>
    <s v="Preventing drowning among boaters in Lake Albert, Uganda: An enhanced educational intervention to improve knowledge and use of seaworthy lifejackets"/>
    <d v="2022-11-07T00:00:00"/>
    <s v="Yes"/>
    <d v="2024-07-03T00:00:00"/>
    <s v="Yes"/>
    <m/>
    <d v="2023-11-07T00:00:00"/>
    <m/>
    <d v="2023-11-15T00:00:00"/>
    <x v="0"/>
    <n v="45"/>
    <n v="37"/>
    <s v="Improving lifejacket wear among occupational boaters on Lake Altert, Uganda: A cluster-randomized controlled trial"/>
    <n v="8"/>
    <n v="7"/>
    <m/>
    <m/>
    <m/>
    <m/>
    <m/>
    <s v="No"/>
    <m/>
    <m/>
    <m/>
    <m/>
    <m/>
    <m/>
    <m/>
    <m/>
    <n v="1"/>
    <m/>
    <m/>
    <s v="SIDA"/>
  </r>
  <r>
    <n v="235"/>
    <s v="C10/019"/>
    <s v="Omotade"/>
    <s v="Adebimpe"/>
    <s v="Ijarotimi"/>
    <x v="1"/>
    <x v="9"/>
    <s v="Nigeria"/>
    <s v="Obafemi Awolowo University"/>
    <s v="Obstertrics and reproductive health "/>
    <s v="Department of Obstetrics, Gynaecology &amp; Perinatology."/>
    <s v="University of Ibadan"/>
    <s v="No"/>
    <m/>
    <s v="Married"/>
    <s v="Married"/>
    <m/>
    <s v="oijarotimi@cartafrica.org"/>
    <s v="tadeijarotimi@gmail.com; tadeolar@yahoo.com"/>
    <s v="+234-803-400-2812"/>
    <s v="Master of Public Health"/>
    <d v="1975-11-16T00:00:00"/>
    <s v="Outcome of Male Partners’ Involvement in Antenatal Counselling on Women’s Postpartum Family Planning Uptake in South-west Nigeria"/>
    <s v="Clinical research"/>
    <m/>
    <m/>
    <m/>
    <d v="2021-01-21T00:00:00"/>
    <d v="2020-03-01T00:00:00"/>
    <m/>
    <s v="Prof Olayemi Oladapo "/>
    <s v="Dr Olumide Adesola"/>
    <m/>
    <n v="2"/>
    <m/>
    <m/>
    <m/>
    <m/>
    <m/>
    <m/>
    <s v="Researcher"/>
    <s v="Senior Lecturer"/>
    <s v=" Professor"/>
    <s v="Yes"/>
    <m/>
    <s v="OBAFEMI AWOLOWO UNIVERSITY"/>
    <s v="0000-0002-2824-466X"/>
    <m/>
    <d v="2020-03-20T00:00:00"/>
    <s v="11/1/2020 &amp; 22/5/2022"/>
    <s v="Yes"/>
    <d v="2022-11-23T00:00:00"/>
    <d v="2022-08-07T00:00:00"/>
    <m/>
    <m/>
    <m/>
    <s v="Outcome of Male Partners’ Involvement in Antenatal Counselling on Women’s Postpartum Family Planning Uptake in South-west Nigeria"/>
    <d v="2023-05-15T00:00:00"/>
    <s v="No"/>
    <d v="2024-07-03T00:00:00"/>
    <s v="Yes"/>
    <m/>
    <d v="2026-02-05T00:00:00"/>
    <d v="2026-03-13T00:00:00"/>
    <d v="2026-03-13T00:00:00"/>
    <x v="0"/>
    <n v="72"/>
    <m/>
    <m/>
    <n v="7"/>
    <n v="8"/>
    <m/>
    <m/>
    <m/>
    <m/>
    <m/>
    <s v="No"/>
    <m/>
    <m/>
    <m/>
    <m/>
    <m/>
    <m/>
    <m/>
    <m/>
    <n v="2"/>
    <m/>
    <m/>
    <s v="SIDA"/>
  </r>
  <r>
    <n v="236"/>
    <s v="C10/012"/>
    <s v="James"/>
    <m/>
    <s v="Muleme"/>
    <x v="0"/>
    <x v="9"/>
    <s v="Uganda"/>
    <s v="Makerere University"/>
    <s v="Veterinary Medicine"/>
    <s v="Disease Control and Environmental Health "/>
    <s v="Makerere University"/>
    <s v="Yes"/>
    <m/>
    <s v="Married"/>
    <s v="Married"/>
    <m/>
    <s v="jmuleme@cartafrica.org"/>
    <s v="mulemej@gmail.com"/>
    <s v="+256787364697; 256701271259"/>
    <s v="Masters of Veterinary Preventive Medicine (Field Epidemiology track)"/>
    <d v="1993-02-02T00:00:00"/>
    <s v="Extended Spectrum β Lactamase (ESBL) producing Escherichia coli as bio-threats:   pathobiology, transmission dynamics and antibiotic resistance in rural and urban_x000a_communities of Wakiso district, Uganda"/>
    <s v="Field and Laboratory"/>
    <m/>
    <m/>
    <m/>
    <d v="2022-01-19T00:00:00"/>
    <d v="2020-03-01T00:00:00"/>
    <m/>
    <s v="Dr. Ssempebwa John"/>
    <s v="Dr. Musoke David"/>
    <s v="Assoc. Prof. Kankya Clovice"/>
    <n v="3"/>
    <m/>
    <m/>
    <m/>
    <m/>
    <m/>
    <m/>
    <s v="Academic"/>
    <s v="Research Associate"/>
    <m/>
    <m/>
    <m/>
    <s v="MAKERERE UNIVERSITY"/>
    <s v="0000-0001-8967-7031"/>
    <m/>
    <d v="2020-03-13T00:00:00"/>
    <s v="11/1/2020 &amp; 22/5/2022"/>
    <s v="Yes"/>
    <d v="2022-01-05T00:00:00"/>
    <d v="2022-01-21T00:00:00"/>
    <m/>
    <m/>
    <m/>
    <s v="Extended Spectrum β Lactamase (ESBL) producing Escherichia coli as bio-threats:   pathobiology, transmission dynamics and antibiotic resistance in rural and urban_x000a_communities of Wakiso district, Uganda"/>
    <d v="2022-11-07T00:00:00"/>
    <s v="Yes"/>
    <d v="2024-07-03T00:00:00"/>
    <s v="Yes"/>
    <m/>
    <d v="2023-11-23T00:00:00"/>
    <m/>
    <d v="2023-11-24T00:00:00"/>
    <x v="0"/>
    <n v="45"/>
    <e v="#VALUE!"/>
    <s v="Reservoirs, transmission and antibiotic resistance resistance profiles of extended specturum SPECTRUM BETA LACTAMASE-PRODUCING Escherichia Coli at the humananimal-environmant interface among farming communities in Wakiso District, Uganda”."/>
    <n v="4"/>
    <n v="4"/>
    <m/>
    <m/>
    <m/>
    <m/>
    <m/>
    <s v="No"/>
    <m/>
    <m/>
    <m/>
    <m/>
    <m/>
    <m/>
    <m/>
    <m/>
    <n v="3"/>
    <m/>
    <m/>
    <s v="SIDA"/>
  </r>
  <r>
    <n v="237"/>
    <s v="C10/020"/>
    <s v="Patience"/>
    <m/>
    <s v="Shamu"/>
    <x v="1"/>
    <x v="9"/>
    <s v="Zimbabwe"/>
    <s v="University of the Witwatersrand"/>
    <s v="Public Health"/>
    <s v="Wits Reproductive Health and HIV Institute (Implementation Science)"/>
    <s v="University of the Witwatersrand"/>
    <s v="Yes"/>
    <m/>
    <s v="Married"/>
    <s v="Married"/>
    <m/>
    <s v="pshamu@cartafrica.org"/>
    <s v="patieshamu@gmail.com; pshamu@wrhi.ac.za"/>
    <s v="+27113585300; +27731960356"/>
    <s v="Master of Science in Population Studies"/>
    <d v="1982-03-06T00:00:00"/>
    <s v="Determinants, lived experiences, and outcomes of HIV Pre-Exposure Prophylaxis use among young female university students in South Africa: A prospective cohort study"/>
    <s v="Field"/>
    <m/>
    <m/>
    <m/>
    <d v="2021-03-10T00:00:00"/>
    <d v="2020-03-01T00:00:00"/>
    <m/>
    <s v="Professor Saiqa Mullick"/>
    <s v="Prof. Christofides Nicola"/>
    <m/>
    <n v="2"/>
    <m/>
    <m/>
    <m/>
    <m/>
    <m/>
    <m/>
    <s v="Academic"/>
    <s v="Researcher"/>
    <s v="Researcher"/>
    <m/>
    <m/>
    <s v="UNIVERSITY OF THE WITWATERSRAND"/>
    <s v="0000-0003-1946-5046"/>
    <m/>
    <d v="2020-03-21T00:00:00"/>
    <s v="11/1/2020 &amp; 22/5/2022"/>
    <s v="Yes"/>
    <d v="2021-07-30T00:00:00"/>
    <d v="2021-11-08T00:00:00"/>
    <m/>
    <m/>
    <m/>
    <s v="Determinants, lived experiences, and outcomes of HIV Pre-Exposure Prophylaxis use among young female university students in South Africa: A prospective cohort study"/>
    <d v="2022-11-07T00:00:00"/>
    <s v="Yes"/>
    <d v="2024-07-03T00:00:00"/>
    <s v="Yes"/>
    <d v="2025-03-31T00:00:00"/>
    <m/>
    <m/>
    <d v="2025-10-07T00:00:00"/>
    <x v="0"/>
    <n v="67"/>
    <e v="#VALUE!"/>
    <s v="Perceptions of long-acting HIV pre-exposure prophylaxis and preferences for service delivery among young women in tertiary institutions in South Africa"/>
    <n v="3"/>
    <n v="3"/>
    <m/>
    <m/>
    <m/>
    <m/>
    <m/>
    <s v="No"/>
    <m/>
    <m/>
    <m/>
    <m/>
    <m/>
    <m/>
    <m/>
    <m/>
    <n v="3"/>
    <m/>
    <m/>
    <s v="WT - DELTAS"/>
  </r>
  <r>
    <n v="238"/>
    <s v="C10/014"/>
    <s v="Marifa"/>
    <m/>
    <s v="Muchemwa"/>
    <x v="1"/>
    <x v="9"/>
    <s v="Zimbabwe"/>
    <s v="University of the Witwatersrand"/>
    <s v="Demography"/>
    <s v="Demography and Population Studies"/>
    <s v="University of the Witwatersrand"/>
    <s v="Yes"/>
    <m/>
    <s v="Married"/>
    <s v="Married"/>
    <m/>
    <s v="mmuchemwa@cartafrica.org"/>
    <s v="marifamuchemwa@yahoo.com"/>
    <s v="+27117174095; 27780200743"/>
    <s v="MA in Sociology and MA in Demography and Population studies"/>
    <d v="1986-07-23T00:00:00"/>
    <s v="Family Changes and Child Maintenance Effect on Men’s Mental Health in South Africa "/>
    <s v="Field"/>
    <m/>
    <m/>
    <m/>
    <d v="2020-02-04T00:00:00"/>
    <d v="2020-03-01T00:00:00"/>
    <m/>
    <s v="Professor Clifford Odimegwu"/>
    <m/>
    <m/>
    <n v="1"/>
    <m/>
    <m/>
    <m/>
    <m/>
    <m/>
    <m/>
    <s v="Academic"/>
    <s v="Teaching Assistant"/>
    <s v="Post-Doctoral Fellow"/>
    <s v="Yes"/>
    <m/>
    <s v="UNIVERSITY OF THE WITWATERSRAND"/>
    <s v="0000-0002-1957-9513"/>
    <m/>
    <d v="2020-03-15T00:00:00"/>
    <s v="11/1/2020 &amp; 22/5/2022"/>
    <s v="Yes"/>
    <m/>
    <m/>
    <m/>
    <m/>
    <m/>
    <s v="Family Changes and Child Maintenance Effect on Men’s Mental Health in South Africa "/>
    <d v="2023-05-15T00:00:00"/>
    <s v="No"/>
    <d v="2024-07-03T00:00:00"/>
    <s v="Yes"/>
    <m/>
    <m/>
    <m/>
    <d v="2023-10-16T00:00:00"/>
    <x v="0"/>
    <n v="44"/>
    <e v="#VALUE!"/>
    <s v="Family change, child maintenance and mental health outcomes of men in South Africa”"/>
    <n v="0"/>
    <m/>
    <m/>
    <m/>
    <m/>
    <m/>
    <m/>
    <s v="JAS 2, 2022"/>
    <m/>
    <m/>
    <m/>
    <m/>
    <m/>
    <m/>
    <m/>
    <m/>
    <n v="1"/>
    <m/>
    <m/>
    <s v="WT - DELTAS"/>
  </r>
  <r>
    <n v="239"/>
    <s v="C10/021"/>
    <s v="Shakeerah "/>
    <s v="Olaide"/>
    <s v="Gbadebo"/>
    <x v="1"/>
    <x v="9"/>
    <s v="Nigeria"/>
    <s v="University of Ibadan"/>
    <s v="Dentistry"/>
    <s v="RESTORATIVE DENTISTRY"/>
    <s v="University of Ibadan"/>
    <s v="Yes"/>
    <m/>
    <s v="Widowe(r)d"/>
    <s v="Widow"/>
    <m/>
    <s v="sgbadebo@cartafrica.org"/>
    <s v="olaaris2k1@yahoo.com"/>
    <s v="+2348057358291"/>
    <s v="MASTERS DENTAL SURGERY"/>
    <d v="1975-04-01T00:00:00"/>
    <s v="Dental anxiety: measuring the fear factors and its effect on endodontic treatment among adults in Ibadan, Nigeria"/>
    <s v="Clinical research"/>
    <m/>
    <m/>
    <m/>
    <d v="2020-12-17T00:00:00"/>
    <d v="2020-03-01T00:00:00"/>
    <m/>
    <s v="Prof Gbemisola Oke"/>
    <s v="Prof Dosumu OO"/>
    <m/>
    <n v="2"/>
    <m/>
    <m/>
    <m/>
    <m/>
    <m/>
    <m/>
    <s v="Researcher"/>
    <s v="Senior Lecturer"/>
    <s v="Senior Lecturer"/>
    <m/>
    <m/>
    <s v="UNIVERSITY OF IBADAN"/>
    <s v="0000-0002-2109-753X"/>
    <m/>
    <d v="2020-03-22T00:00:00"/>
    <s v="11/1/2020 &amp; 22/5/2022"/>
    <s v="Yes"/>
    <d v="2021-05-19T00:00:00"/>
    <d v="2021-06-23T00:00:00"/>
    <m/>
    <m/>
    <m/>
    <s v="Dental anxiety: measuring the fear factors and its effect on endodontic treatment among adults in Ibadan, Nigeria"/>
    <d v="2022-11-07T00:00:00"/>
    <s v="Yes"/>
    <d v="2024-07-03T00:00:00"/>
    <s v="Yes"/>
    <m/>
    <d v="2024-09-30T00:00:00"/>
    <m/>
    <d v="2024-10-03T00:00:00"/>
    <x v="0"/>
    <n v="55"/>
    <e v="#VALUE!"/>
    <s v="Pre-treatment Information Communication and Dental Anxiety among Adult  Dental Care Seekers in Ibadan, Nigeria"/>
    <n v="8"/>
    <n v="3"/>
    <m/>
    <m/>
    <m/>
    <m/>
    <m/>
    <s v="No"/>
    <m/>
    <m/>
    <d v="2024-05-01T00:00:00"/>
    <d v="2024-08-31T00:00:00"/>
    <n v="4"/>
    <m/>
    <m/>
    <m/>
    <n v="4"/>
    <m/>
    <m/>
    <s v="SIDA"/>
  </r>
  <r>
    <n v="240"/>
    <s v="C10/022"/>
    <s v="Stefanie"/>
    <m/>
    <s v="Vermaak"/>
    <x v="1"/>
    <x v="9"/>
    <s v="South Africa"/>
    <s v="University of the Witwatersrand"/>
    <s v="HIV Prevention and Treatment"/>
    <s v="Perinatal HIV Research Unit"/>
    <s v="University of the Witwatersrand"/>
    <s v="Yes"/>
    <m/>
    <s v="Married"/>
    <s v="Married"/>
    <m/>
    <s v="svermaak@cartafrica.org"/>
    <s v="stefanie.hornschuh88@gmail.com"/>
    <s v="+27 11 989 9959; +27 826087634"/>
    <s v="Health Sciences (International's Public Health)"/>
    <d v="1988-09-27T00:00:00"/>
    <s v="Feasibility and acceptability of using digital assent to improve comprehension of study procedures among adolescents with perinatally acquired HIV: a study in Soweto, South Africa"/>
    <s v="Field"/>
    <m/>
    <m/>
    <m/>
    <d v="2019-08-01T00:00:00"/>
    <d v="2020-03-01T00:00:00"/>
    <m/>
    <s v="Dr Janan Dietrich"/>
    <s v="Prof Tiffany Chennevile"/>
    <m/>
    <n v="2"/>
    <m/>
    <m/>
    <m/>
    <m/>
    <m/>
    <m/>
    <s v="Academic"/>
    <s v="Senior Researcher"/>
    <s v="Senior Researcher"/>
    <m/>
    <m/>
    <s v="UNIVERSITY OF THE WITWATERSRAND"/>
    <s v="0000-0002-5505-6488"/>
    <m/>
    <d v="2020-03-23T00:00:00"/>
    <s v="11/1/2020 &amp; 22/5/2022"/>
    <s v="Yes"/>
    <d v="2021-09-23T00:00:00"/>
    <d v="2021-11-05T00:00:00"/>
    <m/>
    <m/>
    <m/>
    <s v="Feasibility and acceptability of using digital assent to improve comprehension of study procedures among adolescents with perinatally acquired HIV: a study in Soweto, South Africa"/>
    <d v="2023-05-15T00:00:00"/>
    <s v="No"/>
    <d v="2024-07-03T00:00:00"/>
    <s v="Yes"/>
    <m/>
    <m/>
    <m/>
    <m/>
    <x v="2"/>
    <m/>
    <m/>
    <m/>
    <n v="0"/>
    <m/>
    <m/>
    <m/>
    <m/>
    <m/>
    <m/>
    <s v="No"/>
    <m/>
    <m/>
    <m/>
    <m/>
    <m/>
    <m/>
    <m/>
    <m/>
    <n v="0"/>
    <m/>
    <m/>
    <s v="WT - DELTAS"/>
  </r>
  <r>
    <n v="241"/>
    <s v="C10/023"/>
    <s v="Takondwa"/>
    <s v="Connis"/>
    <s v="Bakuwa"/>
    <x v="1"/>
    <x v="9"/>
    <s v="Malawi"/>
    <s v="University of Malawi"/>
    <s v="Rehabilitation and Therapy"/>
    <s v="Physiotherapy"/>
    <s v="University of the Witwatersrand"/>
    <s v="Yes"/>
    <m/>
    <s v="Single"/>
    <s v="Single"/>
    <m/>
    <s v="tbakuwa@cartafrica.org"/>
    <s v="tbakuwa@medcol.mw; tako.bakuwa@gmail.com"/>
    <s v=" +265 1 871 911; +265 993 67 2960"/>
    <s v="Master of science in Community Physiotherapy"/>
    <d v="1992-07-25T00:00:00"/>
    <s v="Effectiveness of a peer-led training program for caregivers of children with cerebral palsy in Malawi"/>
    <s v="Field"/>
    <m/>
    <m/>
    <m/>
    <d v="2021-10-10T00:00:00"/>
    <d v="2020-03-01T00:00:00"/>
    <m/>
    <s v="Gillian Saloojee"/>
    <s v="Wiedaad Slemming"/>
    <m/>
    <n v="2"/>
    <m/>
    <m/>
    <m/>
    <m/>
    <m/>
    <m/>
    <s v="Academic"/>
    <s v="Lecturer"/>
    <s v="Lecturer"/>
    <m/>
    <m/>
    <s v="UNIVERSITY OF MALAWI"/>
    <s v="0000-0003-1817-9689"/>
    <m/>
    <d v="2020-03-24T00:00:00"/>
    <s v="11/1/2020 &amp; 22/5/2022"/>
    <s v="Yes"/>
    <m/>
    <m/>
    <m/>
    <m/>
    <m/>
    <s v="Effectiveness of a peer-led training program for caregivers of children with cerebral palsy in Malawi"/>
    <d v="2023-05-15T00:00:00"/>
    <s v="No"/>
    <d v="2024-07-03T00:00:00"/>
    <s v="Yes"/>
    <m/>
    <m/>
    <m/>
    <m/>
    <x v="2"/>
    <m/>
    <m/>
    <m/>
    <n v="1"/>
    <n v="0"/>
    <m/>
    <m/>
    <m/>
    <m/>
    <m/>
    <s v="No"/>
    <m/>
    <m/>
    <m/>
    <m/>
    <m/>
    <m/>
    <m/>
    <m/>
    <n v="0"/>
    <m/>
    <m/>
    <s v="SIDA"/>
  </r>
  <r>
    <n v="242"/>
    <s v="C10/025"/>
    <s v="Yetunde"/>
    <s v="A"/>
    <s v="Onimode"/>
    <x v="1"/>
    <x v="9"/>
    <s v="Nigeria"/>
    <s v="University of Ibadan"/>
    <s v="Nuclear Medicine/Radiology"/>
    <s v="RADIATION ONCOLOGY"/>
    <s v="University of Nairobi"/>
    <s v="No"/>
    <m/>
    <s v="Single"/>
    <s v="Married (P1 - 2022)"/>
    <m/>
    <s v="yonimode@cartafrica.org"/>
    <s v="yately_md@yahoo.com; yately_md@yahoo.com"/>
    <s v="+2347087821065"/>
    <s v="Master of Science (Stellenbosch) 2009, Master of Medicine (Witwatersrand) 2012"/>
    <d v="1977-06-29T00:00:00"/>
    <s v="Medical personnel's knowledge about thyroid disease in pregnancy and its management, and development of a trimester-based thyroid reference range In South-West Nigeria"/>
    <s v="Field and Laboratory"/>
    <m/>
    <m/>
    <m/>
    <d v="2021-08-24T00:00:00"/>
    <d v="2020-03-01T00:00:00"/>
    <m/>
    <s v="Dr Chesang Jacqueline Jelagat"/>
    <s v="Prof Omigbodun Akinyinka"/>
    <m/>
    <n v="2"/>
    <m/>
    <m/>
    <m/>
    <m/>
    <m/>
    <m/>
    <s v="Academic"/>
    <s v="Lecturer I"/>
    <s v="Senior Lecturer"/>
    <s v="Yes"/>
    <m/>
    <s v="UNIVERSITY OF IBADAN"/>
    <s v="0000-0002-4004-6113"/>
    <m/>
    <d v="2020-03-26T00:00:00"/>
    <s v="11/1/2020 &amp; 22/5/2022"/>
    <s v="Yes"/>
    <m/>
    <m/>
    <m/>
    <m/>
    <m/>
    <s v="Medical personnel's knowledge about thyroid disease in pregnancy and its management, and development of a trimester-based thyroid reference range In South-West Nigeria"/>
    <d v="2022-11-07T00:00:00"/>
    <s v="Yes"/>
    <d v="2024-07-03T00:00:00"/>
    <s v="Yes"/>
    <m/>
    <m/>
    <m/>
    <m/>
    <x v="2"/>
    <m/>
    <m/>
    <m/>
    <n v="6"/>
    <n v="5"/>
    <m/>
    <m/>
    <m/>
    <m/>
    <m/>
    <s v="No"/>
    <m/>
    <m/>
    <m/>
    <m/>
    <m/>
    <m/>
    <m/>
    <m/>
    <n v="0"/>
    <m/>
    <m/>
    <s v="SIDA"/>
  </r>
  <r>
    <n v="243"/>
    <s v="C10/003"/>
    <s v="Jean de la Croix"/>
    <s v="Allen"/>
    <s v="Ingabire"/>
    <x v="0"/>
    <x v="9"/>
    <s v="Rwanda"/>
    <s v="University of Rwanda"/>
    <s v="Orthopedics"/>
    <s v="Surgery"/>
    <s v="University of Rwanda"/>
    <s v="Yes"/>
    <m/>
    <s v="Married"/>
    <s v="Married"/>
    <m/>
    <s v="ajcroix@cartafrica.org"/>
    <s v="ingabireallenjc@gmail.com; ijea2000@gmail.com"/>
    <s v="+250788549975"/>
    <s v="Masters of Public health/Masters of Medicine(Surgery)/Fellowship in Orthopedics"/>
    <d v="1981-01-02T00:00:00"/>
    <s v="Long term disability following road traffic injuries in Rwanda: Cost and health outcomes "/>
    <s v="Clinical research"/>
    <m/>
    <m/>
    <m/>
    <d v="2020-01-10T00:00:00"/>
    <d v="2020-03-01T00:00:00"/>
    <m/>
    <s v="Prof Tumussime K. David "/>
    <s v="Dr. Jean Baptiste Sagahutu "/>
    <m/>
    <n v="2"/>
    <m/>
    <m/>
    <m/>
    <m/>
    <m/>
    <m/>
    <s v="Researcher"/>
    <s v="Lecturer of Surgery"/>
    <s v="Senior Lecturer"/>
    <s v="Yes"/>
    <s v="Deputy Director, NIHR Research Hub on Global Surgery/Rwanda "/>
    <s v="UNIVERSITY OF RWANDA"/>
    <s v="0000-0001-8636-6473"/>
    <m/>
    <d v="2020-03-04T00:00:00"/>
    <s v="11/1/2020 &amp; 22/5/2022"/>
    <s v="Yes"/>
    <d v="2022-02-01T00:00:00"/>
    <d v="2022-02-10T00:00:00"/>
    <m/>
    <m/>
    <m/>
    <s v="Long term disability following road traffic injuries in Rwanda: Cost and health outcomes "/>
    <d v="2022-11-07T00:00:00"/>
    <s v="Yes"/>
    <d v="2024-07-03T00:00:00"/>
    <s v="Yes"/>
    <m/>
    <m/>
    <m/>
    <d v="2024-10-25T00:00:00"/>
    <x v="0"/>
    <n v="56"/>
    <e v="#VALUE!"/>
    <m/>
    <n v="0"/>
    <n v="2"/>
    <m/>
    <m/>
    <m/>
    <m/>
    <m/>
    <s v="No"/>
    <m/>
    <m/>
    <m/>
    <m/>
    <m/>
    <m/>
    <m/>
    <m/>
    <n v="2"/>
    <m/>
    <m/>
    <s v="SIDA"/>
  </r>
  <r>
    <n v="244"/>
    <s v="C10/005"/>
    <s v="Apatsa"/>
    <m/>
    <s v="Selemani"/>
    <x v="0"/>
    <x v="9"/>
    <s v="Malawi"/>
    <s v="University of Malawi"/>
    <s v="Library and Information Science"/>
    <s v="Library"/>
    <s v="University of the Witwatersrand"/>
    <s v="No"/>
    <m/>
    <s v="Single"/>
    <s v="Married"/>
    <m/>
    <s v="aselemani@cartafrica.org"/>
    <s v="apatsaselemani@gmail.com"/>
    <s v="+2651871911; 265888707373"/>
    <s v="Master of Library and Information Science"/>
    <d v="1987-08-25T00:00:00"/>
    <s v="Journal Indexing and Scientific Impact of Africa's Public Health Research: current status, barriers, facilitators and opportunities."/>
    <s v="Field"/>
    <m/>
    <m/>
    <m/>
    <d v="2021-08-16T00:00:00"/>
    <d v="2020-03-01T00:00:00"/>
    <m/>
    <s v="Prof. Jude Igumbor"/>
    <s v="Dr Innocent Maposa"/>
    <m/>
    <n v="2"/>
    <m/>
    <m/>
    <m/>
    <m/>
    <m/>
    <m/>
    <s v="Administrative"/>
    <s v="Assistant Librarian"/>
    <m/>
    <m/>
    <m/>
    <s v="UNIVERSITY OF MALAWI"/>
    <s v="0000-0003-1216-6158"/>
    <m/>
    <d v="2020-03-06T00:00:00"/>
    <s v="11/1/2020 &amp; 22/5/2022"/>
    <s v="Yes"/>
    <d v="2022-05-27T00:00:00"/>
    <d v="2022-09-07T00:00:00"/>
    <m/>
    <m/>
    <m/>
    <s v="Journal Indexing and Scientific Impact of Africa's Public Health Research: current status, barriers, facilitators and opportunities."/>
    <d v="2023-05-15T00:00:00"/>
    <s v="No"/>
    <d v="2024-07-03T00:00:00"/>
    <s v="Yes"/>
    <d v="2025-03-31T00:00:00"/>
    <m/>
    <m/>
    <d v="2025-10-20T00:00:00"/>
    <x v="0"/>
    <n v="68"/>
    <e v="#VALUE!"/>
    <m/>
    <n v="2"/>
    <m/>
    <m/>
    <m/>
    <m/>
    <m/>
    <m/>
    <s v="No"/>
    <m/>
    <m/>
    <m/>
    <m/>
    <m/>
    <m/>
    <m/>
    <m/>
    <n v="0"/>
    <m/>
    <m/>
    <s v="SIDA"/>
  </r>
  <r>
    <n v="245"/>
    <s v="C10/009"/>
    <s v="Emmanuel"/>
    <m/>
    <s v="Nzabonimana"/>
    <x v="0"/>
    <x v="9"/>
    <s v="Rwanda"/>
    <s v="University of Rwanda"/>
    <s v="Dentistry"/>
    <s v="Preventive and Community Dentistry"/>
    <s v="University of the Witwatersrand"/>
    <s v="No"/>
    <m/>
    <s v="Single"/>
    <s v="Single"/>
    <m/>
    <s v="enzabonimana@cartafrica.org"/>
    <s v="nzabaemmy@gmail.com"/>
    <s v="+250783880746"/>
    <s v="Health Informatics"/>
    <d v="1992-04-01T00:00:00"/>
    <s v="Investigating reasons, challenges, and perceptions of poor oral health among adults in rural and urban Rwanda"/>
    <s v="Field"/>
    <m/>
    <m/>
    <m/>
    <d v="2020-06-01T00:00:00"/>
    <d v="2020-03-01T00:00:00"/>
    <m/>
    <s v="Prof Phumzile Hlongwa"/>
    <s v="Prof Veerasamy Yengopal"/>
    <s v="Dr Yolanda Malele-Kolisa"/>
    <n v="3"/>
    <m/>
    <m/>
    <m/>
    <m/>
    <m/>
    <m/>
    <s v="Academic"/>
    <s v="Assistant Lecturer"/>
    <s v="Assistant Lecturer"/>
    <s v="No"/>
    <m/>
    <s v="UNIVERSITY OF RWANDA"/>
    <s v="0000-0002-6876-3472"/>
    <m/>
    <d v="2020-03-10T00:00:00"/>
    <s v="11/1/2020 &amp; 22/5/2022"/>
    <s v="Yes"/>
    <d v="2022-01-18T00:00:00"/>
    <d v="2022-02-25T00:00:00"/>
    <m/>
    <m/>
    <m/>
    <s v="Investigating reasons, challenges, and perceptions of poor oral health among adults in rural and urban Rwanda"/>
    <d v="2022-11-07T00:00:00"/>
    <s v="Yes"/>
    <d v="2024-07-03T00:00:00"/>
    <s v="Yes"/>
    <m/>
    <m/>
    <m/>
    <d v="2024-12-22T00:00:00"/>
    <x v="0"/>
    <n v="58"/>
    <m/>
    <s v="Oral Health in Nyarugenge District of Rwanda: The Role of Mobile Application in Oral Health Education"/>
    <n v="0"/>
    <n v="3"/>
    <m/>
    <m/>
    <m/>
    <m/>
    <m/>
    <s v="No"/>
    <m/>
    <m/>
    <m/>
    <m/>
    <m/>
    <m/>
    <m/>
    <m/>
    <n v="0"/>
    <m/>
    <m/>
    <s v="SIDA"/>
  </r>
  <r>
    <n v="246"/>
    <s v="C10/011"/>
    <s v="James"/>
    <s v="Mburu"/>
    <s v="Kang'ethe"/>
    <x v="0"/>
    <x v="9"/>
    <s v="Kenya"/>
    <s v="University of Nairobi"/>
    <s v="Tropical and Infectious Diseases"/>
    <s v="Institute of tropical and infectious diseases/ PMTCT- Under OBS/ GYN department"/>
    <s v="University of Nairobi"/>
    <s v="Yes"/>
    <m/>
    <s v="Married"/>
    <s v="Married"/>
    <m/>
    <s v="jkangethe@cartafrica.org"/>
    <s v="jimkangethe@gmail.com"/>
    <s v="+254726237390; 254731221155"/>
    <s v="MSC. Medical Virology"/>
    <d v="1986-12-11T00:00:00"/>
    <s v="Human Papillomavirus type-specific risk and association with Human T Lymphotrophic Virus-1 among HIV infected Women at Kenyatta Clinical research"/>
    <s v="Laboratory"/>
    <m/>
    <m/>
    <m/>
    <d v="2021-02-18T00:00:00"/>
    <d v="2020-03-01T00:00:00"/>
    <m/>
    <s v="Dr. Marianne Wanjiru Mureithi"/>
    <s v="Dr. Odari Eddy"/>
    <s v="Dr. Eddy Odari"/>
    <n v="3"/>
    <m/>
    <m/>
    <m/>
    <m/>
    <m/>
    <m/>
    <s v="Academic"/>
    <s v="HIV research scientist and tutor"/>
    <m/>
    <m/>
    <m/>
    <s v="UNIVERSITY OF NAIROBI"/>
    <s v="0000-0001-5813-5360"/>
    <m/>
    <d v="2020-03-12T00:00:00"/>
    <s v="11/1/2020 &amp; 22/5/2022"/>
    <s v="Yes"/>
    <d v="2021-01-18T00:00:00"/>
    <d v="2022-02-21T00:00:00"/>
    <m/>
    <m/>
    <m/>
    <s v="Human Papillomavirus type-specific risk and association with Human T Lymphotrophic Virus-1 among HIV infected Women at Kenyatta Clinical research"/>
    <d v="2022-11-07T00:00:00"/>
    <s v="Yes"/>
    <d v="2024-07-03T00:00:00"/>
    <s v="Yes"/>
    <d v="2024-02-26T00:00:00"/>
    <m/>
    <m/>
    <d v="2024-11-14T00:00:00"/>
    <x v="0"/>
    <n v="57"/>
    <m/>
    <m/>
    <n v="2"/>
    <n v="1"/>
    <m/>
    <m/>
    <m/>
    <m/>
    <m/>
    <s v="No"/>
    <m/>
    <m/>
    <m/>
    <m/>
    <m/>
    <m/>
    <m/>
    <m/>
    <n v="2"/>
    <m/>
    <m/>
    <s v="SIDA"/>
  </r>
  <r>
    <n v="247"/>
    <s v="C10/013"/>
    <s v="Kganetso"/>
    <s v="-"/>
    <s v="Sekome"/>
    <x v="0"/>
    <x v="9"/>
    <s v="South Africa"/>
    <s v="University of the Witwatersrand"/>
    <s v="Rehabilitation and Therapy"/>
    <s v="physiotherapy"/>
    <s v="University of the Witwatersrand"/>
    <s v="Yes"/>
    <n v="1897532"/>
    <s v="Single"/>
    <s v="Single"/>
    <m/>
    <s v="ksekome@cartafrica.org"/>
    <s v="kgakzin88@gmail.com"/>
    <s v="+27 11 7173705; +27 78 0118605"/>
    <s v="Master of public health"/>
    <d v="1992-05-03T00:00:00"/>
    <s v="Effects of modifications in lifestyle and daily routine  on blood pressure among hypertensive rural adults in Agincourt, South Africa."/>
    <s v="Field"/>
    <m/>
    <m/>
    <m/>
    <d v="2019-07-14T00:00:00"/>
    <d v="2020-03-01T00:00:00"/>
    <m/>
    <s v="Professor Hellen Myezwa"/>
    <s v="Prof. F. Gomez Olive- Casas"/>
    <m/>
    <n v="2"/>
    <m/>
    <m/>
    <m/>
    <m/>
    <m/>
    <m/>
    <s v="Academic"/>
    <s v="Lecturer"/>
    <s v="Senior Lecturer"/>
    <s v="Yes"/>
    <m/>
    <s v="UNIVERSITY OF THE WITWATERSRAND"/>
    <s v="0000-0002-4567-1022"/>
    <m/>
    <d v="2020-03-14T00:00:00"/>
    <s v="11/1/2020 &amp; 22/5/2022"/>
    <s v="Yes"/>
    <d v="2020-07-01T00:00:00"/>
    <d v="2021-02-22T00:00:00"/>
    <m/>
    <m/>
    <m/>
    <s v="Effects of modifications in lifestyle and daily routine  on blood pressure among hypertensive rural adults in Agincourt, South Africa."/>
    <d v="2022-11-07T00:00:00"/>
    <s v="Yes"/>
    <d v="2024-07-03T00:00:00"/>
    <s v="Yes"/>
    <m/>
    <m/>
    <m/>
    <d v="2024-10-31T00:00:00"/>
    <x v="0"/>
    <n v="56"/>
    <e v="#VALUE!"/>
    <s v="Feasibility and acceptability of a Contextualized Physical Activity and Diet Intervention for Hypertension Control in a Rural Adult Population of South Africa"/>
    <n v="1"/>
    <n v="0"/>
    <m/>
    <m/>
    <m/>
    <m/>
    <m/>
    <s v="No"/>
    <m/>
    <m/>
    <m/>
    <m/>
    <m/>
    <m/>
    <m/>
    <m/>
    <n v="0"/>
    <m/>
    <m/>
    <s v="WT - DELTAS"/>
  </r>
  <r>
    <n v="248"/>
    <s v="C10/017"/>
    <s v="Monday"/>
    <s v="Daniel"/>
    <s v="Olodu"/>
    <x v="0"/>
    <x v="9"/>
    <s v="Nigeria"/>
    <s v="Obafemi Awolowo University"/>
    <s v="Nutrition"/>
    <s v="Community Health"/>
    <s v="University of Ibadan"/>
    <s v="No"/>
    <m/>
    <s v="Married"/>
    <s v="Married"/>
    <m/>
    <s v="molodu@cartafrica.org"/>
    <s v="mondayolodu@gmail.com; mondayolodu@yahoo.com"/>
    <s v="+234-8063168131"/>
    <s v="Master of Science (Human Nutrition)"/>
    <d v="1986-11-24T00:00:00"/>
    <s v="Improving Childhood Nutrition among the Yoruba Ethnic Group in the Rural Communities, Southwest Nigeria: An Indigenous Food-Based Approach"/>
    <s v="Field and Laboratory"/>
    <m/>
    <m/>
    <m/>
    <d v="2021-03-12T00:00:00"/>
    <d v="2020-03-01T00:00:00"/>
    <m/>
    <s v="Dr. Oladejo Thomas Adepoju"/>
    <m/>
    <m/>
    <n v="1"/>
    <m/>
    <m/>
    <m/>
    <m/>
    <m/>
    <m/>
    <s v="Academic"/>
    <s v="Lecturer II"/>
    <s v="Lecturer II"/>
    <m/>
    <m/>
    <s v="OBAFEMI AWOLOWO UNIVERSITY"/>
    <s v="0000-0002-1928-9209"/>
    <m/>
    <d v="2020-03-18T00:00:00"/>
    <s v="11/1/2020 &amp; 22/5/2022"/>
    <s v="Yes"/>
    <d v="2022-11-09T00:00:00"/>
    <d v="2022-09-07T00:00:00"/>
    <m/>
    <m/>
    <m/>
    <s v="Improving Childhood Nutrition among the Yoruba Ethnic Group in the Rural Communities, Southwest Nigeria: An Indigenous Food-Based Approach"/>
    <d v="2023-05-15T00:00:00"/>
    <s v="No"/>
    <d v="2024-07-03T00:00:00"/>
    <s v="Yes"/>
    <m/>
    <m/>
    <m/>
    <d v="2025-08-20T00:00:00"/>
    <x v="0"/>
    <n v="66"/>
    <m/>
    <m/>
    <n v="2"/>
    <n v="1"/>
    <m/>
    <m/>
    <m/>
    <m/>
    <m/>
    <s v="No"/>
    <m/>
    <m/>
    <m/>
    <m/>
    <m/>
    <m/>
    <m/>
    <m/>
    <n v="1"/>
    <m/>
    <m/>
    <s v="SIDA"/>
  </r>
  <r>
    <n v="249"/>
    <s v="C10/024"/>
    <s v="Temitope"/>
    <s v="Olumuyiwa"/>
    <s v="Ojo"/>
    <x v="0"/>
    <x v="9"/>
    <s v="Nigeria"/>
    <s v="Obafemi Awolowo University"/>
    <s v="Occupational Health and Industrial Hygiene"/>
    <s v="Community Health"/>
    <s v="University of the Witwatersrand"/>
    <s v="No"/>
    <m/>
    <s v="Married"/>
    <s v="Married"/>
    <m/>
    <s v="tojo@cartafrica.org"/>
    <s v="linktopeojo@yahoo.com"/>
    <s v="+2348035798224"/>
    <s v="MPH"/>
    <d v="1982-08-22T00:00:00"/>
    <s v="Factors associated with occupational injuries and work-related musculoskeletal disorders among artisans in the informal sector of the Nigerian construction industry"/>
    <s v="Field"/>
    <m/>
    <m/>
    <m/>
    <d v="2022-03-02T00:00:00"/>
    <d v="2020-03-01T00:00:00"/>
    <m/>
    <s v="Dr Nisha Naicker"/>
    <s v="Prof Onayade Adedeji"/>
    <m/>
    <n v="2"/>
    <m/>
    <m/>
    <m/>
    <m/>
    <m/>
    <m/>
    <s v="Academic"/>
    <s v="Lecturer I"/>
    <s v="Senior Lecturer"/>
    <s v="Yes"/>
    <m/>
    <s v="OBAFEMI AWOLOWO UNIVERSITY"/>
    <s v="0000-0003-1899-5213"/>
    <m/>
    <d v="2020-03-25T00:00:00"/>
    <s v="11/1/2020 &amp; 22/5/2022"/>
    <s v="Yes"/>
    <d v="2022-08-24T00:00:00"/>
    <d v="2022-10-05T00:00:00"/>
    <m/>
    <m/>
    <m/>
    <s v="Factors associated with occupational injuries and work-related musculoskeletal disorders among artisans in the informal sector of the Nigerian construction industry"/>
    <d v="2022-11-07T00:00:00"/>
    <s v="Yes"/>
    <d v="2024-07-03T00:00:00"/>
    <s v="Yes"/>
    <m/>
    <m/>
    <m/>
    <m/>
    <x v="2"/>
    <m/>
    <m/>
    <m/>
    <n v="12"/>
    <n v="11"/>
    <m/>
    <m/>
    <m/>
    <m/>
    <m/>
    <s v="No"/>
    <m/>
    <m/>
    <m/>
    <m/>
    <m/>
    <m/>
    <m/>
    <m/>
    <n v="2"/>
    <m/>
    <m/>
    <s v="SIDA"/>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8F32EE4-A421-4893-B42F-3D7A020889A5}" name="PivotTable3"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1">
  <location ref="B42:F55" firstHeaderRow="1" firstDataRow="2" firstDataCol="1"/>
  <pivotFields count="92">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2">
        <item x="0"/>
        <item x="1"/>
        <item x="2"/>
        <item x="3"/>
        <item x="4"/>
        <item x="5"/>
        <item x="6"/>
        <item x="7"/>
        <item x="8"/>
        <item x="9"/>
        <item x="10"/>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6"/>
  </rowFields>
  <rowItems count="12">
    <i>
      <x/>
    </i>
    <i>
      <x v="1"/>
    </i>
    <i>
      <x v="2"/>
    </i>
    <i>
      <x v="3"/>
    </i>
    <i>
      <x v="4"/>
    </i>
    <i>
      <x v="5"/>
    </i>
    <i>
      <x v="6"/>
    </i>
    <i>
      <x v="7"/>
    </i>
    <i>
      <x v="8"/>
    </i>
    <i>
      <x v="9"/>
    </i>
    <i>
      <x v="10"/>
    </i>
    <i t="grand">
      <x/>
    </i>
  </rowItems>
  <colFields count="1">
    <field x="65"/>
  </colFields>
  <colItems count="4">
    <i>
      <x/>
    </i>
    <i>
      <x v="2"/>
    </i>
    <i>
      <x v="3"/>
    </i>
    <i t="grand">
      <x/>
    </i>
  </colItems>
  <dataFields count="1">
    <dataField name="Count of Unique ID" fld="1" subtotal="count" baseField="0" baseItem="0"/>
  </dataFields>
  <formats count="2">
    <format dxfId="12">
      <pivotArea outline="0" collapsedLevelsAreSubtotals="1" fieldPosition="0"/>
    </format>
    <format dxfId="13">
      <pivotArea outline="0" fieldPosition="0">
        <references count="1">
          <reference field="4294967294" count="1">
            <x v="0"/>
          </reference>
        </references>
      </pivotArea>
    </format>
  </formats>
  <conditionalFormats count="1">
    <conditionalFormat priority="1">
      <pivotAreas count="1">
        <pivotArea type="data" outline="0" collapsedLevelsAreSubtotals="1" fieldPosition="0">
          <references count="3">
            <reference field="4294967294" count="1" selected="0">
              <x v="0"/>
            </reference>
            <reference field="6" count="10" selected="0">
              <x v="0"/>
              <x v="1"/>
              <x v="2"/>
              <x v="3"/>
              <x v="4"/>
              <x v="5"/>
              <x v="6"/>
              <x v="7"/>
              <x v="8"/>
              <x v="9"/>
            </reference>
            <reference field="65" count="3" selected="0">
              <x v="0"/>
              <x v="2"/>
              <x v="3"/>
            </reference>
          </references>
        </pivotArea>
      </pivotAreas>
    </conditionalFormat>
  </conditionalFormats>
  <chartFormats count="34">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17" format="0" series="1">
      <pivotArea type="data" outline="0" fieldPosition="0">
        <references count="2">
          <reference field="4294967294" count="1" selected="0">
            <x v="0"/>
          </reference>
          <reference field="65" count="1" selected="0">
            <x v="0"/>
          </reference>
        </references>
      </pivotArea>
    </chartFormat>
    <chartFormat chart="17" format="1" series="1">
      <pivotArea type="data" outline="0" fieldPosition="0">
        <references count="2">
          <reference field="4294967294" count="1" selected="0">
            <x v="0"/>
          </reference>
          <reference field="65" count="1" selected="0">
            <x v="2"/>
          </reference>
        </references>
      </pivotArea>
    </chartFormat>
    <chartFormat chart="17" format="2" series="1">
      <pivotArea type="data" outline="0" fieldPosition="0">
        <references count="2">
          <reference field="4294967294" count="1" selected="0">
            <x v="0"/>
          </reference>
          <reference field="65" count="1" selected="0">
            <x v="3"/>
          </reference>
        </references>
      </pivotArea>
    </chartFormat>
    <chartFormat chart="18" format="3" series="1">
      <pivotArea type="data" outline="0" fieldPosition="0">
        <references count="2">
          <reference field="4294967294" count="1" selected="0">
            <x v="0"/>
          </reference>
          <reference field="65" count="1" selected="0">
            <x v="0"/>
          </reference>
        </references>
      </pivotArea>
    </chartFormat>
    <chartFormat chart="18" format="4" series="1">
      <pivotArea type="data" outline="0" fieldPosition="0">
        <references count="2">
          <reference field="4294967294" count="1" selected="0">
            <x v="0"/>
          </reference>
          <reference field="65" count="1" selected="0">
            <x v="2"/>
          </reference>
        </references>
      </pivotArea>
    </chartFormat>
    <chartFormat chart="18" format="5" series="1">
      <pivotArea type="data" outline="0" fieldPosition="0">
        <references count="2">
          <reference field="4294967294" count="1" selected="0">
            <x v="0"/>
          </reference>
          <reference field="65" count="1" selected="0">
            <x v="3"/>
          </reference>
        </references>
      </pivotArea>
    </chartFormat>
    <chartFormat chart="19" format="6" series="1">
      <pivotArea type="data" outline="0" fieldPosition="0">
        <references count="2">
          <reference field="4294967294" count="1" selected="0">
            <x v="0"/>
          </reference>
          <reference field="65" count="1" selected="0">
            <x v="0"/>
          </reference>
        </references>
      </pivotArea>
    </chartFormat>
    <chartFormat chart="19" format="7" series="1">
      <pivotArea type="data" outline="0" fieldPosition="0">
        <references count="2">
          <reference field="4294967294" count="1" selected="0">
            <x v="0"/>
          </reference>
          <reference field="65" count="1" selected="0">
            <x v="2"/>
          </reference>
        </references>
      </pivotArea>
    </chartFormat>
    <chartFormat chart="19" format="8" series="1">
      <pivotArea type="data" outline="0" fieldPosition="0">
        <references count="2">
          <reference field="4294967294" count="1" selected="0">
            <x v="0"/>
          </reference>
          <reference field="65" count="1" selected="0">
            <x v="3"/>
          </reference>
        </references>
      </pivotArea>
    </chartFormat>
    <chartFormat chart="20" format="14" series="1">
      <pivotArea type="data" outline="0" fieldPosition="0">
        <references count="2">
          <reference field="4294967294" count="1" selected="0">
            <x v="0"/>
          </reference>
          <reference field="65" count="1" selected="0">
            <x v="0"/>
          </reference>
        </references>
      </pivotArea>
    </chartFormat>
    <chartFormat chart="20" format="15" series="1">
      <pivotArea type="data" outline="0" fieldPosition="0">
        <references count="2">
          <reference field="4294967294" count="1" selected="0">
            <x v="0"/>
          </reference>
          <reference field="65" count="1" selected="0">
            <x v="2"/>
          </reference>
        </references>
      </pivotArea>
    </chartFormat>
    <chartFormat chart="20" format="16" series="1">
      <pivotArea type="data" outline="0" fieldPosition="0">
        <references count="2">
          <reference field="4294967294" count="1" selected="0">
            <x v="0"/>
          </reference>
          <reference field="65" count="1" selected="0">
            <x v="3"/>
          </reference>
        </references>
      </pivotArea>
    </chartFormat>
    <chartFormat chart="20" format="17">
      <pivotArea type="data" outline="0" fieldPosition="0">
        <references count="3">
          <reference field="4294967294" count="1" selected="0">
            <x v="0"/>
          </reference>
          <reference field="6" count="1" selected="0">
            <x v="0"/>
          </reference>
          <reference field="65" count="1" selected="0">
            <x v="2"/>
          </reference>
        </references>
      </pivotArea>
    </chartFormat>
    <chartFormat chart="20" format="18">
      <pivotArea type="data" outline="0" fieldPosition="0">
        <references count="3">
          <reference field="4294967294" count="1" selected="0">
            <x v="0"/>
          </reference>
          <reference field="6" count="1" selected="0">
            <x v="8"/>
          </reference>
          <reference field="65" count="1" selected="0">
            <x v="3"/>
          </reference>
        </references>
      </pivotArea>
    </chartFormat>
    <chartFormat chart="20" format="19">
      <pivotArea type="data" outline="0" fieldPosition="0">
        <references count="3">
          <reference field="4294967294" count="1" selected="0">
            <x v="0"/>
          </reference>
          <reference field="6" count="1" selected="0">
            <x v="9"/>
          </reference>
          <reference field="65" count="1" selected="0">
            <x v="3"/>
          </reference>
        </references>
      </pivotArea>
    </chartFormat>
    <chartFormat chart="20" format="20">
      <pivotArea type="data" outline="0" fieldPosition="0">
        <references count="3">
          <reference field="4294967294" count="1" selected="0">
            <x v="0"/>
          </reference>
          <reference field="6" count="1" selected="0">
            <x v="8"/>
          </reference>
          <reference field="65"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589F80A-8A4D-4E02-82FE-FEBDCC083C6A}" name="PivotTable3" cacheId="12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chartFormat="17">
  <location ref="A20:E2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h="1"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6" baseItem="0"/>
  </dataFields>
  <chartFormats count="16">
    <chartFormat chart="3" format="0" series="1">
      <pivotArea type="data" outline="0" fieldPosition="0">
        <references count="2">
          <reference field="4294967294" count="1" selected="0">
            <x v="0"/>
          </reference>
          <reference field="5" count="1" selected="0">
            <x v="0"/>
          </reference>
        </references>
      </pivotArea>
    </chartFormat>
    <chartFormat chart="3" format="1"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 chart="9" format="6" series="1">
      <pivotArea type="data" outline="0" fieldPosition="0">
        <references count="2">
          <reference field="4294967294" count="1" selected="0">
            <x v="0"/>
          </reference>
          <reference field="65" count="1" selected="0">
            <x v="4"/>
          </reference>
        </references>
      </pivotArea>
    </chartFormat>
    <chartFormat chart="9" format="7" series="1">
      <pivotArea type="data" outline="0" fieldPosition="0">
        <references count="2">
          <reference field="4294967294" count="1" selected="0">
            <x v="0"/>
          </reference>
          <reference field="65" count="1" selected="0">
            <x v="0"/>
          </reference>
        </references>
      </pivotArea>
    </chartFormat>
    <chartFormat chart="9" format="8" series="1">
      <pivotArea type="data" outline="0" fieldPosition="0">
        <references count="2">
          <reference field="4294967294" count="1" selected="0">
            <x v="0"/>
          </reference>
          <reference field="65" count="1" selected="0">
            <x v="3"/>
          </reference>
        </references>
      </pivotArea>
    </chartFormat>
    <chartFormat chart="3" format="2" series="1">
      <pivotArea type="data" outline="0" fieldPosition="0">
        <references count="2">
          <reference field="4294967294" count="1" selected="0">
            <x v="0"/>
          </reference>
          <reference field="65" count="1" selected="0">
            <x v="4"/>
          </reference>
        </references>
      </pivotArea>
    </chartFormat>
    <chartFormat chart="3" format="3" series="1">
      <pivotArea type="data" outline="0" fieldPosition="0">
        <references count="2">
          <reference field="4294967294" count="1" selected="0">
            <x v="0"/>
          </reference>
          <reference field="65" count="1" selected="0">
            <x v="0"/>
          </reference>
        </references>
      </pivotArea>
    </chartFormat>
    <chartFormat chart="3" format="4" series="1">
      <pivotArea type="data" outline="0" fieldPosition="0">
        <references count="2">
          <reference field="4294967294" count="1" selected="0">
            <x v="0"/>
          </reference>
          <reference field="65" count="1" selected="0">
            <x v="3"/>
          </reference>
        </references>
      </pivotArea>
    </chartFormat>
    <chartFormat chart="10" format="9" series="1">
      <pivotArea type="data" outline="0" fieldPosition="0">
        <references count="2">
          <reference field="4294967294" count="1" selected="0">
            <x v="0"/>
          </reference>
          <reference field="65" count="1" selected="0">
            <x v="0"/>
          </reference>
        </references>
      </pivotArea>
    </chartFormat>
    <chartFormat chart="10" format="10" series="1">
      <pivotArea type="data" outline="0" fieldPosition="0">
        <references count="2">
          <reference field="4294967294" count="1" selected="0">
            <x v="0"/>
          </reference>
          <reference field="65" count="1" selected="0">
            <x v="3"/>
          </reference>
        </references>
      </pivotArea>
    </chartFormat>
    <chartFormat chart="10" format="11" series="1">
      <pivotArea type="data" outline="0" fieldPosition="0">
        <references count="2">
          <reference field="4294967294" count="1" selected="0">
            <x v="0"/>
          </reference>
          <reference field="65" count="1" selected="0">
            <x v="4"/>
          </reference>
        </references>
      </pivotArea>
    </chartFormat>
    <chartFormat chart="11" format="12" series="1">
      <pivotArea type="data" outline="0" fieldPosition="0">
        <references count="2">
          <reference field="4294967294" count="1" selected="0">
            <x v="0"/>
          </reference>
          <reference field="65" count="1" selected="0">
            <x v="0"/>
          </reference>
        </references>
      </pivotArea>
    </chartFormat>
    <chartFormat chart="11" format="13" series="1">
      <pivotArea type="data" outline="0" fieldPosition="0">
        <references count="2">
          <reference field="4294967294" count="1" selected="0">
            <x v="0"/>
          </reference>
          <reference field="65" count="1" selected="0">
            <x v="3"/>
          </reference>
        </references>
      </pivotArea>
    </chartFormat>
    <chartFormat chart="11" format="14" series="1">
      <pivotArea type="data" outline="0" fieldPosition="0">
        <references count="2">
          <reference field="4294967294" count="1" selected="0">
            <x v="0"/>
          </reference>
          <reference field="6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814528E1-19E3-4993-9E3B-C67283AA55FC}" name="PivotTable2" cacheId="128" applyNumberFormats="0" applyBorderFormats="0" applyFontFormats="0" applyPatternFormats="0" applyAlignmentFormats="0" applyWidthHeightFormats="1" dataCaption="Values" updatedVersion="8" minRefreshableVersion="3" useAutoFormatting="1" itemPrintTitles="1" createdVersion="6" indent="0" outline="1" outlineData="1" multipleFieldFilters="0">
  <location ref="A3:E15" firstHeaderRow="1" firstDataRow="2" firstDataCol="1"/>
  <pivotFields count="89">
    <pivotField dataField="1" showAll="0"/>
    <pivotField showAll="0"/>
    <pivotField showAll="0"/>
    <pivotField showAll="0"/>
    <pivotField showAll="0"/>
    <pivotField showAll="0"/>
    <pivotField axis="axisRow" showAll="0">
      <items count="11">
        <item x="0"/>
        <item x="1"/>
        <item x="2"/>
        <item x="3"/>
        <item x="4"/>
        <item x="5"/>
        <item x="6"/>
        <item x="7"/>
        <item x="8"/>
        <item x="9"/>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6"/>
  </rowFields>
  <rowItems count="11">
    <i>
      <x/>
    </i>
    <i>
      <x v="1"/>
    </i>
    <i>
      <x v="2"/>
    </i>
    <i>
      <x v="3"/>
    </i>
    <i>
      <x v="4"/>
    </i>
    <i>
      <x v="5"/>
    </i>
    <i>
      <x v="6"/>
    </i>
    <i>
      <x v="7"/>
    </i>
    <i>
      <x v="8"/>
    </i>
    <i>
      <x v="9"/>
    </i>
    <i t="grand">
      <x/>
    </i>
  </rowItems>
  <colFields count="1">
    <field x="65"/>
  </colFields>
  <colItems count="4">
    <i>
      <x/>
    </i>
    <i>
      <x v="3"/>
    </i>
    <i>
      <x v="4"/>
    </i>
    <i t="grand">
      <x/>
    </i>
  </colItems>
  <dataFields count="1">
    <dataField name="Count of S.No." fld="0" subtotal="count" baseField="6"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51A525C-239A-4443-9F20-0B418D4E5101}" name="Terminations" cacheId="128" applyNumberFormats="0" applyBorderFormats="0" applyFontFormats="0" applyPatternFormats="0" applyAlignmentFormats="0" applyWidthHeightFormats="1" dataCaption="Values" updatedVersion="8" minRefreshableVersion="3" showDrill="0" useAutoFormatting="1" itemPrintTitles="1" createdVersion="6" indent="0" outline="1" outlineData="1" multipleFieldFilters="0">
  <location ref="A90:E94" firstHeaderRow="1" firstDataRow="2" firstDataCol="1"/>
  <pivotFields count="89">
    <pivotField dataField="1" showAll="0"/>
    <pivotField showAll="0"/>
    <pivotField showAll="0"/>
    <pivotField showAll="0"/>
    <pivotField showAll="0"/>
    <pivotField axis="axisRow" showAll="0">
      <items count="4">
        <item x="1"/>
        <item x="0"/>
        <item m="1"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Col" showAll="0">
      <items count="6">
        <item x="0"/>
        <item m="1" x="4"/>
        <item m="1" x="3"/>
        <item x="2"/>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5"/>
  </rowFields>
  <rowItems count="3">
    <i>
      <x/>
    </i>
    <i>
      <x v="1"/>
    </i>
    <i t="grand">
      <x/>
    </i>
  </rowItems>
  <colFields count="1">
    <field x="65"/>
  </colFields>
  <colItems count="4">
    <i>
      <x/>
    </i>
    <i>
      <x v="3"/>
    </i>
    <i>
      <x v="4"/>
    </i>
    <i t="grand">
      <x/>
    </i>
  </colItems>
  <dataFields count="1">
    <dataField name="Count of S.No." fld="0" subtotal="count" baseField="5"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A21090E-0E87-4E73-A8C3-43FA74956D02}" name="PivotTable6"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2">
  <location ref="P4:Q7" firstHeaderRow="1" firstDataRow="1"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h="1" x="2"/>
        <item h="1"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1">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5" count="1" selected="0">
            <x v="0"/>
          </reference>
        </references>
      </pivotArea>
    </chartFormat>
    <chartFormat chart="21" format="12">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3BDE6260-92D1-47F1-B40E-F349FADE9D43}" name="PivotTable5"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8">
  <location ref="N4:O7" firstHeaderRow="1" firstDataRow="1"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Row" compact="0" outline="0" showAll="0">
      <items count="3">
        <item x="1"/>
        <item x="0"/>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5"/>
  </rowFields>
  <rowItems count="3">
    <i>
      <x/>
    </i>
    <i>
      <x v="1"/>
    </i>
    <i t="grand">
      <x/>
    </i>
  </rowItems>
  <colItems count="1">
    <i/>
  </colItems>
  <pageFields count="1">
    <pageField fld="65" hier="-1"/>
  </pageFields>
  <dataFields count="1">
    <dataField name="Count of Unique ID" fld="1" subtotal="count" baseField="0" baseItem="0"/>
  </dataFields>
  <chartFormats count="27">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2"/>
          </reference>
        </references>
      </pivotArea>
    </chartFormat>
    <chartFormat chart="2" format="2" series="1">
      <pivotArea type="data" outline="0" fieldPosition="0">
        <references count="2">
          <reference field="4294967294" count="1" selected="0">
            <x v="0"/>
          </reference>
          <reference field="65" count="1" selected="0">
            <x v="3"/>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2"/>
          </reference>
        </references>
      </pivotArea>
    </chartFormat>
    <chartFormat chart="6" format="8" series="1">
      <pivotArea type="data" outline="0" fieldPosition="0">
        <references count="2">
          <reference field="4294967294" count="1" selected="0">
            <x v="0"/>
          </reference>
          <reference field="65" count="1" selected="0">
            <x v="3"/>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2"/>
          </reference>
        </references>
      </pivotArea>
    </chartFormat>
    <chartFormat chart="7" format="2" series="1">
      <pivotArea type="data" outline="0" fieldPosition="0">
        <references count="2">
          <reference field="4294967294" count="1" selected="0">
            <x v="0"/>
          </reference>
          <reference field="65" count="1" selected="0">
            <x v="3"/>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2"/>
          </reference>
        </references>
      </pivotArea>
    </chartFormat>
    <chartFormat chart="10" format="8" series="1">
      <pivotArea type="data" outline="0" fieldPosition="0">
        <references count="2">
          <reference field="4294967294" count="1" selected="0">
            <x v="0"/>
          </reference>
          <reference field="65" count="1" selected="0">
            <x v="3"/>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2"/>
          </reference>
        </references>
      </pivotArea>
    </chartFormat>
    <chartFormat chart="13" format="14" series="1">
      <pivotArea type="data" outline="0" fieldPosition="0">
        <references count="2">
          <reference field="4294967294" count="1" selected="0">
            <x v="0"/>
          </reference>
          <reference field="65" count="1" selected="0">
            <x v="3"/>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2"/>
          </reference>
        </references>
      </pivotArea>
    </chartFormat>
    <chartFormat chart="16" format="23" series="1">
      <pivotArea type="data" outline="0" fieldPosition="0">
        <references count="2">
          <reference field="4294967294" count="1" selected="0">
            <x v="0"/>
          </reference>
          <reference field="65" count="1" selected="0">
            <x v="3"/>
          </reference>
        </references>
      </pivotArea>
    </chartFormat>
    <chartFormat chart="24" format="5" series="1">
      <pivotArea type="data" outline="0" fieldPosition="0">
        <references count="1">
          <reference field="4294967294" count="1" selected="0">
            <x v="0"/>
          </reference>
        </references>
      </pivotArea>
    </chartFormat>
    <chartFormat chart="24" format="6">
      <pivotArea type="data" outline="0" fieldPosition="0">
        <references count="2">
          <reference field="4294967294" count="1" selected="0">
            <x v="0"/>
          </reference>
          <reference field="5" count="1" selected="0">
            <x v="0"/>
          </reference>
        </references>
      </pivotArea>
    </chartFormat>
    <chartFormat chart="24" format="7">
      <pivotArea type="data" outline="0" fieldPosition="0">
        <references count="2">
          <reference field="4294967294" count="1" selected="0">
            <x v="0"/>
          </reference>
          <reference field="5" count="1" selected="0">
            <x v="1"/>
          </reference>
        </references>
      </pivotArea>
    </chartFormat>
    <chartFormat chart="25" format="8" series="1">
      <pivotArea type="data" outline="0" fieldPosition="0">
        <references count="1">
          <reference field="4294967294" count="1" selected="0">
            <x v="0"/>
          </reference>
        </references>
      </pivotArea>
    </chartFormat>
    <chartFormat chart="25" format="9">
      <pivotArea type="data" outline="0" fieldPosition="0">
        <references count="2">
          <reference field="4294967294" count="1" selected="0">
            <x v="0"/>
          </reference>
          <reference field="5" count="1" selected="0">
            <x v="0"/>
          </reference>
        </references>
      </pivotArea>
    </chartFormat>
    <chartFormat chart="25" format="10">
      <pivotArea type="data" outline="0" fieldPosition="0">
        <references count="2">
          <reference field="4294967294" count="1" selected="0">
            <x v="0"/>
          </reference>
          <reference field="5" count="1" selected="0">
            <x v="1"/>
          </reference>
        </references>
      </pivotArea>
    </chartFormat>
    <chartFormat chart="26" format="14" series="1">
      <pivotArea type="data" outline="0" fieldPosition="0">
        <references count="1">
          <reference field="4294967294" count="1" selected="0">
            <x v="0"/>
          </reference>
        </references>
      </pivotArea>
    </chartFormat>
    <chartFormat chart="26" format="15">
      <pivotArea type="data" outline="0" fieldPosition="0">
        <references count="2">
          <reference field="4294967294" count="1" selected="0">
            <x v="0"/>
          </reference>
          <reference field="5" count="1" selected="0">
            <x v="0"/>
          </reference>
        </references>
      </pivotArea>
    </chartFormat>
    <chartFormat chart="26" format="16">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8DC1B9F7-596A-455C-817E-BBD810D2B9BE}" name="PivotTable13"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66:L80"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9">
    <chartFormat chart="0" format="0" series="1">
      <pivotArea type="data" outline="0" fieldPosition="0">
        <references count="2">
          <reference field="4294967294" count="1" selected="0">
            <x v="0"/>
          </reference>
          <reference field="65" count="1" selected="0">
            <x v="0"/>
          </reference>
        </references>
      </pivotArea>
    </chartFormat>
    <chartFormat chart="0" format="1" series="1">
      <pivotArea type="data" outline="0" fieldPosition="0">
        <references count="2">
          <reference field="4294967294" count="1" selected="0">
            <x v="0"/>
          </reference>
          <reference field="65" count="1" selected="0">
            <x v="1"/>
          </reference>
        </references>
      </pivotArea>
    </chartFormat>
    <chartFormat chart="3" format="4" series="1">
      <pivotArea type="data" outline="0" fieldPosition="0">
        <references count="2">
          <reference field="4294967294" count="1" selected="0">
            <x v="0"/>
          </reference>
          <reference field="65" count="1" selected="0">
            <x v="0"/>
          </reference>
        </references>
      </pivotArea>
    </chartFormat>
    <chartFormat chart="3" format="5" series="1">
      <pivotArea type="data" outline="0" fieldPosition="0">
        <references count="2">
          <reference field="4294967294" count="1" selected="0">
            <x v="0"/>
          </reference>
          <reference field="65" count="1" selected="0">
            <x v="1"/>
          </reference>
        </references>
      </pivotArea>
    </chartFormat>
    <chartFormat chart="4" format="6" series="1">
      <pivotArea type="data" outline="0" fieldPosition="0">
        <references count="2">
          <reference field="4294967294" count="1" selected="0">
            <x v="0"/>
          </reference>
          <reference field="65" count="1" selected="0">
            <x v="0"/>
          </reference>
        </references>
      </pivotArea>
    </chartFormat>
    <chartFormat chart="4" format="7" series="1">
      <pivotArea type="data" outline="0" fieldPosition="0">
        <references count="2">
          <reference field="4294967294" count="1" selected="0">
            <x v="0"/>
          </reference>
          <reference field="65" count="1" selected="0">
            <x v="1"/>
          </reference>
        </references>
      </pivotArea>
    </chartFormat>
    <chartFormat chart="6" format="10" series="1">
      <pivotArea type="data" outline="0" fieldPosition="0">
        <references count="2">
          <reference field="4294967294" count="1" selected="0">
            <x v="0"/>
          </reference>
          <reference field="65" count="1" selected="0">
            <x v="0"/>
          </reference>
        </references>
      </pivotArea>
    </chartFormat>
    <chartFormat chart="6" format="11" series="1">
      <pivotArea type="data" outline="0" fieldPosition="0">
        <references count="2">
          <reference field="4294967294" count="1" selected="0">
            <x v="0"/>
          </reference>
          <reference field="65" count="1" selected="0">
            <x v="1"/>
          </reference>
        </references>
      </pivotArea>
    </chartFormat>
    <chartFormat chart="6" format="12"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5BADCEA-6BF0-4F30-AED5-B1E1848D48C2}" name="PivotTable7"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0">
  <location ref="A64:D78"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5"/>
  </colFields>
  <colItems count="3">
    <i>
      <x/>
    </i>
    <i>
      <x v="1"/>
    </i>
    <i t="grand">
      <x/>
    </i>
  </colItems>
  <pageFields count="1">
    <pageField fld="65" hier="-1"/>
  </pageFields>
  <dataFields count="1">
    <dataField name="Count of Unique ID" fld="1" subtotal="count" baseField="0" baseItem="0"/>
  </dataFields>
  <conditionalFormats count="1">
    <conditionalFormat priority="3">
      <pivotAreas count="1">
        <pivotArea type="data" outline="0" collapsedLevelsAreSubtotals="1" fieldPosition="0">
          <references count="2">
            <reference field="4294967294" count="1" selected="0">
              <x v="0"/>
            </reference>
            <reference field="6" count="10" selected="0">
              <x v="0"/>
              <x v="1"/>
              <x v="2"/>
              <x v="3"/>
              <x v="4"/>
              <x v="5"/>
              <x v="6"/>
              <x v="7"/>
              <x v="8"/>
              <x v="9"/>
            </reference>
          </references>
        </pivotArea>
      </pivotAreas>
    </conditionalFormat>
  </conditionalFormats>
  <chartFormats count="6">
    <chartFormat chart="17" format="0" series="1">
      <pivotArea type="data" outline="0" fieldPosition="0">
        <references count="2">
          <reference field="4294967294" count="1" selected="0">
            <x v="0"/>
          </reference>
          <reference field="5" count="1" selected="0">
            <x v="0"/>
          </reference>
        </references>
      </pivotArea>
    </chartFormat>
    <chartFormat chart="17" format="1" series="1">
      <pivotArea type="data" outline="0" fieldPosition="0">
        <references count="2">
          <reference field="4294967294" count="1" selected="0">
            <x v="0"/>
          </reference>
          <reference field="5" count="1" selected="0">
            <x v="1"/>
          </reference>
        </references>
      </pivotArea>
    </chartFormat>
    <chartFormat chart="18" format="2" series="1">
      <pivotArea type="data" outline="0" fieldPosition="0">
        <references count="2">
          <reference field="4294967294" count="1" selected="0">
            <x v="0"/>
          </reference>
          <reference field="5" count="1" selected="0">
            <x v="0"/>
          </reference>
        </references>
      </pivotArea>
    </chartFormat>
    <chartFormat chart="18" format="3" series="1">
      <pivotArea type="data" outline="0" fieldPosition="0">
        <references count="2">
          <reference field="4294967294" count="1" selected="0">
            <x v="0"/>
          </reference>
          <reference field="5" count="1" selected="0">
            <x v="1"/>
          </reference>
        </references>
      </pivotArea>
    </chartFormat>
    <chartFormat chart="19" format="4" series="1">
      <pivotArea type="data" outline="0" fieldPosition="0">
        <references count="2">
          <reference field="4294967294" count="1" selected="0">
            <x v="0"/>
          </reference>
          <reference field="5" count="1" selected="0">
            <x v="0"/>
          </reference>
        </references>
      </pivotArea>
    </chartFormat>
    <chartFormat chart="1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33EEA5D5-D6D2-4646-8E30-440385B8E6AB}" name="PivotTable4"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7">
  <location ref="A28:E42" firstHeaderRow="1" firstDataRow="2" firstDataCol="1"/>
  <pivotFields count="89">
    <pivotField compact="0" outline="0" showAll="0"/>
    <pivotField dataField="1" compact="0" outline="0" showAll="0"/>
    <pivotField compact="0" outline="0" showAll="0"/>
    <pivotField compact="0" outline="0" showAll="0"/>
    <pivotField compact="0" outline="0" showAll="0"/>
    <pivotField compact="0" outline="0" showAll="0"/>
    <pivotField axis="axisRow" compact="0" outline="0" multipleItemSelectionAllowed="1" showAll="0">
      <items count="13">
        <item x="0"/>
        <item x="1"/>
        <item x="2"/>
        <item x="3"/>
        <item x="4"/>
        <item x="5"/>
        <item x="6"/>
        <item x="7"/>
        <item x="8"/>
        <item x="9"/>
        <item x="10"/>
        <item x="11"/>
        <item t="default"/>
      </items>
    </pivotField>
    <pivotField compact="0" outline="0" showAll="0"/>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6"/>
  </rowFields>
  <rowItems count="13">
    <i>
      <x/>
    </i>
    <i>
      <x v="1"/>
    </i>
    <i>
      <x v="2"/>
    </i>
    <i>
      <x v="3"/>
    </i>
    <i>
      <x v="4"/>
    </i>
    <i>
      <x v="5"/>
    </i>
    <i>
      <x v="6"/>
    </i>
    <i>
      <x v="7"/>
    </i>
    <i>
      <x v="8"/>
    </i>
    <i>
      <x v="9"/>
    </i>
    <i>
      <x v="10"/>
    </i>
    <i>
      <x v="11"/>
    </i>
    <i t="grand">
      <x/>
    </i>
  </rowItems>
  <colFields count="1">
    <field x="65"/>
  </colFields>
  <colItems count="4">
    <i>
      <x/>
    </i>
    <i>
      <x v="1"/>
    </i>
    <i>
      <x v="2"/>
    </i>
    <i t="grand">
      <x/>
    </i>
  </colItems>
  <dataFields count="1">
    <dataField name="Count of Unique ID" fld="1" subtotal="count" baseField="0" baseItem="0"/>
  </dataFields>
  <chartFormats count="18">
    <chartFormat chart="2" format="0" series="1">
      <pivotArea type="data" outline="0" fieldPosition="0">
        <references count="2">
          <reference field="4294967294" count="1" selected="0">
            <x v="0"/>
          </reference>
          <reference field="65" count="1" selected="0">
            <x v="0"/>
          </reference>
        </references>
      </pivotArea>
    </chartFormat>
    <chartFormat chart="2" format="1" series="1">
      <pivotArea type="data" outline="0" fieldPosition="0">
        <references count="2">
          <reference field="4294967294" count="1" selected="0">
            <x v="0"/>
          </reference>
          <reference field="65" count="1" selected="0">
            <x v="1"/>
          </reference>
        </references>
      </pivotArea>
    </chartFormat>
    <chartFormat chart="2" format="2" series="1">
      <pivotArea type="data" outline="0" fieldPosition="0">
        <references count="2">
          <reference field="4294967294" count="1" selected="0">
            <x v="0"/>
          </reference>
          <reference field="65" count="1" selected="0">
            <x v="2"/>
          </reference>
        </references>
      </pivotArea>
    </chartFormat>
    <chartFormat chart="6" format="6" series="1">
      <pivotArea type="data" outline="0" fieldPosition="0">
        <references count="2">
          <reference field="4294967294" count="1" selected="0">
            <x v="0"/>
          </reference>
          <reference field="65" count="1" selected="0">
            <x v="0"/>
          </reference>
        </references>
      </pivotArea>
    </chartFormat>
    <chartFormat chart="6" format="7" series="1">
      <pivotArea type="data" outline="0" fieldPosition="0">
        <references count="2">
          <reference field="4294967294" count="1" selected="0">
            <x v="0"/>
          </reference>
          <reference field="65" count="1" selected="0">
            <x v="1"/>
          </reference>
        </references>
      </pivotArea>
    </chartFormat>
    <chartFormat chart="6" format="8" series="1">
      <pivotArea type="data" outline="0" fieldPosition="0">
        <references count="2">
          <reference field="4294967294" count="1" selected="0">
            <x v="0"/>
          </reference>
          <reference field="65" count="1" selected="0">
            <x v="2"/>
          </reference>
        </references>
      </pivotArea>
    </chartFormat>
    <chartFormat chart="7" format="0" series="1">
      <pivotArea type="data" outline="0" fieldPosition="0">
        <references count="2">
          <reference field="4294967294" count="1" selected="0">
            <x v="0"/>
          </reference>
          <reference field="65" count="1" selected="0">
            <x v="0"/>
          </reference>
        </references>
      </pivotArea>
    </chartFormat>
    <chartFormat chart="7" format="1" series="1">
      <pivotArea type="data" outline="0" fieldPosition="0">
        <references count="2">
          <reference field="4294967294" count="1" selected="0">
            <x v="0"/>
          </reference>
          <reference field="65" count="1" selected="0">
            <x v="1"/>
          </reference>
        </references>
      </pivotArea>
    </chartFormat>
    <chartFormat chart="7" format="2" series="1">
      <pivotArea type="data" outline="0" fieldPosition="0">
        <references count="2">
          <reference field="4294967294" count="1" selected="0">
            <x v="0"/>
          </reference>
          <reference field="65" count="1" selected="0">
            <x v="2"/>
          </reference>
        </references>
      </pivotArea>
    </chartFormat>
    <chartFormat chart="10" format="6" series="1">
      <pivotArea type="data" outline="0" fieldPosition="0">
        <references count="2">
          <reference field="4294967294" count="1" selected="0">
            <x v="0"/>
          </reference>
          <reference field="65" count="1" selected="0">
            <x v="0"/>
          </reference>
        </references>
      </pivotArea>
    </chartFormat>
    <chartFormat chart="10" format="7" series="1">
      <pivotArea type="data" outline="0" fieldPosition="0">
        <references count="2">
          <reference field="4294967294" count="1" selected="0">
            <x v="0"/>
          </reference>
          <reference field="65" count="1" selected="0">
            <x v="1"/>
          </reference>
        </references>
      </pivotArea>
    </chartFormat>
    <chartFormat chart="10" format="8" series="1">
      <pivotArea type="data" outline="0" fieldPosition="0">
        <references count="2">
          <reference field="4294967294" count="1" selected="0">
            <x v="0"/>
          </reference>
          <reference field="65" count="1" selected="0">
            <x v="2"/>
          </reference>
        </references>
      </pivotArea>
    </chartFormat>
    <chartFormat chart="13" format="12" series="1">
      <pivotArea type="data" outline="0" fieldPosition="0">
        <references count="2">
          <reference field="4294967294" count="1" selected="0">
            <x v="0"/>
          </reference>
          <reference field="65" count="1" selected="0">
            <x v="0"/>
          </reference>
        </references>
      </pivotArea>
    </chartFormat>
    <chartFormat chart="13" format="13" series="1">
      <pivotArea type="data" outline="0" fieldPosition="0">
        <references count="2">
          <reference field="4294967294" count="1" selected="0">
            <x v="0"/>
          </reference>
          <reference field="65" count="1" selected="0">
            <x v="1"/>
          </reference>
        </references>
      </pivotArea>
    </chartFormat>
    <chartFormat chart="13" format="14" series="1">
      <pivotArea type="data" outline="0" fieldPosition="0">
        <references count="2">
          <reference field="4294967294" count="1" selected="0">
            <x v="0"/>
          </reference>
          <reference field="65" count="1" selected="0">
            <x v="2"/>
          </reference>
        </references>
      </pivotArea>
    </chartFormat>
    <chartFormat chart="16" format="21" series="1">
      <pivotArea type="data" outline="0" fieldPosition="0">
        <references count="2">
          <reference field="4294967294" count="1" selected="0">
            <x v="0"/>
          </reference>
          <reference field="65" count="1" selected="0">
            <x v="0"/>
          </reference>
        </references>
      </pivotArea>
    </chartFormat>
    <chartFormat chart="16" format="22" series="1">
      <pivotArea type="data" outline="0" fieldPosition="0">
        <references count="2">
          <reference field="4294967294" count="1" selected="0">
            <x v="0"/>
          </reference>
          <reference field="65" count="1" selected="0">
            <x v="1"/>
          </reference>
        </references>
      </pivotArea>
    </chartFormat>
    <chartFormat chart="16" format="23"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3F5D2C79-269B-4D8C-B5C0-3D5E73FC5093}" name="PivotTable2" cacheId="120"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A4:F16"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4">
        <item x="1"/>
        <item x="0"/>
        <item x="2"/>
        <item t="default"/>
      </items>
    </pivotField>
    <pivotField compact="0" outline="0" multipleItemSelectionAllowed="1" showAll="0"/>
    <pivotField compact="0" outline="0" showAll="0"/>
    <pivotField compact="0" outline="0" showAll="0" defaultSubtotal="0"/>
    <pivotField compact="0" outline="0" showAll="0"/>
    <pivotField compact="0" outline="0" showAll="0"/>
    <pivotField axis="axisRow" compact="0" outline="0" showAll="0" defaultSubtotal="0">
      <items count="10">
        <item x="9"/>
        <item x="2"/>
        <item x="7"/>
        <item x="1"/>
        <item x="0"/>
        <item x="6"/>
        <item x="5"/>
        <item x="4"/>
        <item x="3"/>
        <item x="8"/>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4">
        <item x="0"/>
        <item x="2"/>
        <item x="1"/>
        <item x="3"/>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11"/>
  </rowFields>
  <rowItems count="11">
    <i>
      <x/>
    </i>
    <i>
      <x v="1"/>
    </i>
    <i>
      <x v="2"/>
    </i>
    <i>
      <x v="3"/>
    </i>
    <i>
      <x v="4"/>
    </i>
    <i>
      <x v="5"/>
    </i>
    <i>
      <x v="6"/>
    </i>
    <i>
      <x v="7"/>
    </i>
    <i>
      <x v="8"/>
    </i>
    <i>
      <x v="9"/>
    </i>
    <i t="grand">
      <x/>
    </i>
  </rowItems>
  <colFields count="1">
    <field x="65"/>
  </colFields>
  <colItems count="5">
    <i>
      <x/>
    </i>
    <i>
      <x v="1"/>
    </i>
    <i>
      <x v="2"/>
    </i>
    <i>
      <x v="3"/>
    </i>
    <i t="grand">
      <x/>
    </i>
  </colItems>
  <pageFields count="1">
    <pageField fld="5" hier="-1"/>
  </pageFields>
  <dataFields count="1">
    <dataField name="Count of Unique ID" fld="1" subtotal="count" baseField="0" baseItem="0"/>
  </dataFields>
  <chartFormats count="7">
    <chartFormat chart="6" format="14" series="1">
      <pivotArea type="data" outline="0" fieldPosition="0">
        <references count="1">
          <reference field="65" count="1" selected="0">
            <x v="0"/>
          </reference>
        </references>
      </pivotArea>
    </chartFormat>
    <chartFormat chart="6" format="15" series="1">
      <pivotArea type="data" outline="0" fieldPosition="0">
        <references count="1">
          <reference field="65" count="1" selected="0">
            <x v="1"/>
          </reference>
        </references>
      </pivotArea>
    </chartFormat>
    <chartFormat chart="6" format="16" series="1">
      <pivotArea type="data" outline="0" fieldPosition="0">
        <references count="1">
          <reference field="65" count="1" selected="0">
            <x v="2"/>
          </reference>
        </references>
      </pivotArea>
    </chartFormat>
    <chartFormat chart="6" format="17" series="1">
      <pivotArea type="data" outline="0" fieldPosition="0">
        <references count="2">
          <reference field="4294967294" count="1" selected="0">
            <x v="0"/>
          </reference>
          <reference field="65" count="1" selected="0">
            <x v="0"/>
          </reference>
        </references>
      </pivotArea>
    </chartFormat>
    <chartFormat chart="6" format="18" series="1">
      <pivotArea type="data" outline="0" fieldPosition="0">
        <references count="2">
          <reference field="4294967294" count="1" selected="0">
            <x v="0"/>
          </reference>
          <reference field="65" count="1" selected="0">
            <x v="1"/>
          </reference>
        </references>
      </pivotArea>
    </chartFormat>
    <chartFormat chart="6" format="19" series="1">
      <pivotArea type="data" outline="0" fieldPosition="0">
        <references count="2">
          <reference field="4294967294" count="1" selected="0">
            <x v="0"/>
          </reference>
          <reference field="65" count="1" selected="0">
            <x v="2"/>
          </reference>
        </references>
      </pivotArea>
    </chartFormat>
    <chartFormat chart="6" format="20" series="1">
      <pivotArea type="data" outline="0" fieldPosition="0">
        <references count="2">
          <reference field="4294967294" count="1" selected="0">
            <x v="0"/>
          </reference>
          <reference field="65"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F4071726-19D3-45AD-A444-F7D54EC2F875}" name="PivotTable3"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7">
  <location ref="H29:K41"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axis="axisRow" compact="0" outline="0" showAll="0">
      <items count="11">
        <item x="2"/>
        <item x="3"/>
        <item x="0"/>
        <item x="1"/>
        <item x="7"/>
        <item x="9"/>
        <item x="5"/>
        <item x="4"/>
        <item x="6"/>
        <item x="8"/>
        <item t="default"/>
      </items>
    </pivotField>
    <pivotField compact="0" outline="0" showAll="0" defaultSubtota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Fields count="1">
    <field x="5"/>
  </colFields>
  <colItems count="3">
    <i>
      <x/>
    </i>
    <i>
      <x v="1"/>
    </i>
    <i t="grand">
      <x/>
    </i>
  </colItems>
  <pageFields count="1">
    <pageField fld="65" hier="-1"/>
  </pageFields>
  <dataFields count="1">
    <dataField name="Count of Unique ID" fld="1"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7E332F2-CB15-431C-8DF3-7A4E4B365707}" name="PivotTable1" cacheId="121"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8">
  <location ref="H4:L20" firstHeaderRow="1" firstDataRow="2" firstDataCol="1" rowPageCount="1" colPageCount="1"/>
  <pivotFields count="89">
    <pivotField compact="0" outline="0" showAll="0"/>
    <pivotField dataField="1" compact="0" outline="0" showAll="0"/>
    <pivotField compact="0" outline="0" showAll="0"/>
    <pivotField compact="0" outline="0" showAll="0"/>
    <pivotField compact="0" outline="0" showAll="0"/>
    <pivotField axis="axisPage"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x="12"/>
        <item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Col" compact="0" outline="0" multipleItemSelectionAllowed="1" showAll="0" defaultSubtotal="0">
      <items count="3">
        <item x="0"/>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8"/>
  </rowFields>
  <rowItems count="15">
    <i>
      <x/>
    </i>
    <i>
      <x v="1"/>
    </i>
    <i>
      <x v="2"/>
    </i>
    <i>
      <x v="3"/>
    </i>
    <i>
      <x v="4"/>
    </i>
    <i>
      <x v="5"/>
    </i>
    <i>
      <x v="6"/>
    </i>
    <i>
      <x v="7"/>
    </i>
    <i>
      <x v="8"/>
    </i>
    <i>
      <x v="9"/>
    </i>
    <i>
      <x v="10"/>
    </i>
    <i>
      <x v="11"/>
    </i>
    <i>
      <x v="12"/>
    </i>
    <i>
      <x v="13"/>
    </i>
    <i t="grand">
      <x/>
    </i>
  </rowItems>
  <colFields count="1">
    <field x="65"/>
  </colFields>
  <colItems count="4">
    <i>
      <x/>
    </i>
    <i>
      <x v="1"/>
    </i>
    <i>
      <x v="2"/>
    </i>
    <i t="grand">
      <x/>
    </i>
  </colItems>
  <pageFields count="1">
    <pageField fld="5" hier="-1"/>
  </pageFields>
  <dataFields count="1">
    <dataField name="Count of Unique ID" fld="1" subtotal="count" baseField="0" baseItem="0"/>
  </dataFields>
  <conditionalFormats count="2">
    <conditionalFormat priority="1">
      <pivotAreas count="1">
        <pivotArea type="data" outline="0" collapsedLevelsAreSubtotals="1" fieldPosition="0">
          <references count="3">
            <reference field="4294967294" count="1" selected="0">
              <x v="0"/>
            </reference>
            <reference field="8" count="12" selected="0">
              <x v="0"/>
              <x v="1"/>
              <x v="2"/>
              <x v="3"/>
              <x v="4"/>
              <x v="5"/>
              <x v="6"/>
              <x v="7"/>
              <x v="8"/>
              <x v="9"/>
              <x v="10"/>
              <x v="11"/>
            </reference>
            <reference field="65" count="3" selected="0">
              <x v="0"/>
              <x v="1"/>
              <x v="2"/>
            </reference>
          </references>
        </pivotArea>
      </pivotAreas>
    </conditionalFormat>
    <conditionalFormat priority="5">
      <pivotAreas count="1">
        <pivotArea type="data" grandCol="1" outline="0" collapsedLevelsAreSubtotals="1" fieldPosition="0">
          <references count="2">
            <reference field="4294967294" count="1" selected="0">
              <x v="0"/>
            </reference>
            <reference field="8" count="12" selected="0">
              <x v="0"/>
              <x v="1"/>
              <x v="2"/>
              <x v="3"/>
              <x v="4"/>
              <x v="5"/>
              <x v="6"/>
              <x v="7"/>
              <x v="8"/>
              <x v="9"/>
              <x v="10"/>
              <x v="11"/>
            </reference>
          </references>
        </pivotArea>
      </pivotAreas>
    </conditionalFormat>
  </conditionalFormats>
  <chartFormats count="15">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1"/>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1"/>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1"/>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1"/>
          </reference>
        </references>
      </pivotArea>
    </chartFormat>
    <chartFormat chart="3" format="10" series="1">
      <pivotArea type="data" outline="0" fieldPosition="0">
        <references count="2">
          <reference field="4294967294" count="1" selected="0">
            <x v="0"/>
          </reference>
          <reference field="6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DFBDA254-4548-4AF4-9053-1088451D9A13}" name="PivotTable8"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18">
  <location ref="E26:H41"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defaultSubtotal="0">
      <items count="14">
        <item x="8"/>
        <item x="11"/>
        <item x="4"/>
        <item x="10"/>
        <item x="2"/>
        <item x="5"/>
        <item x="9"/>
        <item x="0"/>
        <item x="3"/>
        <item x="7"/>
        <item x="1"/>
        <item x="6"/>
        <item m="1" x="13"/>
        <item x="12"/>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compact="0" outline="0" showAll="0"/>
    <pivotField axis="axisPage"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3"/>
    </i>
    <i t="grand">
      <x/>
    </i>
  </rowItems>
  <colFields count="1">
    <field x="5"/>
  </colFields>
  <colItems count="3">
    <i>
      <x/>
    </i>
    <i>
      <x v="1"/>
    </i>
    <i t="grand">
      <x/>
    </i>
  </colItems>
  <pageFields count="1">
    <pageField fld="65" hier="-1"/>
  </pageFields>
  <dataFields count="1">
    <dataField name="Count of S.No." fld="0" subtotal="count" baseField="8" baseItem="0"/>
  </dataFields>
  <chartFormats count="6">
    <chartFormat chart="14" format="0" series="1">
      <pivotArea type="data" outline="0" fieldPosition="0">
        <references count="2">
          <reference field="4294967294" count="1" selected="0">
            <x v="0"/>
          </reference>
          <reference field="5" count="1" selected="0">
            <x v="0"/>
          </reference>
        </references>
      </pivotArea>
    </chartFormat>
    <chartFormat chart="14" format="1" series="1">
      <pivotArea type="data" outline="0" fieldPosition="0">
        <references count="2">
          <reference field="4294967294" count="1" selected="0">
            <x v="0"/>
          </reference>
          <reference field="5" count="1" selected="0">
            <x v="1"/>
          </reference>
        </references>
      </pivotArea>
    </chartFormat>
    <chartFormat chart="16" format="2" series="1">
      <pivotArea type="data" outline="0" fieldPosition="0">
        <references count="2">
          <reference field="4294967294" count="1" selected="0">
            <x v="0"/>
          </reference>
          <reference field="5" count="1" selected="0">
            <x v="0"/>
          </reference>
        </references>
      </pivotArea>
    </chartFormat>
    <chartFormat chart="16" format="3" series="1">
      <pivotArea type="data" outline="0" fieldPosition="0">
        <references count="2">
          <reference field="4294967294" count="1" selected="0">
            <x v="0"/>
          </reference>
          <reference field="5" count="1" selected="0">
            <x v="1"/>
          </reference>
        </references>
      </pivotArea>
    </chartFormat>
    <chartFormat chart="17" format="4" series="1">
      <pivotArea type="data" outline="0" fieldPosition="0">
        <references count="2">
          <reference field="4294967294" count="1" selected="0">
            <x v="0"/>
          </reference>
          <reference field="5" count="1" selected="0">
            <x v="0"/>
          </reference>
        </references>
      </pivotArea>
    </chartFormat>
    <chartFormat chart="17"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7CE9C960-5391-4ADD-8B8B-A9EC1CA9DCFE}" name="PivotTable7" cacheId="119" applyNumberFormats="0" applyBorderFormats="0" applyFontFormats="0" applyPatternFormats="0" applyAlignmentFormats="0" applyWidthHeightFormats="1" dataCaption="Values" updatedVersion="8" minRefreshableVersion="3" itemPrintTitles="1" createdVersion="6" indent="0" compact="0" compactData="0" multipleFieldFilters="0" chartFormat="26">
  <location ref="E4:H12" firstHeaderRow="1" firstDataRow="3" firstDataCol="1" rowPageCount="1" colPageCount="1"/>
  <pivotFields count="92">
    <pivotField compact="0" outline="0" showAll="0"/>
    <pivotField dataField="1"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multipleItemSelectionAllowed="1" showAll="0"/>
    <pivotField compact="0" outline="0" showAll="0"/>
    <pivotField axis="axisRow" compact="0" outline="0" showAll="0" sortType="ascending" defaultSubtotal="0">
      <items count="14">
        <item x="8"/>
        <item x="11"/>
        <item x="4"/>
        <item x="10"/>
        <item x="2"/>
        <item x="5"/>
        <item x="12"/>
        <item x="9"/>
        <item x="0"/>
        <item x="3"/>
        <item x="7"/>
        <item x="1"/>
        <item x="6"/>
        <item m="1" x="13"/>
      </items>
    </pivotField>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multipleItemSelectionAllowed="1" showAll="0"/>
    <pivotField compact="0" outline="0" showAll="0"/>
    <pivotField axis="axisPage" compact="0" outline="0" multipleItemSelectionAllowed="1" showAll="0">
      <items count="169">
        <item h="1" m="1" x="167"/>
        <item h="1" x="17"/>
        <item h="1" x="18"/>
        <item h="1" x="13"/>
        <item h="1" x="10"/>
        <item h="1" x="2"/>
        <item h="1" x="15"/>
        <item h="1" x="26"/>
        <item h="1" x="40"/>
        <item h="1" x="33"/>
        <item h="1" x="23"/>
        <item h="1" x="16"/>
        <item h="1" x="7"/>
        <item h="1" x="3"/>
        <item h="1" x="36"/>
        <item h="1" x="11"/>
        <item h="1" x="4"/>
        <item h="1" x="42"/>
        <item h="1" x="8"/>
        <item h="1" x="38"/>
        <item h="1" x="6"/>
        <item h="1" x="35"/>
        <item h="1" x="21"/>
        <item h="1" x="22"/>
        <item h="1" x="0"/>
        <item h="1" x="46"/>
        <item h="1" x="41"/>
        <item h="1" x="37"/>
        <item h="1" x="30"/>
        <item h="1" x="9"/>
        <item h="1" x="32"/>
        <item h="1" x="1"/>
        <item h="1" x="28"/>
        <item h="1" x="31"/>
        <item h="1" x="5"/>
        <item h="1" x="44"/>
        <item h="1" x="27"/>
        <item h="1" x="59"/>
        <item h="1" x="54"/>
        <item h="1" x="67"/>
        <item h="1" x="97"/>
        <item h="1" x="14"/>
        <item h="1" x="34"/>
        <item h="1" x="77"/>
        <item h="1" x="86"/>
        <item h="1" x="55"/>
        <item h="1" x="62"/>
        <item h="1" x="63"/>
        <item h="1" x="57"/>
        <item h="1" x="24"/>
        <item h="1" x="71"/>
        <item h="1" x="43"/>
        <item h="1" x="90"/>
        <item h="1" x="88"/>
        <item h="1" x="66"/>
        <item h="1" x="60"/>
        <item h="1" x="65"/>
        <item h="1" x="72"/>
        <item h="1" x="91"/>
        <item h="1" x="12"/>
        <item h="1" x="83"/>
        <item h="1" x="76"/>
        <item h="1" x="111"/>
        <item h="1" x="25"/>
        <item h="1" x="98"/>
        <item h="1" x="45"/>
        <item h="1" x="94"/>
        <item h="1" x="29"/>
        <item h="1" x="56"/>
        <item h="1" x="70"/>
        <item h="1" x="78"/>
        <item h="1" x="92"/>
        <item h="1" x="95"/>
        <item h="1" x="81"/>
        <item h="1" x="64"/>
        <item h="1" x="73"/>
        <item h="1" x="75"/>
        <item h="1" x="108"/>
        <item h="1" x="47"/>
        <item h="1" x="85"/>
        <item h="1" x="100"/>
        <item h="1" x="58"/>
        <item h="1" x="68"/>
        <item h="1" x="103"/>
        <item h="1" x="116"/>
        <item h="1" x="48"/>
        <item h="1" x="120"/>
        <item h="1" x="119"/>
        <item h="1" x="74"/>
        <item h="1" x="131"/>
        <item h="1" x="49"/>
        <item h="1" x="106"/>
        <item h="1" x="93"/>
        <item h="1" x="110"/>
        <item h="1" x="80"/>
        <item h="1" x="105"/>
        <item h="1" x="114"/>
        <item h="1" x="53"/>
        <item h="1" x="122"/>
        <item h="1" x="69"/>
        <item h="1" x="52"/>
        <item h="1" x="118"/>
        <item h="1" x="39"/>
        <item h="1" x="87"/>
        <item h="1" x="128"/>
        <item h="1" x="50"/>
        <item h="1" x="127"/>
        <item h="1" x="124"/>
        <item h="1" x="96"/>
        <item h="1" x="132"/>
        <item h="1" x="61"/>
        <item h="1" x="117"/>
        <item h="1" x="129"/>
        <item h="1" x="121"/>
        <item h="1" x="130"/>
        <item h="1" x="109"/>
        <item h="1" x="148"/>
        <item h="1" x="79"/>
        <item h="1" x="112"/>
        <item h="1" x="126"/>
        <item h="1" x="99"/>
        <item h="1" x="145"/>
        <item h="1" x="141"/>
        <item h="1" x="20"/>
        <item h="1" x="154"/>
        <item h="1" x="51"/>
        <item h="1" x="113"/>
        <item h="1" x="137"/>
        <item h="1" x="159"/>
        <item h="1" x="144"/>
        <item h="1" x="142"/>
        <item h="1" x="139"/>
        <item h="1" x="156"/>
        <item h="1" x="133"/>
        <item h="1" x="107"/>
        <item h="1" x="157"/>
        <item h="1" x="147"/>
        <item h="1" x="104"/>
        <item h="1" x="149"/>
        <item h="1" x="136"/>
        <item h="1" x="125"/>
        <item h="1" x="146"/>
        <item h="1" x="101"/>
        <item h="1" x="143"/>
        <item h="1" x="134"/>
        <item h="1" x="150"/>
        <item h="1" x="160"/>
        <item h="1" x="161"/>
        <item h="1" x="84"/>
        <item h="1" x="115"/>
        <item h="1" x="164"/>
        <item h="1" x="89"/>
        <item h="1" x="163"/>
        <item x="135"/>
        <item x="140"/>
        <item x="153"/>
        <item x="155"/>
        <item x="123"/>
        <item x="102"/>
        <item h="1" x="19"/>
        <item h="1" x="82"/>
        <item h="1" x="151"/>
        <item h="1" x="138"/>
        <item h="1" m="1" x="166"/>
        <item h="1" x="162"/>
        <item h="1" x="165"/>
        <item h="1" x="158"/>
        <item h="1" x="152"/>
        <item t="default"/>
      </items>
    </pivotField>
    <pivotField axis="axisCol" compact="0" outline="0" multipleItemSelectionAllowed="1" showAll="0" defaultSubtotal="0">
      <items count="4">
        <item x="0"/>
        <item h="1" m="1" x="3"/>
        <item x="2"/>
        <item x="1"/>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6">
    <i>
      <x v="4"/>
    </i>
    <i>
      <x v="5"/>
    </i>
    <i>
      <x v="8"/>
    </i>
    <i>
      <x v="10"/>
    </i>
    <i>
      <x v="12"/>
    </i>
    <i t="grand">
      <x/>
    </i>
  </rowItems>
  <colFields count="2">
    <field x="5"/>
    <field x="65"/>
  </colFields>
  <colItems count="3">
    <i>
      <x/>
      <x/>
    </i>
    <i t="default">
      <x/>
    </i>
    <i t="grand">
      <x/>
    </i>
  </colItems>
  <pageFields count="1">
    <pageField fld="64" hier="-1"/>
  </pageFields>
  <dataFields count="1">
    <dataField name="Count of Unique ID" fld="1" subtotal="count" baseField="0" baseItem="0"/>
  </dataFields>
  <chartFormats count="43">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1" format="2" series="1">
      <pivotArea type="data" outline="0" fieldPosition="0">
        <references count="2">
          <reference field="4294967294" count="1" selected="0">
            <x v="0"/>
          </reference>
          <reference field="5" count="1" selected="0">
            <x v="0"/>
          </reference>
        </references>
      </pivotArea>
    </chartFormat>
    <chartFormat chart="1" format="3" series="1">
      <pivotArea type="data" outline="0" fieldPosition="0">
        <references count="2">
          <reference field="4294967294" count="1" selected="0">
            <x v="0"/>
          </reference>
          <reference field="5" count="1" selected="0">
            <x v="1"/>
          </reference>
        </references>
      </pivotArea>
    </chartFormat>
    <chartFormat chart="2" format="4" series="1">
      <pivotArea type="data" outline="0" fieldPosition="0">
        <references count="2">
          <reference field="4294967294" count="1" selected="0">
            <x v="0"/>
          </reference>
          <reference field="5" count="1" selected="0">
            <x v="0"/>
          </reference>
        </references>
      </pivotArea>
    </chartFormat>
    <chartFormat chart="2" format="5" series="1">
      <pivotArea type="data" outline="0" fieldPosition="0">
        <references count="2">
          <reference field="4294967294" count="1" selected="0">
            <x v="0"/>
          </reference>
          <reference field="5" count="1" selected="0">
            <x v="1"/>
          </reference>
        </references>
      </pivotArea>
    </chartFormat>
    <chartFormat chart="2" format="6" series="1">
      <pivotArea type="data" outline="0" fieldPosition="0">
        <references count="2">
          <reference field="4294967294" count="1" selected="0">
            <x v="0"/>
          </reference>
          <reference field="65" count="1" selected="0">
            <x v="0"/>
          </reference>
        </references>
      </pivotArea>
    </chartFormat>
    <chartFormat chart="2" format="7" series="1">
      <pivotArea type="data" outline="0" fieldPosition="0">
        <references count="2">
          <reference field="4294967294" count="1" selected="0">
            <x v="0"/>
          </reference>
          <reference field="65" count="1" selected="0">
            <x v="2"/>
          </reference>
        </references>
      </pivotArea>
    </chartFormat>
    <chartFormat chart="1" format="4" series="1">
      <pivotArea type="data" outline="0" fieldPosition="0">
        <references count="2">
          <reference field="4294967294" count="1" selected="0">
            <x v="0"/>
          </reference>
          <reference field="65" count="1" selected="0">
            <x v="0"/>
          </reference>
        </references>
      </pivotArea>
    </chartFormat>
    <chartFormat chart="1" format="5" series="1">
      <pivotArea type="data" outline="0" fieldPosition="0">
        <references count="2">
          <reference field="4294967294" count="1" selected="0">
            <x v="0"/>
          </reference>
          <reference field="65" count="1" selected="0">
            <x v="2"/>
          </reference>
        </references>
      </pivotArea>
    </chartFormat>
    <chartFormat chart="0" format="2" series="1">
      <pivotArea type="data" outline="0" fieldPosition="0">
        <references count="2">
          <reference field="4294967294" count="1" selected="0">
            <x v="0"/>
          </reference>
          <reference field="65" count="1" selected="0">
            <x v="0"/>
          </reference>
        </references>
      </pivotArea>
    </chartFormat>
    <chartFormat chart="0" format="3" series="1">
      <pivotArea type="data" outline="0" fieldPosition="0">
        <references count="2">
          <reference field="4294967294" count="1" selected="0">
            <x v="0"/>
          </reference>
          <reference field="65" count="1" selected="0">
            <x v="2"/>
          </reference>
        </references>
      </pivotArea>
    </chartFormat>
    <chartFormat chart="3" format="8" series="1">
      <pivotArea type="data" outline="0" fieldPosition="0">
        <references count="2">
          <reference field="4294967294" count="1" selected="0">
            <x v="0"/>
          </reference>
          <reference field="65" count="1" selected="0">
            <x v="0"/>
          </reference>
        </references>
      </pivotArea>
    </chartFormat>
    <chartFormat chart="3" format="9" series="1">
      <pivotArea type="data" outline="0" fieldPosition="0">
        <references count="2">
          <reference field="4294967294" count="1" selected="0">
            <x v="0"/>
          </reference>
          <reference field="65" count="1" selected="0">
            <x v="2"/>
          </reference>
        </references>
      </pivotArea>
    </chartFormat>
    <chartFormat chart="3" format="10" series="1">
      <pivotArea type="data" outline="0" fieldPosition="0">
        <references count="2">
          <reference field="4294967294" count="1" selected="0">
            <x v="0"/>
          </reference>
          <reference field="65" count="1" selected="0">
            <x v="3"/>
          </reference>
        </references>
      </pivotArea>
    </chartFormat>
    <chartFormat chart="14" format="0" series="1">
      <pivotArea type="data" outline="0" fieldPosition="0">
        <references count="2">
          <reference field="4294967294" count="1" selected="0">
            <x v="0"/>
          </reference>
          <reference field="65" count="1" selected="0">
            <x v="0"/>
          </reference>
        </references>
      </pivotArea>
    </chartFormat>
    <chartFormat chart="14" format="1" series="1">
      <pivotArea type="data" outline="0" fieldPosition="0">
        <references count="2">
          <reference field="4294967294" count="1" selected="0">
            <x v="0"/>
          </reference>
          <reference field="65" count="1" selected="0">
            <x v="2"/>
          </reference>
        </references>
      </pivotArea>
    </chartFormat>
    <chartFormat chart="14" format="2" series="1">
      <pivotArea type="data" outline="0" fieldPosition="0">
        <references count="2">
          <reference field="4294967294" count="1" selected="0">
            <x v="0"/>
          </reference>
          <reference field="65" count="1" selected="0">
            <x v="3"/>
          </reference>
        </references>
      </pivotArea>
    </chartFormat>
    <chartFormat chart="17" format="3" series="1">
      <pivotArea type="data" outline="0" fieldPosition="0">
        <references count="2">
          <reference field="4294967294" count="1" selected="0">
            <x v="0"/>
          </reference>
          <reference field="65" count="1" selected="0">
            <x v="0"/>
          </reference>
        </references>
      </pivotArea>
    </chartFormat>
    <chartFormat chart="17" format="4" series="1">
      <pivotArea type="data" outline="0" fieldPosition="0">
        <references count="2">
          <reference field="4294967294" count="1" selected="0">
            <x v="0"/>
          </reference>
          <reference field="65" count="1" selected="0">
            <x v="2"/>
          </reference>
        </references>
      </pivotArea>
    </chartFormat>
    <chartFormat chart="17" format="5" series="1">
      <pivotArea type="data" outline="0" fieldPosition="0">
        <references count="2">
          <reference field="4294967294" count="1" selected="0">
            <x v="0"/>
          </reference>
          <reference field="65" count="1" selected="0">
            <x v="3"/>
          </reference>
        </references>
      </pivotArea>
    </chartFormat>
    <chartFormat chart="18" format="6" series="1">
      <pivotArea type="data" outline="0" fieldPosition="0">
        <references count="2">
          <reference field="4294967294" count="1" selected="0">
            <x v="0"/>
          </reference>
          <reference field="65" count="1" selected="0">
            <x v="0"/>
          </reference>
        </references>
      </pivotArea>
    </chartFormat>
    <chartFormat chart="18" format="7" series="1">
      <pivotArea type="data" outline="0" fieldPosition="0">
        <references count="2">
          <reference field="4294967294" count="1" selected="0">
            <x v="0"/>
          </reference>
          <reference field="65" count="1" selected="0">
            <x v="2"/>
          </reference>
        </references>
      </pivotArea>
    </chartFormat>
    <chartFormat chart="18" format="8" series="1">
      <pivotArea type="data" outline="0" fieldPosition="0">
        <references count="2">
          <reference field="4294967294" count="1" selected="0">
            <x v="0"/>
          </reference>
          <reference field="65" count="1" selected="0">
            <x v="3"/>
          </reference>
        </references>
      </pivotArea>
    </chartFormat>
    <chartFormat chart="19" format="3" series="1">
      <pivotArea type="data" outline="0" fieldPosition="0">
        <references count="2">
          <reference field="4294967294" count="1" selected="0">
            <x v="0"/>
          </reference>
          <reference field="65" count="1" selected="0">
            <x v="0"/>
          </reference>
        </references>
      </pivotArea>
    </chartFormat>
    <chartFormat chart="19" format="4" series="1">
      <pivotArea type="data" outline="0" fieldPosition="0">
        <references count="2">
          <reference field="4294967294" count="1" selected="0">
            <x v="0"/>
          </reference>
          <reference field="65" count="1" selected="0">
            <x v="2"/>
          </reference>
        </references>
      </pivotArea>
    </chartFormat>
    <chartFormat chart="19" format="5" series="1">
      <pivotArea type="data" outline="0" fieldPosition="0">
        <references count="2">
          <reference field="4294967294" count="1" selected="0">
            <x v="0"/>
          </reference>
          <reference field="65" count="1" selected="0">
            <x v="3"/>
          </reference>
        </references>
      </pivotArea>
    </chartFormat>
    <chartFormat chart="20" format="6" series="1">
      <pivotArea type="data" outline="0" fieldPosition="0">
        <references count="2">
          <reference field="4294967294" count="1" selected="0">
            <x v="0"/>
          </reference>
          <reference field="65" count="1" selected="0">
            <x v="0"/>
          </reference>
        </references>
      </pivotArea>
    </chartFormat>
    <chartFormat chart="20" format="7" series="1">
      <pivotArea type="data" outline="0" fieldPosition="0">
        <references count="2">
          <reference field="4294967294" count="1" selected="0">
            <x v="0"/>
          </reference>
          <reference field="65" count="1" selected="0">
            <x v="2"/>
          </reference>
        </references>
      </pivotArea>
    </chartFormat>
    <chartFormat chart="20" format="8" series="1">
      <pivotArea type="data" outline="0" fieldPosition="0">
        <references count="2">
          <reference field="4294967294" count="1" selected="0">
            <x v="0"/>
          </reference>
          <reference field="65" count="1" selected="0">
            <x v="3"/>
          </reference>
        </references>
      </pivotArea>
    </chartFormat>
    <chartFormat chart="21" format="9" series="1">
      <pivotArea type="data" outline="0" fieldPosition="0">
        <references count="2">
          <reference field="4294967294" count="1" selected="0">
            <x v="0"/>
          </reference>
          <reference field="65" count="1" selected="0">
            <x v="0"/>
          </reference>
        </references>
      </pivotArea>
    </chartFormat>
    <chartFormat chart="21" format="10" series="1">
      <pivotArea type="data" outline="0" fieldPosition="0">
        <references count="2">
          <reference field="4294967294" count="1" selected="0">
            <x v="0"/>
          </reference>
          <reference field="65" count="1" selected="0">
            <x v="2"/>
          </reference>
        </references>
      </pivotArea>
    </chartFormat>
    <chartFormat chart="21" format="11" series="1">
      <pivotArea type="data" outline="0" fieldPosition="0">
        <references count="2">
          <reference field="4294967294" count="1" selected="0">
            <x v="0"/>
          </reference>
          <reference field="65" count="1" selected="0">
            <x v="3"/>
          </reference>
        </references>
      </pivotArea>
    </chartFormat>
    <chartFormat chart="22" format="12" series="1">
      <pivotArea type="data" outline="0" fieldPosition="0">
        <references count="2">
          <reference field="4294967294" count="1" selected="0">
            <x v="0"/>
          </reference>
          <reference field="65" count="1" selected="0">
            <x v="0"/>
          </reference>
        </references>
      </pivotArea>
    </chartFormat>
    <chartFormat chart="22" format="13" series="1">
      <pivotArea type="data" outline="0" fieldPosition="0">
        <references count="2">
          <reference field="4294967294" count="1" selected="0">
            <x v="0"/>
          </reference>
          <reference field="65" count="1" selected="0">
            <x v="2"/>
          </reference>
        </references>
      </pivotArea>
    </chartFormat>
    <chartFormat chart="22" format="14" series="1">
      <pivotArea type="data" outline="0" fieldPosition="0">
        <references count="2">
          <reference field="4294967294" count="1" selected="0">
            <x v="0"/>
          </reference>
          <reference field="65" count="1" selected="0">
            <x v="3"/>
          </reference>
        </references>
      </pivotArea>
    </chartFormat>
    <chartFormat chart="23" format="15" series="1">
      <pivotArea type="data" outline="0" fieldPosition="0">
        <references count="2">
          <reference field="4294967294" count="1" selected="0">
            <x v="0"/>
          </reference>
          <reference field="65" count="1" selected="0">
            <x v="0"/>
          </reference>
        </references>
      </pivotArea>
    </chartFormat>
    <chartFormat chart="23" format="16" series="1">
      <pivotArea type="data" outline="0" fieldPosition="0">
        <references count="2">
          <reference field="4294967294" count="1" selected="0">
            <x v="0"/>
          </reference>
          <reference field="65" count="1" selected="0">
            <x v="2"/>
          </reference>
        </references>
      </pivotArea>
    </chartFormat>
    <chartFormat chart="23" format="17" series="1">
      <pivotArea type="data" outline="0" fieldPosition="0">
        <references count="2">
          <reference field="4294967294" count="1" selected="0">
            <x v="0"/>
          </reference>
          <reference field="65" count="1" selected="0">
            <x v="3"/>
          </reference>
        </references>
      </pivotArea>
    </chartFormat>
    <chartFormat chart="24" format="18" series="1">
      <pivotArea type="data" outline="0" fieldPosition="0">
        <references count="2">
          <reference field="4294967294" count="1" selected="0">
            <x v="0"/>
          </reference>
          <reference field="65" count="1" selected="0">
            <x v="0"/>
          </reference>
        </references>
      </pivotArea>
    </chartFormat>
    <chartFormat chart="24" format="19" series="1">
      <pivotArea type="data" outline="0" fieldPosition="0">
        <references count="2">
          <reference field="4294967294" count="1" selected="0">
            <x v="0"/>
          </reference>
          <reference field="65" count="1" selected="0">
            <x v="2"/>
          </reference>
        </references>
      </pivotArea>
    </chartFormat>
    <chartFormat chart="24" format="20" series="1">
      <pivotArea type="data" outline="0" fieldPosition="0">
        <references count="2">
          <reference field="4294967294" count="1" selected="0">
            <x v="0"/>
          </reference>
          <reference field="65" count="1" selected="0">
            <x v="3"/>
          </reference>
        </references>
      </pivotArea>
    </chartFormat>
    <chartFormat chart="14" format="3" series="1">
      <pivotArea type="data" outline="0" fieldPosition="0">
        <references count="2">
          <reference field="4294967294" count="1" selected="0">
            <x v="0"/>
          </reference>
          <reference field="5"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80FCCF8B-1E95-4BDF-91E7-CA4EAF70B981}" name="PivotTable9"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chartFormat="10">
  <location ref="E48:H63" firstHeaderRow="1" firstDataRow="2" firstDataCol="1" rowPageCount="1" colPageCount="1"/>
  <pivotFields count="92">
    <pivotField dataField="1" compact="0" outline="0" showAll="0"/>
    <pivotField compact="0" outline="0" showAll="0"/>
    <pivotField compact="0" outline="0" showAll="0"/>
    <pivotField compact="0" outline="0" showAll="0"/>
    <pivotField compact="0" outline="0" showAll="0"/>
    <pivotField axis="axisCol" compact="0" outline="0" showAll="0">
      <items count="3">
        <item x="1"/>
        <item x="0"/>
        <item t="default"/>
      </items>
    </pivotField>
    <pivotField compact="0" outline="0" showAll="0"/>
    <pivotField compact="0" outline="0" showAll="0"/>
    <pivotField axis="axisRow" compact="0" outline="0" showAll="0">
      <items count="15">
        <item x="8"/>
        <item x="11"/>
        <item x="4"/>
        <item x="10"/>
        <item x="2"/>
        <item x="5"/>
        <item x="12"/>
        <item x="9"/>
        <item x="0"/>
        <item x="3"/>
        <item x="7"/>
        <item x="1"/>
        <item x="6"/>
        <item m="1" x="13"/>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multipleItemSelectionAllowed="1" showAll="0">
      <items count="4">
        <item x="2"/>
        <item x="0"/>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5">
        <item x="0"/>
        <item x="1"/>
        <item x="2"/>
        <item x="3"/>
        <item x="4"/>
        <item x="5"/>
        <item x="6"/>
        <item x="7"/>
        <item x="8"/>
        <item x="9"/>
        <item x="10"/>
        <item x="11"/>
        <item x="12"/>
        <item x="13"/>
        <item t="default"/>
      </items>
    </pivotField>
    <pivotField compact="0" outline="0" showAll="0">
      <items count="7">
        <item x="1"/>
        <item x="2"/>
        <item x="3"/>
        <item x="4"/>
        <item x="0"/>
        <item x="5"/>
        <item t="default"/>
      </items>
    </pivotField>
    <pivotField compact="0" outline="0" showAll="0">
      <items count="18">
        <item x="1"/>
        <item x="2"/>
        <item x="3"/>
        <item x="4"/>
        <item x="5"/>
        <item x="6"/>
        <item x="7"/>
        <item x="8"/>
        <item x="9"/>
        <item x="10"/>
        <item x="11"/>
        <item x="12"/>
        <item x="13"/>
        <item x="14"/>
        <item x="15"/>
        <item x="0"/>
        <item x="16"/>
        <item t="default"/>
      </items>
    </pivotField>
  </pivotFields>
  <rowFields count="1">
    <field x="8"/>
  </rowFields>
  <rowItems count="14">
    <i>
      <x/>
    </i>
    <i>
      <x v="1"/>
    </i>
    <i>
      <x v="2"/>
    </i>
    <i>
      <x v="3"/>
    </i>
    <i>
      <x v="4"/>
    </i>
    <i>
      <x v="5"/>
    </i>
    <i>
      <x v="6"/>
    </i>
    <i>
      <x v="7"/>
    </i>
    <i>
      <x v="8"/>
    </i>
    <i>
      <x v="9"/>
    </i>
    <i>
      <x v="10"/>
    </i>
    <i>
      <x v="11"/>
    </i>
    <i>
      <x v="12"/>
    </i>
    <i t="grand">
      <x/>
    </i>
  </rowItems>
  <colFields count="1">
    <field x="5"/>
  </colFields>
  <colItems count="3">
    <i>
      <x/>
    </i>
    <i>
      <x v="1"/>
    </i>
    <i t="grand">
      <x/>
    </i>
  </colItems>
  <pageFields count="1">
    <pageField fld="43" hier="-1"/>
  </pageFields>
  <dataFields count="1">
    <dataField name="Count of S.No." fld="0" subtotal="count" baseField="0" baseItem="0"/>
  </dataFields>
  <chartFormats count="10">
    <chartFormat chart="0" format="0" series="1">
      <pivotArea type="data" outline="0" fieldPosition="0">
        <references count="2">
          <reference field="4294967294" count="1" selected="0">
            <x v="0"/>
          </reference>
          <reference field="5" count="1" selected="0">
            <x v="0"/>
          </reference>
        </references>
      </pivotArea>
    </chartFormat>
    <chartFormat chart="0" format="1" series="1">
      <pivotArea type="data" outline="0" fieldPosition="0">
        <references count="2">
          <reference field="4294967294" count="1" selected="0">
            <x v="0"/>
          </reference>
          <reference field="5" count="1" selected="0">
            <x v="1"/>
          </reference>
        </references>
      </pivotArea>
    </chartFormat>
    <chartFormat chart="3" format="2" series="1">
      <pivotArea type="data" outline="0" fieldPosition="0">
        <references count="2">
          <reference field="4294967294" count="1" selected="0">
            <x v="0"/>
          </reference>
          <reference field="5" count="1" selected="0">
            <x v="0"/>
          </reference>
        </references>
      </pivotArea>
    </chartFormat>
    <chartFormat chart="3" format="3" series="1">
      <pivotArea type="data" outline="0" fieldPosition="0">
        <references count="2">
          <reference field="4294967294" count="1" selected="0">
            <x v="0"/>
          </reference>
          <reference field="5" count="1" selected="0">
            <x v="1"/>
          </reference>
        </references>
      </pivotArea>
    </chartFormat>
    <chartFormat chart="4" format="4" series="1">
      <pivotArea type="data" outline="0" fieldPosition="0">
        <references count="2">
          <reference field="4294967294" count="1" selected="0">
            <x v="0"/>
          </reference>
          <reference field="5" count="1" selected="0">
            <x v="0"/>
          </reference>
        </references>
      </pivotArea>
    </chartFormat>
    <chartFormat chart="4" format="5" series="1">
      <pivotArea type="data" outline="0" fieldPosition="0">
        <references count="2">
          <reference field="4294967294" count="1" selected="0">
            <x v="0"/>
          </reference>
          <reference field="5" count="1" selected="0">
            <x v="1"/>
          </reference>
        </references>
      </pivotArea>
    </chartFormat>
    <chartFormat chart="6" format="4" series="1">
      <pivotArea type="data" outline="0" fieldPosition="0">
        <references count="2">
          <reference field="4294967294" count="1" selected="0">
            <x v="0"/>
          </reference>
          <reference field="5" count="1" selected="0">
            <x v="0"/>
          </reference>
        </references>
      </pivotArea>
    </chartFormat>
    <chartFormat chart="6" format="5" series="1">
      <pivotArea type="data" outline="0" fieldPosition="0">
        <references count="2">
          <reference field="4294967294" count="1" selected="0">
            <x v="0"/>
          </reference>
          <reference field="5" count="1" selected="0">
            <x v="1"/>
          </reference>
        </references>
      </pivotArea>
    </chartFormat>
    <chartFormat chart="9" format="4" series="1">
      <pivotArea type="data" outline="0" fieldPosition="0">
        <references count="2">
          <reference field="4294967294" count="1" selected="0">
            <x v="0"/>
          </reference>
          <reference field="5" count="1" selected="0">
            <x v="0"/>
          </reference>
        </references>
      </pivotArea>
    </chartFormat>
    <chartFormat chart="9" format="5" series="1">
      <pivotArea type="data" outline="0" fieldPosition="0">
        <references count="2">
          <reference field="4294967294" count="1" selected="0">
            <x v="0"/>
          </reference>
          <reference field="5"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B5B25C66-5ED4-4A3F-AAD6-851E1EAC9CE1}" name="PivotTable1" cacheId="12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17:B28" firstHeaderRow="1" firstDataRow="1" firstDataCol="1" rowPageCount="2" colPageCount="1"/>
  <pivotFields count="89">
    <pivotField dataField="1"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3">
        <item x="0"/>
        <item x="1"/>
        <item x="2"/>
        <item x="3"/>
        <item x="4"/>
        <item x="5"/>
        <item x="6"/>
        <item x="7"/>
        <item x="8"/>
        <item x="9"/>
        <item x="10"/>
        <item x="11"/>
        <item t="default"/>
      </items>
    </pivotField>
    <pivotField axis="axisRow" compact="0" outline="0" showAll="0">
      <items count="11">
        <item x="2"/>
        <item x="3"/>
        <item x="0"/>
        <item x="1"/>
        <item x="7"/>
        <item x="9"/>
        <item x="5"/>
        <item x="4"/>
        <item x="6"/>
        <item x="8"/>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8">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60"/>
        <item x="144"/>
        <item x="142"/>
        <item x="139"/>
        <item x="156"/>
        <item x="133"/>
        <item x="107"/>
        <item x="158"/>
        <item x="147"/>
        <item x="104"/>
        <item x="149"/>
        <item x="136"/>
        <item x="125"/>
        <item x="146"/>
        <item x="101"/>
        <item x="143"/>
        <item x="134"/>
        <item x="150"/>
        <item x="161"/>
        <item x="162"/>
        <item x="84"/>
        <item x="115"/>
        <item x="165"/>
        <item x="89"/>
        <item x="164"/>
        <item x="135"/>
        <item x="140"/>
        <item x="153"/>
        <item x="155"/>
        <item x="123"/>
        <item x="102"/>
        <item x="166"/>
        <item x="82"/>
        <item x="138"/>
        <item x="151"/>
        <item x="163"/>
        <item x="19"/>
        <item x="159"/>
        <item x="152"/>
        <item x="157"/>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s>
  <rowFields count="1">
    <field x="7"/>
  </rowFields>
  <rowItems count="11">
    <i>
      <x/>
    </i>
    <i>
      <x v="1"/>
    </i>
    <i>
      <x v="2"/>
    </i>
    <i>
      <x v="3"/>
    </i>
    <i>
      <x v="4"/>
    </i>
    <i>
      <x v="5"/>
    </i>
    <i>
      <x v="6"/>
    </i>
    <i>
      <x v="7"/>
    </i>
    <i>
      <x v="8"/>
    </i>
    <i>
      <x v="9"/>
    </i>
    <i t="grand">
      <x/>
    </i>
  </rowItems>
  <colItems count="1">
    <i/>
  </colItems>
  <pageFields count="2">
    <pageField fld="64" hier="-1"/>
    <pageField fld="6"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4010CE45-DB25-478E-BEF1-8E539D293C1B}" name="PivotTable10" cacheId="119"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B7" firstHeaderRow="1" firstDataRow="1" firstDataCol="1" rowPageCount="1" colPageCount="1"/>
  <pivotFields count="92">
    <pivotField dataField="1"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items count="12">
        <item x="0"/>
        <item x="1"/>
        <item x="2"/>
        <item x="3"/>
        <item x="4"/>
        <item x="5"/>
        <item x="6"/>
        <item x="7"/>
        <item x="8"/>
        <item x="9"/>
        <item x="10"/>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numFmtId="166"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axis="axisPage" compact="0" outline="0" showAll="0">
      <items count="169">
        <item m="1" x="166"/>
        <item m="1" x="167"/>
        <item x="17"/>
        <item x="18"/>
        <item x="13"/>
        <item x="10"/>
        <item x="2"/>
        <item x="15"/>
        <item x="26"/>
        <item x="40"/>
        <item x="33"/>
        <item x="23"/>
        <item x="16"/>
        <item x="7"/>
        <item x="3"/>
        <item x="36"/>
        <item x="11"/>
        <item x="4"/>
        <item x="42"/>
        <item x="8"/>
        <item x="38"/>
        <item x="6"/>
        <item x="35"/>
        <item x="21"/>
        <item x="22"/>
        <item x="0"/>
        <item x="46"/>
        <item x="41"/>
        <item x="37"/>
        <item x="30"/>
        <item x="9"/>
        <item x="32"/>
        <item x="1"/>
        <item x="28"/>
        <item x="31"/>
        <item x="5"/>
        <item x="44"/>
        <item x="27"/>
        <item x="59"/>
        <item x="54"/>
        <item x="67"/>
        <item x="97"/>
        <item x="14"/>
        <item x="34"/>
        <item x="77"/>
        <item x="86"/>
        <item x="55"/>
        <item x="62"/>
        <item x="63"/>
        <item x="57"/>
        <item x="24"/>
        <item x="71"/>
        <item x="43"/>
        <item x="90"/>
        <item x="88"/>
        <item x="66"/>
        <item x="60"/>
        <item x="65"/>
        <item x="72"/>
        <item x="91"/>
        <item x="12"/>
        <item x="83"/>
        <item x="76"/>
        <item x="111"/>
        <item x="25"/>
        <item x="98"/>
        <item x="45"/>
        <item x="94"/>
        <item x="29"/>
        <item x="56"/>
        <item x="70"/>
        <item x="78"/>
        <item x="92"/>
        <item x="95"/>
        <item x="81"/>
        <item x="64"/>
        <item x="73"/>
        <item x="75"/>
        <item x="108"/>
        <item x="47"/>
        <item x="85"/>
        <item x="100"/>
        <item x="58"/>
        <item x="68"/>
        <item x="103"/>
        <item x="116"/>
        <item x="48"/>
        <item x="120"/>
        <item x="119"/>
        <item x="74"/>
        <item x="131"/>
        <item x="49"/>
        <item x="106"/>
        <item x="93"/>
        <item x="110"/>
        <item x="80"/>
        <item x="105"/>
        <item x="114"/>
        <item x="53"/>
        <item x="122"/>
        <item x="69"/>
        <item x="52"/>
        <item x="118"/>
        <item x="39"/>
        <item x="87"/>
        <item x="128"/>
        <item x="50"/>
        <item x="127"/>
        <item x="124"/>
        <item x="96"/>
        <item x="132"/>
        <item x="61"/>
        <item x="117"/>
        <item x="129"/>
        <item x="121"/>
        <item x="130"/>
        <item x="109"/>
        <item x="148"/>
        <item x="79"/>
        <item x="112"/>
        <item x="126"/>
        <item x="99"/>
        <item x="145"/>
        <item x="141"/>
        <item x="20"/>
        <item x="154"/>
        <item x="51"/>
        <item x="113"/>
        <item x="137"/>
        <item x="159"/>
        <item x="144"/>
        <item x="142"/>
        <item x="139"/>
        <item x="156"/>
        <item x="133"/>
        <item x="107"/>
        <item x="157"/>
        <item x="147"/>
        <item x="104"/>
        <item x="149"/>
        <item x="136"/>
        <item x="125"/>
        <item x="146"/>
        <item x="101"/>
        <item x="143"/>
        <item x="134"/>
        <item x="150"/>
        <item x="160"/>
        <item x="161"/>
        <item x="84"/>
        <item x="115"/>
        <item x="164"/>
        <item x="89"/>
        <item x="163"/>
        <item x="135"/>
        <item x="140"/>
        <item x="153"/>
        <item x="155"/>
        <item x="123"/>
        <item x="102"/>
        <item x="165"/>
        <item x="82"/>
        <item x="138"/>
        <item x="151"/>
        <item x="162"/>
        <item x="19"/>
        <item x="158"/>
        <item x="152"/>
        <item t="default"/>
      </items>
    </pivotField>
    <pivotField axis="axisRow" compact="0" outline="0" showAll="0">
      <items count="5">
        <item x="0"/>
        <item m="1" x="3"/>
        <item x="2"/>
        <item x="1"/>
        <item t="default"/>
      </items>
    </pivotField>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pivotField compact="0" outline="0" showAll="0" defaultSubtotal="0"/>
    <pivotField compact="0" outline="0" showAll="0" defaultSubtotal="0"/>
    <pivotField compact="0" outline="0" showAll="0" defaultSubtotal="0">
      <items count="17">
        <item x="0"/>
        <item x="1"/>
        <item x="2"/>
        <item x="3"/>
        <item x="4"/>
        <item x="5"/>
        <item x="6"/>
        <item x="7"/>
        <item x="8"/>
        <item x="9"/>
        <item x="10"/>
        <item x="11"/>
        <item x="12"/>
        <item x="13"/>
        <item x="14"/>
        <item x="15"/>
        <item x="16"/>
      </items>
    </pivotField>
  </pivotFields>
  <rowFields count="1">
    <field x="65"/>
  </rowFields>
  <rowItems count="4">
    <i>
      <x/>
    </i>
    <i>
      <x v="2"/>
    </i>
    <i>
      <x v="3"/>
    </i>
    <i t="grand">
      <x/>
    </i>
  </rowItems>
  <colItems count="1">
    <i/>
  </colItems>
  <pageFields count="1">
    <pageField fld="64" hier="-1"/>
  </pageFields>
  <dataFields count="1">
    <dataField name="Count of S.No." fld="0"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erminations" displayName="Terminations" ref="A1:J22" totalsRowShown="0" headerRowBorderDxfId="10" tableBorderDxfId="11">
  <autoFilter ref="A1:J22" xr:uid="{00000000-0009-0000-0100-000004000000}"/>
  <tableColumns count="10">
    <tableColumn id="1" xr3:uid="{00000000-0010-0000-0000-000001000000}" name="No." dataDxfId="9"/>
    <tableColumn id="2" xr3:uid="{00000000-0010-0000-0000-000002000000}" name="Name" dataDxfId="8"/>
    <tableColumn id="3" xr3:uid="{00000000-0010-0000-0000-000003000000}" name="Institution" dataDxfId="7"/>
    <tableColumn id="4" xr3:uid="{00000000-0010-0000-0000-000004000000}" name="Gender" dataDxfId="6"/>
    <tableColumn id="5" xr3:uid="{00000000-0010-0000-0000-000005000000}" name="Cohort" dataDxfId="5"/>
    <tableColumn id="6" xr3:uid="{00000000-0010-0000-0000-000006000000}" name="Suspension" dataDxfId="4"/>
    <tableColumn id="7" xr3:uid="{00000000-0010-0000-0000-000007000000}" name="Date of Termination" dataDxfId="3"/>
    <tableColumn id="8" xr3:uid="{00000000-0010-0000-0000-000008000000}" name="Year " dataDxfId="2"/>
    <tableColumn id="9" xr3:uid="{00000000-0010-0000-0000-000009000000}" name="Reason for Termination" dataDxfId="1"/>
    <tableColumn id="10" xr3:uid="{00000000-0010-0000-0000-00000A000000}" name="Detailed reason for termination" dataDxfId="0"/>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readedComments/threadedComment1.xml><?xml version="1.0" encoding="utf-8"?>
<ThreadedComments xmlns="http://schemas.microsoft.com/office/spreadsheetml/2018/threadedcomments" xmlns:x="http://schemas.openxmlformats.org/spreadsheetml/2006/main">
  <threadedComment ref="A307" dT="2026-02-26T14:20:37.17" personId="{4DDBA5CA-C0C1-4E96-8803-316BE7F9C0BB}" id="{7DD8992D-8495-4295-A874-D8F3974A26EB}">
    <text>C11 color?
and C12 color, rows? remember to update the name of the files to be true to their content</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11.xml"/><Relationship Id="rId3" Type="http://schemas.openxmlformats.org/officeDocument/2006/relationships/pivotTable" Target="../pivotTables/pivotTable6.xml"/><Relationship Id="rId7" Type="http://schemas.openxmlformats.org/officeDocument/2006/relationships/pivotTable" Target="../pivotTables/pivotTable10.xml"/><Relationship Id="rId2" Type="http://schemas.openxmlformats.org/officeDocument/2006/relationships/pivotTable" Target="../pivotTables/pivotTable5.xml"/><Relationship Id="rId1" Type="http://schemas.openxmlformats.org/officeDocument/2006/relationships/pivotTable" Target="../pivotTables/pivotTable4.xml"/><Relationship Id="rId6" Type="http://schemas.openxmlformats.org/officeDocument/2006/relationships/pivotTable" Target="../pivotTables/pivotTable9.xml"/><Relationship Id="rId5" Type="http://schemas.openxmlformats.org/officeDocument/2006/relationships/pivotTable" Target="../pivotTables/pivotTable8.xml"/><Relationship Id="rId10" Type="http://schemas.openxmlformats.org/officeDocument/2006/relationships/printerSettings" Target="../printerSettings/printerSettings1.bin"/><Relationship Id="rId4" Type="http://schemas.openxmlformats.org/officeDocument/2006/relationships/pivotTable" Target="../pivotTables/pivotTable7.xml"/><Relationship Id="rId9" Type="http://schemas.openxmlformats.org/officeDocument/2006/relationships/pivotTable" Target="../pivotTables/pivotTable12.xml"/></Relationships>
</file>

<file path=xl/worksheets/_rels/sheet4.xml.rels><?xml version="1.0" encoding="UTF-8" standalone="yes"?>
<Relationships xmlns="http://schemas.openxmlformats.org/package/2006/relationships"><Relationship Id="rId117" Type="http://schemas.openxmlformats.org/officeDocument/2006/relationships/hyperlink" Target="mailto:rlusobya@cartafrica.org" TargetMode="External"/><Relationship Id="rId21" Type="http://schemas.openxmlformats.org/officeDocument/2006/relationships/hyperlink" Target="mailto:jmusasiah@cartafrica.org" TargetMode="External"/><Relationship Id="rId42" Type="http://schemas.openxmlformats.org/officeDocument/2006/relationships/hyperlink" Target="mailto:eniyolacadmus@gmail.com" TargetMode="External"/><Relationship Id="rId63" Type="http://schemas.openxmlformats.org/officeDocument/2006/relationships/hyperlink" Target="mailto:akhisa@cartafrica.org" TargetMode="External"/><Relationship Id="rId84" Type="http://schemas.openxmlformats.org/officeDocument/2006/relationships/hyperlink" Target="mailto:opopoola@cartafrica.org" TargetMode="External"/><Relationship Id="rId138" Type="http://schemas.openxmlformats.org/officeDocument/2006/relationships/hyperlink" Target="https://orcid.org/0009-0008-4921-4356?lang=en" TargetMode="External"/><Relationship Id="rId159" Type="http://schemas.openxmlformats.org/officeDocument/2006/relationships/hyperlink" Target="mailto:jkangethe@cartafrica.org" TargetMode="External"/><Relationship Id="rId170" Type="http://schemas.openxmlformats.org/officeDocument/2006/relationships/hyperlink" Target="mailto:oijarotimi@cartafrica.org" TargetMode="External"/><Relationship Id="rId191" Type="http://schemas.openxmlformats.org/officeDocument/2006/relationships/hyperlink" Target="mailto:yinkuss2000@yahoo.com" TargetMode="External"/><Relationship Id="rId107" Type="http://schemas.openxmlformats.org/officeDocument/2006/relationships/hyperlink" Target="mailto:mkantonya@cartafrica.org" TargetMode="External"/><Relationship Id="rId11" Type="http://schemas.openxmlformats.org/officeDocument/2006/relationships/hyperlink" Target="mailto:ayoalonge@gmail.com" TargetMode="External"/><Relationship Id="rId32" Type="http://schemas.openxmlformats.org/officeDocument/2006/relationships/hyperlink" Target="mailto:kmukara@cartafrica.org" TargetMode="External"/><Relationship Id="rId53" Type="http://schemas.openxmlformats.org/officeDocument/2006/relationships/hyperlink" Target="mailto:fadeniyi@cartafrica.org" TargetMode="External"/><Relationship Id="rId74" Type="http://schemas.openxmlformats.org/officeDocument/2006/relationships/hyperlink" Target="mailto:mkassim@cartafrica.org" TargetMode="External"/><Relationship Id="rId128" Type="http://schemas.openxmlformats.org/officeDocument/2006/relationships/hyperlink" Target="mailto:walteriqueokello@gmail.com" TargetMode="External"/><Relationship Id="rId149" Type="http://schemas.openxmlformats.org/officeDocument/2006/relationships/hyperlink" Target="mailto:akalinjuma@cartafrica.org" TargetMode="External"/><Relationship Id="rId5" Type="http://schemas.openxmlformats.org/officeDocument/2006/relationships/hyperlink" Target="mailto:zakumumpa@yahoo.com" TargetMode="External"/><Relationship Id="rId95" Type="http://schemas.openxmlformats.org/officeDocument/2006/relationships/hyperlink" Target="mailto:oyeyemisamuel13@gmail.com" TargetMode="External"/><Relationship Id="rId160" Type="http://schemas.openxmlformats.org/officeDocument/2006/relationships/hyperlink" Target="mailto:jimkangethe@gmail.com" TargetMode="External"/><Relationship Id="rId181" Type="http://schemas.openxmlformats.org/officeDocument/2006/relationships/hyperlink" Target="mailto:antamatungiro@cartafrica.org" TargetMode="External"/><Relationship Id="rId22" Type="http://schemas.openxmlformats.org/officeDocument/2006/relationships/hyperlink" Target="mailto:atuhairwejoselyn@gmail.com" TargetMode="External"/><Relationship Id="rId43" Type="http://schemas.openxmlformats.org/officeDocument/2006/relationships/hyperlink" Target="mailto:maryobiyan@gmail.com" TargetMode="External"/><Relationship Id="rId64" Type="http://schemas.openxmlformats.org/officeDocument/2006/relationships/hyperlink" Target="mailto:duwizeye@cartafrica.org" TargetMode="External"/><Relationship Id="rId118" Type="http://schemas.openxmlformats.org/officeDocument/2006/relationships/hyperlink" Target="mailto:lusobyarebecca@gmail.com" TargetMode="External"/><Relationship Id="rId139" Type="http://schemas.openxmlformats.org/officeDocument/2006/relationships/hyperlink" Target="https://orcid.org/0000-0002-0686-1544" TargetMode="External"/><Relationship Id="rId85" Type="http://schemas.openxmlformats.org/officeDocument/2006/relationships/hyperlink" Target="mailto:lbanamwana@cartafrica.org" TargetMode="External"/><Relationship Id="rId150" Type="http://schemas.openxmlformats.org/officeDocument/2006/relationships/hyperlink" Target="mailto:avedastus@gmail.com;%20avedastus@yahoo.com" TargetMode="External"/><Relationship Id="rId171" Type="http://schemas.openxmlformats.org/officeDocument/2006/relationships/hyperlink" Target="mailto:tadeijarotimi@gmail.com;%20tadeolar@yahoo.com" TargetMode="External"/><Relationship Id="rId192" Type="http://schemas.openxmlformats.org/officeDocument/2006/relationships/hyperlink" Target="mailto:bkaunda@cartafrica.org" TargetMode="External"/><Relationship Id="rId12" Type="http://schemas.openxmlformats.org/officeDocument/2006/relationships/hyperlink" Target="mailto:wahlemirax@gmail.com" TargetMode="External"/><Relationship Id="rId33" Type="http://schemas.openxmlformats.org/officeDocument/2006/relationships/hyperlink" Target="mailto:ykolisa@cartafrica.org" TargetMode="External"/><Relationship Id="rId108" Type="http://schemas.openxmlformats.org/officeDocument/2006/relationships/hyperlink" Target="mailto:mkantonya@mlw.mw" TargetMode="External"/><Relationship Id="rId129" Type="http://schemas.openxmlformats.org/officeDocument/2006/relationships/hyperlink" Target="mailto:mmasamba@cartafrica.org" TargetMode="External"/><Relationship Id="rId54" Type="http://schemas.openxmlformats.org/officeDocument/2006/relationships/hyperlink" Target="mailto:csambai@cartafrica.org" TargetMode="External"/><Relationship Id="rId75" Type="http://schemas.openxmlformats.org/officeDocument/2006/relationships/hyperlink" Target="mailto:ekaindoa@cartafrica.org" TargetMode="External"/><Relationship Id="rId96" Type="http://schemas.openxmlformats.org/officeDocument/2006/relationships/hyperlink" Target="mailto:cnshutiyukuri@cartafrica.org" TargetMode="External"/><Relationship Id="rId140" Type="http://schemas.openxmlformats.org/officeDocument/2006/relationships/hyperlink" Target="https://orcid.org/0000-0003-4295-3515" TargetMode="External"/><Relationship Id="rId161" Type="http://schemas.openxmlformats.org/officeDocument/2006/relationships/hyperlink" Target="mailto:jmuleme@cartafrica.org" TargetMode="External"/><Relationship Id="rId182" Type="http://schemas.openxmlformats.org/officeDocument/2006/relationships/hyperlink" Target="mailto:pmusabirema@cartafrica.org" TargetMode="External"/><Relationship Id="rId6" Type="http://schemas.openxmlformats.org/officeDocument/2006/relationships/hyperlink" Target="mailto:ndube@cartafrica.org" TargetMode="External"/><Relationship Id="rId23" Type="http://schemas.openxmlformats.org/officeDocument/2006/relationships/hyperlink" Target="mailto:musasiahjustus@yahoo.com" TargetMode="External"/><Relationship Id="rId119" Type="http://schemas.openxmlformats.org/officeDocument/2006/relationships/hyperlink" Target="mailto:pamboka@cartafrica.org" TargetMode="External"/><Relationship Id="rId44" Type="http://schemas.openxmlformats.org/officeDocument/2006/relationships/hyperlink" Target="mailto:b.n.kaunda@gmail.com" TargetMode="External"/><Relationship Id="rId65" Type="http://schemas.openxmlformats.org/officeDocument/2006/relationships/hyperlink" Target="mailto:tolusegun@cartafrica.org" TargetMode="External"/><Relationship Id="rId86" Type="http://schemas.openxmlformats.org/officeDocument/2006/relationships/hyperlink" Target="mailto:abiolakomolafe2016@gmail.com" TargetMode="External"/><Relationship Id="rId130" Type="http://schemas.openxmlformats.org/officeDocument/2006/relationships/hyperlink" Target="mailto:mmasamba@kuhes.ac.mw" TargetMode="External"/><Relationship Id="rId151" Type="http://schemas.openxmlformats.org/officeDocument/2006/relationships/hyperlink" Target="mailto:aselemani@cartafrica.org" TargetMode="External"/><Relationship Id="rId172" Type="http://schemas.openxmlformats.org/officeDocument/2006/relationships/hyperlink" Target="mailto:sgbadebo@cartafrica.org" TargetMode="External"/><Relationship Id="rId193" Type="http://schemas.openxmlformats.org/officeDocument/2006/relationships/hyperlink" Target="mailto:aabiket@cartafrica.org" TargetMode="External"/><Relationship Id="rId13" Type="http://schemas.openxmlformats.org/officeDocument/2006/relationships/hyperlink" Target="mailto:tobems@yahoo.com" TargetMode="External"/><Relationship Id="rId109" Type="http://schemas.openxmlformats.org/officeDocument/2006/relationships/hyperlink" Target="mailto:nwaweru@cartafrica.org" TargetMode="External"/><Relationship Id="rId34" Type="http://schemas.openxmlformats.org/officeDocument/2006/relationships/hyperlink" Target="mailto:jbukenya@cartafrica.org" TargetMode="External"/><Relationship Id="rId55" Type="http://schemas.openxmlformats.org/officeDocument/2006/relationships/hyperlink" Target="mailto:mobiyan@cartafrica.org" TargetMode="External"/><Relationship Id="rId76" Type="http://schemas.openxmlformats.org/officeDocument/2006/relationships/hyperlink" Target="mailto:fniragire@cartafrica.org" TargetMode="External"/><Relationship Id="rId97" Type="http://schemas.openxmlformats.org/officeDocument/2006/relationships/hyperlink" Target="mailto:nshutiyukuric@gmail.com" TargetMode="External"/><Relationship Id="rId120" Type="http://schemas.openxmlformats.org/officeDocument/2006/relationships/hyperlink" Target="mailto:pamboka@aphrc.org" TargetMode="External"/><Relationship Id="rId141" Type="http://schemas.openxmlformats.org/officeDocument/2006/relationships/hyperlink" Target="https://orcid.org/0000-0001-9368-5456" TargetMode="External"/><Relationship Id="rId7" Type="http://schemas.openxmlformats.org/officeDocument/2006/relationships/hyperlink" Target="mailto:oladunnitaiwo@gmail.com" TargetMode="External"/><Relationship Id="rId71" Type="http://schemas.openxmlformats.org/officeDocument/2006/relationships/hyperlink" Target="mailto:dmenya@cartafrica.org" TargetMode="External"/><Relationship Id="rId92" Type="http://schemas.openxmlformats.org/officeDocument/2006/relationships/hyperlink" Target="mailto:ckafu@cartafrica.org" TargetMode="External"/><Relationship Id="rId162" Type="http://schemas.openxmlformats.org/officeDocument/2006/relationships/hyperlink" Target="mailto:mulemej@gmail.com" TargetMode="External"/><Relationship Id="rId183" Type="http://schemas.openxmlformats.org/officeDocument/2006/relationships/hyperlink" Target="mailto:priscillemusa10@yahoo.fr" TargetMode="External"/><Relationship Id="rId2" Type="http://schemas.openxmlformats.org/officeDocument/2006/relationships/hyperlink" Target="mailto:akagaha@gmail.com" TargetMode="External"/><Relationship Id="rId29" Type="http://schemas.openxmlformats.org/officeDocument/2006/relationships/hyperlink" Target="mailto:ooyelade@cartafrica.org" TargetMode="External"/><Relationship Id="rId24" Type="http://schemas.openxmlformats.org/officeDocument/2006/relationships/hyperlink" Target="mailto:rrutayisire@cartafrica.org" TargetMode="External"/><Relationship Id="rId40" Type="http://schemas.openxmlformats.org/officeDocument/2006/relationships/hyperlink" Target="mailto:mben.olufsen@gmail.com" TargetMode="External"/><Relationship Id="rId45" Type="http://schemas.openxmlformats.org/officeDocument/2006/relationships/hyperlink" Target="mailto:otwombek@phru.co.za" TargetMode="External"/><Relationship Id="rId66" Type="http://schemas.openxmlformats.org/officeDocument/2006/relationships/hyperlink" Target="mailto:ndewet@cartafrica.org" TargetMode="External"/><Relationship Id="rId87" Type="http://schemas.openxmlformats.org/officeDocument/2006/relationships/hyperlink" Target="mailto:bolusanya@cartafrica.org" TargetMode="External"/><Relationship Id="rId110" Type="http://schemas.openxmlformats.org/officeDocument/2006/relationships/hyperlink" Target="mailto:nancy.mugure@uonbi.ac.ke" TargetMode="External"/><Relationship Id="rId115" Type="http://schemas.openxmlformats.org/officeDocument/2006/relationships/hyperlink" Target="mailto:oomosehin@cartafrica.org" TargetMode="External"/><Relationship Id="rId131" Type="http://schemas.openxmlformats.org/officeDocument/2006/relationships/hyperlink" Target="mailto:mnalweyiso@cartafrica.org" TargetMode="External"/><Relationship Id="rId136" Type="http://schemas.openxmlformats.org/officeDocument/2006/relationships/hyperlink" Target="https://orcid.org/0009-0003-7896-3659" TargetMode="External"/><Relationship Id="rId157" Type="http://schemas.openxmlformats.org/officeDocument/2006/relationships/hyperlink" Target="mailto:foporia@cartafrica.org" TargetMode="External"/><Relationship Id="rId178" Type="http://schemas.openxmlformats.org/officeDocument/2006/relationships/hyperlink" Target="mailto:yonimode@cartafrica.org" TargetMode="External"/><Relationship Id="rId61" Type="http://schemas.openxmlformats.org/officeDocument/2006/relationships/hyperlink" Target="mailto:jfaronbi@cartafrica.org" TargetMode="External"/><Relationship Id="rId82" Type="http://schemas.openxmlformats.org/officeDocument/2006/relationships/hyperlink" Target="mailto:ajntamatungiro@gmail.com" TargetMode="External"/><Relationship Id="rId152" Type="http://schemas.openxmlformats.org/officeDocument/2006/relationships/hyperlink" Target="mailto:apatsaselemani@gmail.com" TargetMode="External"/><Relationship Id="rId173" Type="http://schemas.openxmlformats.org/officeDocument/2006/relationships/hyperlink" Target="mailto:olaaris2k1@yahoo.com" TargetMode="External"/><Relationship Id="rId194" Type="http://schemas.openxmlformats.org/officeDocument/2006/relationships/hyperlink" Target="mailto:iyabiket@gmail.com" TargetMode="External"/><Relationship Id="rId199" Type="http://schemas.microsoft.com/office/2017/10/relationships/threadedComment" Target="../threadedComments/threadedComment1.xml"/><Relationship Id="rId19" Type="http://schemas.openxmlformats.org/officeDocument/2006/relationships/hyperlink" Target="mailto:solaolawoye@yahoo.com" TargetMode="External"/><Relationship Id="rId14" Type="http://schemas.openxmlformats.org/officeDocument/2006/relationships/hyperlink" Target="mailto:imoshi@ihi.or.tz" TargetMode="External"/><Relationship Id="rId30" Type="http://schemas.openxmlformats.org/officeDocument/2006/relationships/hyperlink" Target="mailto:wmanda@cartafrica.org" TargetMode="External"/><Relationship Id="rId35" Type="http://schemas.openxmlformats.org/officeDocument/2006/relationships/hyperlink" Target="mailto:pmpho@cartafrica.org" TargetMode="External"/><Relationship Id="rId56" Type="http://schemas.openxmlformats.org/officeDocument/2006/relationships/hyperlink" Target="mailto:ckato@cartafrica.org" TargetMode="External"/><Relationship Id="rId77" Type="http://schemas.openxmlformats.org/officeDocument/2006/relationships/hyperlink" Target="mailto:fkhuluza@cartafrica.org" TargetMode="External"/><Relationship Id="rId100" Type="http://schemas.openxmlformats.org/officeDocument/2006/relationships/hyperlink" Target="mailto:hbutungi@cartafrica.org" TargetMode="External"/><Relationship Id="rId105" Type="http://schemas.openxmlformats.org/officeDocument/2006/relationships/hyperlink" Target="mailto:kkanzoole@cartafrica.org" TargetMode="External"/><Relationship Id="rId126" Type="http://schemas.openxmlformats.org/officeDocument/2006/relationships/hyperlink" Target="mailto:jepkurgatbunet@gmail.com" TargetMode="External"/><Relationship Id="rId147" Type="http://schemas.openxmlformats.org/officeDocument/2006/relationships/hyperlink" Target="mailto:ajcroix@cartafrica.org" TargetMode="External"/><Relationship Id="rId168" Type="http://schemas.openxmlformats.org/officeDocument/2006/relationships/hyperlink" Target="mailto:mondayolodu@gmail.com;%20mondayolodu@yahoo.com" TargetMode="External"/><Relationship Id="rId8" Type="http://schemas.openxmlformats.org/officeDocument/2006/relationships/hyperlink" Target="mailto:nillyanne2004@yahoo.com" TargetMode="External"/><Relationship Id="rId51" Type="http://schemas.openxmlformats.org/officeDocument/2006/relationships/hyperlink" Target="mailto:jakinyemi@cartafrica.org" TargetMode="External"/><Relationship Id="rId72" Type="http://schemas.openxmlformats.org/officeDocument/2006/relationships/hyperlink" Target="mailto:fmoroe@cartafrica.org" TargetMode="External"/><Relationship Id="rId93" Type="http://schemas.openxmlformats.org/officeDocument/2006/relationships/hyperlink" Target="mailto:fmaniragaba@cartafrica.org" TargetMode="External"/><Relationship Id="rId98" Type="http://schemas.openxmlformats.org/officeDocument/2006/relationships/hyperlink" Target="mailto:emandala@cartafrica.org" TargetMode="External"/><Relationship Id="rId121" Type="http://schemas.openxmlformats.org/officeDocument/2006/relationships/hyperlink" Target="mailto:rmakuluni@cartafrica.org" TargetMode="External"/><Relationship Id="rId142" Type="http://schemas.openxmlformats.org/officeDocument/2006/relationships/hyperlink" Target="https://orcid.org/0000-0002-7621-4844" TargetMode="External"/><Relationship Id="rId163" Type="http://schemas.openxmlformats.org/officeDocument/2006/relationships/hyperlink" Target="mailto:mugalahi@cartafrica.org" TargetMode="External"/><Relationship Id="rId184" Type="http://schemas.openxmlformats.org/officeDocument/2006/relationships/hyperlink" Target="mailto:cmusyoka@cartafrica.org" TargetMode="External"/><Relationship Id="rId189" Type="http://schemas.openxmlformats.org/officeDocument/2006/relationships/hyperlink" Target="mailto:skye.adams@wits.ac.za" TargetMode="External"/><Relationship Id="rId3" Type="http://schemas.openxmlformats.org/officeDocument/2006/relationships/hyperlink" Target="mailto:lindiwefarlane@gmail.com" TargetMode="External"/><Relationship Id="rId25" Type="http://schemas.openxmlformats.org/officeDocument/2006/relationships/hyperlink" Target="mailto:stefanie.hornschuh88@gmail.com" TargetMode="External"/><Relationship Id="rId46" Type="http://schemas.openxmlformats.org/officeDocument/2006/relationships/hyperlink" Target="mailto:kadebayo@cartafrica.org" TargetMode="External"/><Relationship Id="rId67" Type="http://schemas.openxmlformats.org/officeDocument/2006/relationships/hyperlink" Target="mailto:ropiyo@cartafrica.org" TargetMode="External"/><Relationship Id="rId116" Type="http://schemas.openxmlformats.org/officeDocument/2006/relationships/hyperlink" Target="mailto:oo.omosehin@ui.edu.ng" TargetMode="External"/><Relationship Id="rId137" Type="http://schemas.openxmlformats.org/officeDocument/2006/relationships/hyperlink" Target="https://orcid.org/0009-0006-2504-803" TargetMode="External"/><Relationship Id="rId158" Type="http://schemas.openxmlformats.org/officeDocument/2006/relationships/hyperlink" Target="mailto:phrezzie@gmail.com" TargetMode="External"/><Relationship Id="rId20" Type="http://schemas.openxmlformats.org/officeDocument/2006/relationships/hyperlink" Target="mailto:seyi.somefun@gmail.com" TargetMode="External"/><Relationship Id="rId41" Type="http://schemas.openxmlformats.org/officeDocument/2006/relationships/hyperlink" Target="mailto:echisati@medcol.mw" TargetMode="External"/><Relationship Id="rId62" Type="http://schemas.openxmlformats.org/officeDocument/2006/relationships/hyperlink" Target="mailto:magunbiade@cartafrica.org" TargetMode="External"/><Relationship Id="rId83" Type="http://schemas.openxmlformats.org/officeDocument/2006/relationships/hyperlink" Target="mailto:funmitoabioye@yahoo.com" TargetMode="External"/><Relationship Id="rId88" Type="http://schemas.openxmlformats.org/officeDocument/2006/relationships/hyperlink" Target="mailto:banacele@yahoo.fr" TargetMode="External"/><Relationship Id="rId111" Type="http://schemas.openxmlformats.org/officeDocument/2006/relationships/hyperlink" Target="mailto:obanwo@cartafrica.org" TargetMode="External"/><Relationship Id="rId132" Type="http://schemas.openxmlformats.org/officeDocument/2006/relationships/hyperlink" Target="mailto:nalweyisomartha@gmail.com" TargetMode="External"/><Relationship Id="rId153" Type="http://schemas.openxmlformats.org/officeDocument/2006/relationships/hyperlink" Target="mailto:bmaritim@cartafrica.org" TargetMode="External"/><Relationship Id="rId174" Type="http://schemas.openxmlformats.org/officeDocument/2006/relationships/hyperlink" Target="mailto:tbakuwa@cartafrica.org" TargetMode="External"/><Relationship Id="rId179" Type="http://schemas.openxmlformats.org/officeDocument/2006/relationships/hyperlink" Target="mailto:yately_md@yahoo.com;%20yately_md@yahoo.com" TargetMode="External"/><Relationship Id="rId195" Type="http://schemas.openxmlformats.org/officeDocument/2006/relationships/hyperlink" Target="mailto:cbanamwana@cartafrica.org" TargetMode="External"/><Relationship Id="rId190" Type="http://schemas.openxmlformats.org/officeDocument/2006/relationships/hyperlink" Target="mailto:aadefolarin@cartafrica.org" TargetMode="External"/><Relationship Id="rId15" Type="http://schemas.openxmlformats.org/officeDocument/2006/relationships/hyperlink" Target="mailto:fmatovu@mujhu.org" TargetMode="External"/><Relationship Id="rId36" Type="http://schemas.openxmlformats.org/officeDocument/2006/relationships/hyperlink" Target="mailto:skumwenda@cartafrica.org" TargetMode="External"/><Relationship Id="rId57" Type="http://schemas.openxmlformats.org/officeDocument/2006/relationships/hyperlink" Target="mailto:swandera@cartafrica.org" TargetMode="External"/><Relationship Id="rId106" Type="http://schemas.openxmlformats.org/officeDocument/2006/relationships/hyperlink" Target="mailto:kingsleykanzoole@gmail.com" TargetMode="External"/><Relationship Id="rId127" Type="http://schemas.openxmlformats.org/officeDocument/2006/relationships/hyperlink" Target="mailto:wokello@cartafrica.org" TargetMode="External"/><Relationship Id="rId10" Type="http://schemas.openxmlformats.org/officeDocument/2006/relationships/hyperlink" Target="mailto:seunakinyemi@hotmail.com" TargetMode="External"/><Relationship Id="rId31" Type="http://schemas.openxmlformats.org/officeDocument/2006/relationships/hyperlink" Target="mailto:slallaedward@ezintsha.org;" TargetMode="External"/><Relationship Id="rId52" Type="http://schemas.openxmlformats.org/officeDocument/2006/relationships/hyperlink" Target="mailto:tnyirenda@cartafrica.org" TargetMode="External"/><Relationship Id="rId73" Type="http://schemas.openxmlformats.org/officeDocument/2006/relationships/hyperlink" Target="mailto:hzakumpa@cartafrica.org" TargetMode="External"/><Relationship Id="rId78" Type="http://schemas.openxmlformats.org/officeDocument/2006/relationships/hyperlink" Target="mailto:mkamndaya@cartafrica.org" TargetMode="External"/><Relationship Id="rId94" Type="http://schemas.openxmlformats.org/officeDocument/2006/relationships/hyperlink" Target="mailto:fmaniragaba@gmail.com" TargetMode="External"/><Relationship Id="rId99" Type="http://schemas.openxmlformats.org/officeDocument/2006/relationships/hyperlink" Target="mailto:emandala@kuhes.ac.mw" TargetMode="External"/><Relationship Id="rId101" Type="http://schemas.openxmlformats.org/officeDocument/2006/relationships/hyperlink" Target="mailto:hellen.butungi@mak.ac.ug" TargetMode="External"/><Relationship Id="rId122" Type="http://schemas.openxmlformats.org/officeDocument/2006/relationships/hyperlink" Target="mailto:rmakuluni@mlw.mw" TargetMode="External"/><Relationship Id="rId143" Type="http://schemas.openxmlformats.org/officeDocument/2006/relationships/hyperlink" Target="mailto:sadedini@cartafrica.org" TargetMode="External"/><Relationship Id="rId148" Type="http://schemas.openxmlformats.org/officeDocument/2006/relationships/hyperlink" Target="mailto:ingabireallenjc@gmail.com;%20ijea2000@gmail.com" TargetMode="External"/><Relationship Id="rId164" Type="http://schemas.openxmlformats.org/officeDocument/2006/relationships/hyperlink" Target="mailto:oheobe26@yahoo.com;%20maryugalahi@gmail.com" TargetMode="External"/><Relationship Id="rId169" Type="http://schemas.openxmlformats.org/officeDocument/2006/relationships/hyperlink" Target="mailto:oolorunmoteni@cartafrica.org" TargetMode="External"/><Relationship Id="rId185" Type="http://schemas.openxmlformats.org/officeDocument/2006/relationships/hyperlink" Target="mailto:camulundu2011@gmail.com" TargetMode="External"/><Relationship Id="rId4" Type="http://schemas.openxmlformats.org/officeDocument/2006/relationships/hyperlink" Target="mailto:oluwatobang@yahoo.com" TargetMode="External"/><Relationship Id="rId9" Type="http://schemas.openxmlformats.org/officeDocument/2006/relationships/hyperlink" Target="mailto:adeoyeikeola@yahoo.com" TargetMode="External"/><Relationship Id="rId180" Type="http://schemas.openxmlformats.org/officeDocument/2006/relationships/hyperlink" Target="mailto:colubukola@cartafrica.org" TargetMode="External"/><Relationship Id="rId26" Type="http://schemas.openxmlformats.org/officeDocument/2006/relationships/hyperlink" Target="http://orcid.org/0000-0002-7787-8597" TargetMode="External"/><Relationship Id="rId47" Type="http://schemas.openxmlformats.org/officeDocument/2006/relationships/hyperlink" Target="mailto:shepelog@gmail.com" TargetMode="External"/><Relationship Id="rId68" Type="http://schemas.openxmlformats.org/officeDocument/2006/relationships/hyperlink" Target="mailto:asangowawa@cartafrica.org" TargetMode="External"/><Relationship Id="rId89" Type="http://schemas.openxmlformats.org/officeDocument/2006/relationships/hyperlink" Target="mailto:tosinolorunmoteni@gmail.com" TargetMode="External"/><Relationship Id="rId112" Type="http://schemas.openxmlformats.org/officeDocument/2006/relationships/hyperlink" Target="mailto:olamilekanbanwo@gmail.com" TargetMode="External"/><Relationship Id="rId133" Type="http://schemas.openxmlformats.org/officeDocument/2006/relationships/hyperlink" Target="https://orcid.org/0000-0001-5509-9659" TargetMode="External"/><Relationship Id="rId154" Type="http://schemas.openxmlformats.org/officeDocument/2006/relationships/hyperlink" Target="mailto:berylc.maritim@gmail.com" TargetMode="External"/><Relationship Id="rId175" Type="http://schemas.openxmlformats.org/officeDocument/2006/relationships/hyperlink" Target="mailto:tbakuwa@medcol.mw;%20tako.bakuwa@gmail.com" TargetMode="External"/><Relationship Id="rId196" Type="http://schemas.openxmlformats.org/officeDocument/2006/relationships/printerSettings" Target="../printerSettings/printerSettings2.bin"/><Relationship Id="rId16" Type="http://schemas.openxmlformats.org/officeDocument/2006/relationships/hyperlink" Target="mailto:andietam@gmail.com" TargetMode="External"/><Relationship Id="rId37" Type="http://schemas.openxmlformats.org/officeDocument/2006/relationships/hyperlink" Target="mailto:mutua_mike@yahoo.com;" TargetMode="External"/><Relationship Id="rId58" Type="http://schemas.openxmlformats.org/officeDocument/2006/relationships/hyperlink" Target="mailto:stakuva@cartafrica.org" TargetMode="External"/><Relationship Id="rId79" Type="http://schemas.openxmlformats.org/officeDocument/2006/relationships/hyperlink" Target="mailto:sayamolowo@cartafrica.org" TargetMode="External"/><Relationship Id="rId102" Type="http://schemas.openxmlformats.org/officeDocument/2006/relationships/hyperlink" Target="mailto:hitab88@gmail.com" TargetMode="External"/><Relationship Id="rId123" Type="http://schemas.openxmlformats.org/officeDocument/2006/relationships/hyperlink" Target="mailto:shabumuremyi@cartafrica.org" TargetMode="External"/><Relationship Id="rId144" Type="http://schemas.openxmlformats.org/officeDocument/2006/relationships/hyperlink" Target="mailto:hayiali@yahoo.fr" TargetMode="External"/><Relationship Id="rId90" Type="http://schemas.openxmlformats.org/officeDocument/2006/relationships/hyperlink" Target="mailto:adreyer@cartafrica.org" TargetMode="External"/><Relationship Id="rId165" Type="http://schemas.openxmlformats.org/officeDocument/2006/relationships/hyperlink" Target="mailto:mmajamanda@cartafrica.org" TargetMode="External"/><Relationship Id="rId186" Type="http://schemas.openxmlformats.org/officeDocument/2006/relationships/hyperlink" Target="mailto:cmbindyo@cartafrica.org" TargetMode="External"/><Relationship Id="rId27" Type="http://schemas.openxmlformats.org/officeDocument/2006/relationships/hyperlink" Target="https://orcid.org/0000-0002-5726-6921" TargetMode="External"/><Relationship Id="rId48" Type="http://schemas.openxmlformats.org/officeDocument/2006/relationships/hyperlink" Target="mailto:obanjo@cartafrica.org" TargetMode="External"/><Relationship Id="rId69" Type="http://schemas.openxmlformats.org/officeDocument/2006/relationships/hyperlink" Target="mailto:smbalinda@cartafrica.org" TargetMode="External"/><Relationship Id="rId113" Type="http://schemas.openxmlformats.org/officeDocument/2006/relationships/hyperlink" Target="mailto:ofolayan@cartafrica.org" TargetMode="External"/><Relationship Id="rId134" Type="http://schemas.openxmlformats.org/officeDocument/2006/relationships/hyperlink" Target="https://orcid.org/0000-0002-5601-0326" TargetMode="External"/><Relationship Id="rId80" Type="http://schemas.openxmlformats.org/officeDocument/2006/relationships/hyperlink" Target="mailto:marcelinefinda@gmail.com" TargetMode="External"/><Relationship Id="rId155" Type="http://schemas.openxmlformats.org/officeDocument/2006/relationships/hyperlink" Target="mailto:enzabonimana@cartafrica.org" TargetMode="External"/><Relationship Id="rId176" Type="http://schemas.openxmlformats.org/officeDocument/2006/relationships/hyperlink" Target="mailto:tojo@cartafrica.org" TargetMode="External"/><Relationship Id="rId197" Type="http://schemas.openxmlformats.org/officeDocument/2006/relationships/vmlDrawing" Target="../drawings/vmlDrawing1.vml"/><Relationship Id="rId17" Type="http://schemas.openxmlformats.org/officeDocument/2006/relationships/hyperlink" Target="mailto:aliyukola@gmail.com" TargetMode="External"/><Relationship Id="rId38" Type="http://schemas.openxmlformats.org/officeDocument/2006/relationships/hyperlink" Target="mailto:snakubulwa@cartafrica.org" TargetMode="External"/><Relationship Id="rId59" Type="http://schemas.openxmlformats.org/officeDocument/2006/relationships/hyperlink" Target="mailto:tawotidebe@cartafrica.org" TargetMode="External"/><Relationship Id="rId103" Type="http://schemas.openxmlformats.org/officeDocument/2006/relationships/hyperlink" Target="mailto:jphabimana@cartafrica.org" TargetMode="External"/><Relationship Id="rId124" Type="http://schemas.openxmlformats.org/officeDocument/2006/relationships/hyperlink" Target="mailto:habumshadra@gmail.com" TargetMode="External"/><Relationship Id="rId70" Type="http://schemas.openxmlformats.org/officeDocument/2006/relationships/hyperlink" Target="mailto:gmbuthia@cartafrica.org" TargetMode="External"/><Relationship Id="rId91" Type="http://schemas.openxmlformats.org/officeDocument/2006/relationships/hyperlink" Target="mailto:lfarlane@cartafrica.org" TargetMode="External"/><Relationship Id="rId145" Type="http://schemas.openxmlformats.org/officeDocument/2006/relationships/hyperlink" Target="mailto:auwase@cartafrica.org" TargetMode="External"/><Relationship Id="rId166" Type="http://schemas.openxmlformats.org/officeDocument/2006/relationships/hyperlink" Target="mailto:mdmajamanda@gmail.com" TargetMode="External"/><Relationship Id="rId187" Type="http://schemas.openxmlformats.org/officeDocument/2006/relationships/hyperlink" Target="mailto:christineminoo@yahoo.com" TargetMode="External"/><Relationship Id="rId1" Type="http://schemas.openxmlformats.org/officeDocument/2006/relationships/hyperlink" Target="mailto:ltembo@cartafrica.org" TargetMode="External"/><Relationship Id="rId28" Type="http://schemas.openxmlformats.org/officeDocument/2006/relationships/hyperlink" Target="mailto:maleyoagnes@gmail.com" TargetMode="External"/><Relationship Id="rId49" Type="http://schemas.openxmlformats.org/officeDocument/2006/relationships/hyperlink" Target="mailto:alinda@cartafrica.org" TargetMode="External"/><Relationship Id="rId114" Type="http://schemas.openxmlformats.org/officeDocument/2006/relationships/hyperlink" Target="mailto:olufolayan19@gmail.com" TargetMode="External"/><Relationship Id="rId60" Type="http://schemas.openxmlformats.org/officeDocument/2006/relationships/hyperlink" Target="mailto:jmangeni@cartafrica.org" TargetMode="External"/><Relationship Id="rId81" Type="http://schemas.openxmlformats.org/officeDocument/2006/relationships/hyperlink" Target="mailto:nomfundo.moroe7@gmail.com" TargetMode="External"/><Relationship Id="rId135" Type="http://schemas.openxmlformats.org/officeDocument/2006/relationships/hyperlink" Target="http://orcid.org/0000-0002-1330-1545" TargetMode="External"/><Relationship Id="rId156" Type="http://schemas.openxmlformats.org/officeDocument/2006/relationships/hyperlink" Target="mailto:nzabaemmy@gmail.com" TargetMode="External"/><Relationship Id="rId177" Type="http://schemas.openxmlformats.org/officeDocument/2006/relationships/hyperlink" Target="mailto:linktopeojo@yahoo.com" TargetMode="External"/><Relationship Id="rId198" Type="http://schemas.openxmlformats.org/officeDocument/2006/relationships/comments" Target="../comments1.xml"/><Relationship Id="rId18" Type="http://schemas.openxmlformats.org/officeDocument/2006/relationships/hyperlink" Target="mailto:t1toyin@yahoo.com" TargetMode="External"/><Relationship Id="rId39" Type="http://schemas.openxmlformats.org/officeDocument/2006/relationships/hyperlink" Target="mailto:eafolabi@cartafrica.org" TargetMode="External"/><Relationship Id="rId50" Type="http://schemas.openxmlformats.org/officeDocument/2006/relationships/hyperlink" Target="mailto:sadedokun@cartafrica.org" TargetMode="External"/><Relationship Id="rId104" Type="http://schemas.openxmlformats.org/officeDocument/2006/relationships/hyperlink" Target="mailto:habipau@gmail.com" TargetMode="External"/><Relationship Id="rId125" Type="http://schemas.openxmlformats.org/officeDocument/2006/relationships/hyperlink" Target="mailto:tchepkwony@cartafrica.org" TargetMode="External"/><Relationship Id="rId146" Type="http://schemas.openxmlformats.org/officeDocument/2006/relationships/hyperlink" Target="mailto:alinemunyaneza1@gmail.com" TargetMode="External"/><Relationship Id="rId167" Type="http://schemas.openxmlformats.org/officeDocument/2006/relationships/hyperlink" Target="mailto:molodu@cartafrica.org" TargetMode="External"/><Relationship Id="rId188" Type="http://schemas.openxmlformats.org/officeDocument/2006/relationships/hyperlink" Target="mailto:sadams@cartafrica.org" TargetMode="External"/></Relationships>
</file>

<file path=xl/worksheets/_rels/sheet5.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15.xml"/><Relationship Id="rId2" Type="http://schemas.openxmlformats.org/officeDocument/2006/relationships/pivotTable" Target="../pivotTables/pivotTable14.xml"/><Relationship Id="rId1" Type="http://schemas.openxmlformats.org/officeDocument/2006/relationships/pivotTable" Target="../pivotTables/pivotTable13.xml"/><Relationship Id="rId4" Type="http://schemas.openxmlformats.org/officeDocument/2006/relationships/drawing" Target="../drawings/drawing3.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7.xml"/><Relationship Id="rId1" Type="http://schemas.openxmlformats.org/officeDocument/2006/relationships/pivotTable" Target="../pivotTables/pivotTable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T55"/>
  <sheetViews>
    <sheetView showGridLines="0" topLeftCell="B47" zoomScale="88" zoomScaleNormal="88" workbookViewId="0">
      <selection activeCell="W18" sqref="W18"/>
    </sheetView>
  </sheetViews>
  <sheetFormatPr defaultColWidth="8.7109375" defaultRowHeight="14.45"/>
  <cols>
    <col min="1" max="1" width="0" style="299" hidden="1" customWidth="1"/>
    <col min="2" max="2" width="10.5703125" style="299" bestFit="1" customWidth="1"/>
    <col min="3" max="3" width="15.28515625" style="299" customWidth="1"/>
    <col min="4" max="4" width="16.5703125" style="299" customWidth="1"/>
    <col min="5" max="5" width="13" style="299" customWidth="1"/>
    <col min="6" max="6" width="11.85546875" style="299" customWidth="1"/>
    <col min="7" max="7" width="8.7109375" style="299"/>
    <col min="8" max="8" width="13.7109375" style="299" customWidth="1"/>
    <col min="9" max="18" width="8.7109375" style="299"/>
    <col min="19" max="19" width="19.42578125" style="299" customWidth="1"/>
    <col min="20" max="20" width="13.140625" style="299" customWidth="1"/>
    <col min="21" max="16384" width="8.7109375" style="299"/>
  </cols>
  <sheetData>
    <row r="2" spans="19:20">
      <c r="S2" s="300" t="s">
        <v>0</v>
      </c>
      <c r="T2" s="301">
        <f>'Pivot Analysis'!F41</f>
        <v>1</v>
      </c>
    </row>
    <row r="3" spans="19:20">
      <c r="S3" s="300" t="s">
        <v>1</v>
      </c>
      <c r="T3" s="426">
        <f>'Pivot Analysis'!F41</f>
        <v>1</v>
      </c>
    </row>
    <row r="4" spans="19:20">
      <c r="S4" s="300" t="s">
        <v>2</v>
      </c>
      <c r="T4" s="302">
        <f>'Pivot Analysis'!F30</f>
        <v>0.86956521739130432</v>
      </c>
    </row>
    <row r="5" spans="19:20">
      <c r="S5" s="300" t="s">
        <v>3</v>
      </c>
      <c r="T5" s="302">
        <f>'Pivot Analysis'!F31</f>
        <v>0.8</v>
      </c>
    </row>
    <row r="6" spans="19:20">
      <c r="S6" s="300" t="s">
        <v>4</v>
      </c>
      <c r="T6" s="302">
        <f>'Pivot Analysis'!F32</f>
        <v>0.91304347826086951</v>
      </c>
    </row>
    <row r="7" spans="19:20">
      <c r="S7" s="300" t="s">
        <v>5</v>
      </c>
      <c r="T7" s="302">
        <f>'Pivot Analysis'!F33</f>
        <v>0.96296296296296291</v>
      </c>
    </row>
    <row r="8" spans="19:20">
      <c r="S8" s="300" t="s">
        <v>6</v>
      </c>
      <c r="T8" s="302">
        <f>'Pivot Analysis'!F34</f>
        <v>0.8</v>
      </c>
    </row>
    <row r="9" spans="19:20">
      <c r="S9" s="300" t="s">
        <v>7</v>
      </c>
      <c r="T9" s="302">
        <f>'Pivot Analysis'!F35</f>
        <v>0.96</v>
      </c>
    </row>
    <row r="10" spans="19:20">
      <c r="S10" s="300" t="s">
        <v>8</v>
      </c>
      <c r="T10" s="302">
        <f>'Pivot Analysis'!F36</f>
        <v>0.88888888888888884</v>
      </c>
    </row>
    <row r="11" spans="19:20">
      <c r="S11" s="300" t="s">
        <v>9</v>
      </c>
      <c r="T11" s="302">
        <f>'Pivot Analysis'!F37</f>
        <v>0.88461538461538458</v>
      </c>
    </row>
    <row r="12" spans="19:20">
      <c r="S12" s="300" t="s">
        <v>10</v>
      </c>
      <c r="T12" s="302">
        <f>'Pivot Analysis'!F38</f>
        <v>0.91666666666666663</v>
      </c>
    </row>
    <row r="13" spans="19:20">
      <c r="S13" s="300" t="s">
        <v>11</v>
      </c>
      <c r="T13" s="302">
        <f>'Pivot Analysis'!F39</f>
        <v>0.96</v>
      </c>
    </row>
    <row r="41" spans="2:19">
      <c r="B41" s="60" t="s">
        <v>12</v>
      </c>
      <c r="C41"/>
      <c r="D41"/>
      <c r="E41"/>
      <c r="F41"/>
      <c r="G41"/>
    </row>
    <row r="42" spans="2:19">
      <c r="B42" s="54" t="s">
        <v>13</v>
      </c>
      <c r="C42" s="54" t="s">
        <v>14</v>
      </c>
      <c r="D42"/>
      <c r="E42"/>
      <c r="F42"/>
      <c r="G42"/>
    </row>
    <row r="43" spans="2:19">
      <c r="B43" s="54" t="s">
        <v>15</v>
      </c>
      <c r="C43" t="s">
        <v>16</v>
      </c>
      <c r="D43" t="s">
        <v>17</v>
      </c>
      <c r="E43" t="s">
        <v>18</v>
      </c>
      <c r="F43" t="s">
        <v>19</v>
      </c>
      <c r="G43" s="307" t="s">
        <v>1</v>
      </c>
      <c r="S43" s="299">
        <f>2</f>
        <v>2</v>
      </c>
    </row>
    <row r="44" spans="2:19">
      <c r="B44">
        <v>1</v>
      </c>
      <c r="C44">
        <v>20</v>
      </c>
      <c r="D44"/>
      <c r="E44">
        <v>3</v>
      </c>
      <c r="F44">
        <v>23</v>
      </c>
      <c r="G44" s="308"/>
    </row>
    <row r="45" spans="2:19">
      <c r="B45">
        <v>2</v>
      </c>
      <c r="C45">
        <v>15</v>
      </c>
      <c r="D45">
        <v>1</v>
      </c>
      <c r="E45">
        <v>4</v>
      </c>
      <c r="F45">
        <v>20</v>
      </c>
      <c r="G45" s="308"/>
    </row>
    <row r="46" spans="2:19">
      <c r="B46">
        <v>3</v>
      </c>
      <c r="C46">
        <v>18</v>
      </c>
      <c r="D46">
        <v>3</v>
      </c>
      <c r="E46">
        <v>2</v>
      </c>
      <c r="F46">
        <v>23</v>
      </c>
      <c r="G46" s="308"/>
    </row>
    <row r="47" spans="2:19">
      <c r="B47">
        <v>4</v>
      </c>
      <c r="C47">
        <v>25</v>
      </c>
      <c r="D47">
        <v>1</v>
      </c>
      <c r="E47">
        <v>1</v>
      </c>
      <c r="F47">
        <v>27</v>
      </c>
      <c r="G47" s="308"/>
    </row>
    <row r="48" spans="2:19">
      <c r="B48">
        <v>5</v>
      </c>
      <c r="C48">
        <v>18</v>
      </c>
      <c r="D48">
        <v>2</v>
      </c>
      <c r="E48">
        <v>5</v>
      </c>
      <c r="F48">
        <v>25</v>
      </c>
      <c r="G48" s="308"/>
    </row>
    <row r="49" spans="2:8">
      <c r="B49">
        <v>6</v>
      </c>
      <c r="C49">
        <v>24</v>
      </c>
      <c r="D49"/>
      <c r="E49">
        <v>1</v>
      </c>
      <c r="F49">
        <v>25</v>
      </c>
      <c r="G49" s="308"/>
    </row>
    <row r="50" spans="2:8">
      <c r="B50">
        <v>7</v>
      </c>
      <c r="C50">
        <v>24</v>
      </c>
      <c r="D50"/>
      <c r="E50">
        <v>3</v>
      </c>
      <c r="F50">
        <v>27</v>
      </c>
      <c r="G50" s="308"/>
      <c r="H50" s="299" t="s">
        <v>20</v>
      </c>
    </row>
    <row r="51" spans="2:8">
      <c r="B51">
        <v>8</v>
      </c>
      <c r="C51">
        <v>17</v>
      </c>
      <c r="D51">
        <v>6</v>
      </c>
      <c r="E51">
        <v>3</v>
      </c>
      <c r="F51">
        <v>26</v>
      </c>
      <c r="G51" s="308"/>
    </row>
    <row r="52" spans="2:8">
      <c r="B52">
        <v>9</v>
      </c>
      <c r="C52">
        <v>16</v>
      </c>
      <c r="D52">
        <v>6</v>
      </c>
      <c r="E52">
        <v>2</v>
      </c>
      <c r="F52">
        <v>24</v>
      </c>
      <c r="G52" s="308"/>
    </row>
    <row r="53" spans="2:8">
      <c r="B53">
        <v>10</v>
      </c>
      <c r="C53">
        <v>18</v>
      </c>
      <c r="D53">
        <v>6</v>
      </c>
      <c r="E53">
        <v>1</v>
      </c>
      <c r="F53">
        <v>25</v>
      </c>
      <c r="G53" s="308"/>
    </row>
    <row r="54" spans="2:8">
      <c r="B54">
        <v>11</v>
      </c>
      <c r="C54"/>
      <c r="D54">
        <v>19</v>
      </c>
      <c r="E54">
        <v>1</v>
      </c>
      <c r="F54">
        <v>20</v>
      </c>
      <c r="G54" s="308"/>
    </row>
    <row r="55" spans="2:8">
      <c r="B55" t="s">
        <v>19</v>
      </c>
      <c r="C55">
        <v>195</v>
      </c>
      <c r="D55">
        <v>44</v>
      </c>
      <c r="E55">
        <v>26</v>
      </c>
      <c r="F55">
        <v>265</v>
      </c>
      <c r="G55" s="308"/>
    </row>
  </sheetData>
  <conditionalFormatting pivot="1" sqref="C44:E53">
    <cfRule type="dataBar" priority="1">
      <dataBar>
        <cfvo type="min"/>
        <cfvo type="max"/>
        <color rgb="FFFF555A"/>
      </dataBar>
      <extLst>
        <ext xmlns:x14="http://schemas.microsoft.com/office/spreadsheetml/2009/9/main" uri="{B025F937-C7B1-47D3-B67F-A62EFF666E3E}">
          <x14:id>{05CF808C-860C-4632-BC11-F79804AE8385}</x14:id>
        </ext>
      </extLst>
    </cfRule>
  </conditionalFormatting>
  <pageMargins left="0.7" right="0.7" top="0.75" bottom="0.75" header="0.3" footer="0.3"/>
  <drawing r:id="rId2"/>
  <extLst>
    <ext xmlns:x14="http://schemas.microsoft.com/office/spreadsheetml/2009/9/main" uri="{78C0D931-6437-407d-A8EE-F0AAD7539E65}">
      <x14:conditionalFormattings>
        <x14:conditionalFormatting xmlns:xm="http://schemas.microsoft.com/office/excel/2006/main" pivot="1">
          <x14:cfRule type="dataBar" id="{05CF808C-860C-4632-BC11-F79804AE8385}">
            <x14:dataBar minLength="0" maxLength="100" gradient="0">
              <x14:cfvo type="autoMin"/>
              <x14:cfvo type="autoMax"/>
              <x14:negativeFillColor rgb="FFFF0000"/>
              <x14:axisColor rgb="FF000000"/>
            </x14:dataBar>
          </x14:cfRule>
          <xm:sqref>C44:E53</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72150F-B308-41D5-855F-324C5517752A}">
  <sheetPr codeName="Sheet4"/>
  <dimension ref="A3:E38"/>
  <sheetViews>
    <sheetView workbookViewId="0">
      <selection activeCell="C17" sqref="C17"/>
    </sheetView>
  </sheetViews>
  <sheetFormatPr defaultRowHeight="14.45"/>
  <cols>
    <col min="1" max="1" width="14.28515625" bestFit="1" customWidth="1"/>
    <col min="2" max="2" width="17.28515625" bestFit="1" customWidth="1"/>
    <col min="3" max="3" width="11" bestFit="1" customWidth="1"/>
    <col min="4" max="4" width="11.42578125" bestFit="1" customWidth="1"/>
    <col min="5" max="5" width="11.7109375" bestFit="1" customWidth="1"/>
    <col min="6" max="6" width="10.7109375" bestFit="1" customWidth="1"/>
  </cols>
  <sheetData>
    <row r="3" spans="1:5">
      <c r="A3" s="54" t="s">
        <v>21</v>
      </c>
      <c r="B3" s="54" t="s">
        <v>22</v>
      </c>
    </row>
    <row r="4" spans="1:5">
      <c r="A4" s="54" t="s">
        <v>23</v>
      </c>
      <c r="B4" t="s">
        <v>16</v>
      </c>
      <c r="C4" t="s">
        <v>17</v>
      </c>
      <c r="D4" t="s">
        <v>18</v>
      </c>
      <c r="E4" t="s">
        <v>19</v>
      </c>
    </row>
    <row r="5" spans="1:5">
      <c r="A5" s="41">
        <v>1</v>
      </c>
      <c r="B5" s="487">
        <v>20</v>
      </c>
      <c r="C5" s="487"/>
      <c r="D5" s="487">
        <v>3</v>
      </c>
      <c r="E5" s="487">
        <v>23</v>
      </c>
    </row>
    <row r="6" spans="1:5">
      <c r="A6" s="41">
        <v>2</v>
      </c>
      <c r="B6" s="487">
        <v>15</v>
      </c>
      <c r="C6" s="487">
        <v>1</v>
      </c>
      <c r="D6" s="487">
        <v>4</v>
      </c>
      <c r="E6" s="487">
        <v>20</v>
      </c>
    </row>
    <row r="7" spans="1:5">
      <c r="A7" s="41">
        <v>3</v>
      </c>
      <c r="B7" s="487">
        <v>18</v>
      </c>
      <c r="C7" s="487">
        <v>3</v>
      </c>
      <c r="D7" s="487">
        <v>2</v>
      </c>
      <c r="E7" s="487">
        <v>23</v>
      </c>
    </row>
    <row r="8" spans="1:5">
      <c r="A8" s="41">
        <v>4</v>
      </c>
      <c r="B8" s="487">
        <v>25</v>
      </c>
      <c r="C8" s="487">
        <v>1</v>
      </c>
      <c r="D8" s="487">
        <v>1</v>
      </c>
      <c r="E8" s="487">
        <v>27</v>
      </c>
    </row>
    <row r="9" spans="1:5">
      <c r="A9" s="41">
        <v>5</v>
      </c>
      <c r="B9" s="487">
        <v>18</v>
      </c>
      <c r="C9" s="487">
        <v>2</v>
      </c>
      <c r="D9" s="487">
        <v>5</v>
      </c>
      <c r="E9" s="487">
        <v>25</v>
      </c>
    </row>
    <row r="10" spans="1:5">
      <c r="A10" s="41">
        <v>6</v>
      </c>
      <c r="B10" s="487">
        <v>24</v>
      </c>
      <c r="C10" s="487"/>
      <c r="D10" s="487">
        <v>1</v>
      </c>
      <c r="E10" s="487">
        <v>25</v>
      </c>
    </row>
    <row r="11" spans="1:5">
      <c r="A11" s="41">
        <v>7</v>
      </c>
      <c r="B11" s="487">
        <v>24</v>
      </c>
      <c r="C11" s="487"/>
      <c r="D11" s="487">
        <v>3</v>
      </c>
      <c r="E11" s="487">
        <v>27</v>
      </c>
    </row>
    <row r="12" spans="1:5">
      <c r="A12" s="41">
        <v>8</v>
      </c>
      <c r="B12" s="487">
        <v>17</v>
      </c>
      <c r="C12" s="487">
        <v>6</v>
      </c>
      <c r="D12" s="487">
        <v>3</v>
      </c>
      <c r="E12" s="487">
        <v>26</v>
      </c>
    </row>
    <row r="13" spans="1:5">
      <c r="A13" s="41">
        <v>9</v>
      </c>
      <c r="B13" s="487">
        <v>16</v>
      </c>
      <c r="C13" s="487">
        <v>6</v>
      </c>
      <c r="D13" s="487">
        <v>2</v>
      </c>
      <c r="E13" s="487">
        <v>24</v>
      </c>
    </row>
    <row r="14" spans="1:5">
      <c r="A14" s="41">
        <v>10</v>
      </c>
      <c r="B14" s="487">
        <v>19</v>
      </c>
      <c r="C14" s="487">
        <v>5</v>
      </c>
      <c r="D14" s="487">
        <v>1</v>
      </c>
      <c r="E14" s="487">
        <v>25</v>
      </c>
    </row>
    <row r="15" spans="1:5">
      <c r="A15" s="41" t="s">
        <v>19</v>
      </c>
      <c r="B15" s="487">
        <v>196</v>
      </c>
      <c r="C15" s="487">
        <v>24</v>
      </c>
      <c r="D15" s="487">
        <v>25</v>
      </c>
      <c r="E15" s="487">
        <v>245</v>
      </c>
    </row>
    <row r="20" spans="1:5">
      <c r="A20" s="54" t="s">
        <v>21</v>
      </c>
      <c r="B20" s="54" t="s">
        <v>22</v>
      </c>
    </row>
    <row r="21" spans="1:5">
      <c r="A21" s="54" t="s">
        <v>23</v>
      </c>
      <c r="B21" t="s">
        <v>16</v>
      </c>
      <c r="C21" t="s">
        <v>17</v>
      </c>
      <c r="D21" t="s">
        <v>18</v>
      </c>
      <c r="E21" t="s">
        <v>19</v>
      </c>
    </row>
    <row r="22" spans="1:5">
      <c r="A22" s="41" t="s">
        <v>24</v>
      </c>
      <c r="B22" s="487">
        <v>110</v>
      </c>
      <c r="C22" s="487">
        <v>14</v>
      </c>
      <c r="D22" s="487">
        <v>12</v>
      </c>
      <c r="E22" s="487">
        <v>136</v>
      </c>
    </row>
    <row r="23" spans="1:5">
      <c r="A23" s="41" t="s">
        <v>25</v>
      </c>
      <c r="B23" s="487">
        <v>86</v>
      </c>
      <c r="C23" s="487">
        <v>10</v>
      </c>
      <c r="D23" s="487">
        <v>13</v>
      </c>
      <c r="E23" s="487">
        <v>109</v>
      </c>
    </row>
    <row r="24" spans="1:5">
      <c r="A24" s="41" t="s">
        <v>19</v>
      </c>
      <c r="B24" s="487">
        <v>196</v>
      </c>
      <c r="C24" s="487">
        <v>24</v>
      </c>
      <c r="D24" s="487">
        <v>25</v>
      </c>
      <c r="E24" s="487">
        <v>245</v>
      </c>
    </row>
    <row r="33" spans="2:5">
      <c r="C33">
        <f>65+78+32+49+12+9</f>
        <v>245</v>
      </c>
    </row>
    <row r="34" spans="2:5">
      <c r="B34" t="s">
        <v>23</v>
      </c>
      <c r="C34" t="s">
        <v>24</v>
      </c>
      <c r="D34" t="s">
        <v>25</v>
      </c>
      <c r="E34" t="s">
        <v>19</v>
      </c>
    </row>
    <row r="35" spans="2:5">
      <c r="B35" t="s">
        <v>16</v>
      </c>
      <c r="C35">
        <v>80</v>
      </c>
      <c r="D35">
        <v>65</v>
      </c>
      <c r="E35">
        <v>145</v>
      </c>
    </row>
    <row r="36" spans="2:5">
      <c r="B36" t="s">
        <v>17</v>
      </c>
      <c r="C36">
        <v>47</v>
      </c>
      <c r="D36">
        <v>32</v>
      </c>
      <c r="E36">
        <v>79</v>
      </c>
    </row>
    <row r="37" spans="2:5">
      <c r="B37" t="s">
        <v>18</v>
      </c>
      <c r="C37">
        <v>9</v>
      </c>
      <c r="D37">
        <v>12</v>
      </c>
      <c r="E37">
        <v>21</v>
      </c>
    </row>
    <row r="38" spans="2:5">
      <c r="B38" t="s">
        <v>19</v>
      </c>
      <c r="C38">
        <v>136</v>
      </c>
      <c r="D38">
        <v>109</v>
      </c>
      <c r="E38">
        <v>245</v>
      </c>
    </row>
  </sheetData>
  <pageMargins left="0.7" right="0.7" top="0.75" bottom="0.75" header="0.3" footer="0.3"/>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94"/>
  <sheetViews>
    <sheetView topLeftCell="A79" zoomScale="72" zoomScaleNormal="72" workbookViewId="0">
      <selection activeCell="B36" sqref="B36"/>
    </sheetView>
  </sheetViews>
  <sheetFormatPr defaultRowHeight="15" customHeight="1"/>
  <cols>
    <col min="1" max="1" width="14.28515625" bestFit="1" customWidth="1"/>
    <col min="2" max="2" width="17.28515625" bestFit="1" customWidth="1"/>
    <col min="3" max="3" width="11" bestFit="1" customWidth="1"/>
    <col min="4" max="4" width="11.42578125" bestFit="1" customWidth="1"/>
    <col min="5" max="5" width="11.7109375" bestFit="1" customWidth="1"/>
    <col min="6" max="6" width="13" customWidth="1"/>
    <col min="7" max="7" width="26.28515625" customWidth="1"/>
    <col min="8" max="8" width="26.85546875" customWidth="1"/>
    <col min="9" max="9" width="19.85546875" customWidth="1"/>
    <col min="10" max="10" width="9.85546875" customWidth="1"/>
    <col min="11" max="11" width="12.42578125" customWidth="1"/>
    <col min="12" max="12" width="15.42578125" customWidth="1"/>
    <col min="13" max="13" width="10.5703125" customWidth="1"/>
    <col min="14" max="14" width="15.5703125" customWidth="1"/>
    <col min="15" max="15" width="27.5703125" customWidth="1"/>
    <col min="16" max="16" width="19.28515625" customWidth="1"/>
    <col min="17" max="17" width="17" customWidth="1"/>
    <col min="18" max="18" width="23" bestFit="1" customWidth="1"/>
    <col min="19" max="24" width="24.140625" bestFit="1" customWidth="1"/>
    <col min="25" max="25" width="23.42578125" bestFit="1" customWidth="1"/>
    <col min="26" max="26" width="21.140625" bestFit="1" customWidth="1"/>
    <col min="27" max="27" width="23.85546875" bestFit="1" customWidth="1"/>
    <col min="28" max="28" width="23.5703125" bestFit="1" customWidth="1"/>
    <col min="29" max="29" width="26.5703125" bestFit="1" customWidth="1"/>
    <col min="30" max="40" width="30.140625" bestFit="1" customWidth="1"/>
    <col min="41" max="41" width="32.85546875" bestFit="1" customWidth="1"/>
    <col min="42" max="43" width="18.42578125" bestFit="1" customWidth="1"/>
    <col min="44" max="44" width="11.5703125" bestFit="1" customWidth="1"/>
    <col min="45" max="45" width="10.5703125" bestFit="1" customWidth="1"/>
  </cols>
  <sheetData>
    <row r="1" spans="1:22" s="57" customFormat="1" ht="14.45">
      <c r="A1" s="59" t="s">
        <v>26</v>
      </c>
      <c r="H1" s="59" t="s">
        <v>27</v>
      </c>
      <c r="S1" s="58" t="s">
        <v>15</v>
      </c>
      <c r="T1" s="58" t="s">
        <v>25</v>
      </c>
      <c r="U1" s="58" t="s">
        <v>24</v>
      </c>
      <c r="V1" s="58" t="s">
        <v>28</v>
      </c>
    </row>
    <row r="2" spans="1:22" ht="14.45">
      <c r="A2" s="54" t="s">
        <v>29</v>
      </c>
      <c r="B2" t="s">
        <v>30</v>
      </c>
      <c r="H2" s="54" t="s">
        <v>29</v>
      </c>
      <c r="I2" t="s">
        <v>30</v>
      </c>
      <c r="N2" s="54" t="s">
        <v>14</v>
      </c>
      <c r="O2" t="s">
        <v>30</v>
      </c>
      <c r="P2" s="54" t="s">
        <v>14</v>
      </c>
      <c r="Q2" t="s">
        <v>16</v>
      </c>
      <c r="S2" s="56" t="s">
        <v>31</v>
      </c>
      <c r="T2" s="24"/>
      <c r="U2" s="24"/>
      <c r="V2" s="24"/>
    </row>
    <row r="3" spans="1:22" ht="14.45">
      <c r="N3" s="60" t="s">
        <v>12</v>
      </c>
      <c r="P3" s="60" t="s">
        <v>12</v>
      </c>
    </row>
    <row r="4" spans="1:22" ht="14.45">
      <c r="A4" s="54" t="s">
        <v>13</v>
      </c>
      <c r="B4" s="54" t="s">
        <v>14</v>
      </c>
      <c r="H4" s="54" t="s">
        <v>13</v>
      </c>
      <c r="I4" s="54" t="s">
        <v>14</v>
      </c>
      <c r="N4" s="54" t="s">
        <v>29</v>
      </c>
      <c r="O4" t="s">
        <v>13</v>
      </c>
      <c r="P4" s="54" t="s">
        <v>29</v>
      </c>
      <c r="Q4" t="s">
        <v>13</v>
      </c>
    </row>
    <row r="5" spans="1:22" ht="14.45">
      <c r="A5" s="54" t="s">
        <v>32</v>
      </c>
      <c r="B5" t="s">
        <v>16</v>
      </c>
      <c r="C5" t="s">
        <v>17</v>
      </c>
      <c r="D5" t="s">
        <v>18</v>
      </c>
      <c r="E5" t="s">
        <v>33</v>
      </c>
      <c r="F5" t="s">
        <v>19</v>
      </c>
      <c r="H5" s="54" t="s">
        <v>34</v>
      </c>
      <c r="I5" t="s">
        <v>16</v>
      </c>
      <c r="J5" t="s">
        <v>17</v>
      </c>
      <c r="K5" t="s">
        <v>18</v>
      </c>
      <c r="L5" t="s">
        <v>19</v>
      </c>
      <c r="N5" t="s">
        <v>24</v>
      </c>
      <c r="O5">
        <v>147</v>
      </c>
      <c r="P5" t="s">
        <v>24</v>
      </c>
      <c r="Q5">
        <v>110</v>
      </c>
    </row>
    <row r="6" spans="1:22" ht="14.45">
      <c r="A6" t="s">
        <v>35</v>
      </c>
      <c r="B6">
        <v>17</v>
      </c>
      <c r="C6">
        <v>3</v>
      </c>
      <c r="D6">
        <v>3</v>
      </c>
      <c r="F6">
        <v>23</v>
      </c>
      <c r="H6" t="s">
        <v>36</v>
      </c>
      <c r="I6">
        <v>1</v>
      </c>
      <c r="J6">
        <v>2</v>
      </c>
      <c r="L6">
        <v>3</v>
      </c>
      <c r="N6" t="s">
        <v>25</v>
      </c>
      <c r="O6">
        <v>118</v>
      </c>
      <c r="P6" t="s">
        <v>25</v>
      </c>
      <c r="Q6">
        <v>86</v>
      </c>
    </row>
    <row r="7" spans="1:22" ht="14.45">
      <c r="A7" t="s">
        <v>37</v>
      </c>
      <c r="B7">
        <v>7</v>
      </c>
      <c r="C7">
        <v>5</v>
      </c>
      <c r="F7">
        <v>12</v>
      </c>
      <c r="H7" t="s">
        <v>38</v>
      </c>
      <c r="I7">
        <v>4</v>
      </c>
      <c r="J7">
        <v>1</v>
      </c>
      <c r="K7">
        <v>1</v>
      </c>
      <c r="L7">
        <v>6</v>
      </c>
      <c r="N7" t="s">
        <v>19</v>
      </c>
      <c r="O7">
        <v>265</v>
      </c>
      <c r="P7" t="s">
        <v>19</v>
      </c>
      <c r="Q7">
        <v>196</v>
      </c>
    </row>
    <row r="8" spans="1:22" ht="14.45">
      <c r="A8" t="s">
        <v>39</v>
      </c>
      <c r="B8">
        <v>19</v>
      </c>
      <c r="C8">
        <v>1</v>
      </c>
      <c r="F8">
        <v>20</v>
      </c>
      <c r="H8" t="s">
        <v>40</v>
      </c>
      <c r="I8">
        <v>7</v>
      </c>
      <c r="J8">
        <v>2</v>
      </c>
      <c r="K8">
        <v>1</v>
      </c>
      <c r="L8">
        <v>10</v>
      </c>
    </row>
    <row r="9" spans="1:22" ht="14.45">
      <c r="A9" t="s">
        <v>41</v>
      </c>
      <c r="B9">
        <v>6</v>
      </c>
      <c r="D9">
        <v>2</v>
      </c>
      <c r="F9">
        <v>8</v>
      </c>
      <c r="H9" t="s">
        <v>35</v>
      </c>
      <c r="I9">
        <v>19</v>
      </c>
      <c r="J9">
        <v>8</v>
      </c>
      <c r="K9">
        <v>4</v>
      </c>
      <c r="L9">
        <v>31</v>
      </c>
    </row>
    <row r="10" spans="1:22" ht="14.45">
      <c r="A10" t="s">
        <v>31</v>
      </c>
      <c r="B10">
        <v>28</v>
      </c>
      <c r="C10">
        <v>7</v>
      </c>
      <c r="F10">
        <v>35</v>
      </c>
      <c r="H10" t="s">
        <v>37</v>
      </c>
      <c r="I10">
        <v>13</v>
      </c>
      <c r="J10">
        <v>8</v>
      </c>
      <c r="K10">
        <v>1</v>
      </c>
      <c r="L10">
        <v>22</v>
      </c>
    </row>
    <row r="11" spans="1:22" ht="14.45">
      <c r="A11" t="s">
        <v>42</v>
      </c>
      <c r="B11">
        <v>22</v>
      </c>
      <c r="C11">
        <v>8</v>
      </c>
      <c r="D11">
        <v>5</v>
      </c>
      <c r="F11">
        <v>35</v>
      </c>
      <c r="H11" t="s">
        <v>39</v>
      </c>
      <c r="I11">
        <v>30</v>
      </c>
      <c r="J11">
        <v>3</v>
      </c>
      <c r="L11">
        <v>33</v>
      </c>
    </row>
    <row r="12" spans="1:22" ht="14.45">
      <c r="A12" t="s">
        <v>43</v>
      </c>
      <c r="B12">
        <v>6</v>
      </c>
      <c r="C12">
        <v>2</v>
      </c>
      <c r="F12">
        <v>8</v>
      </c>
      <c r="H12" t="s">
        <v>41</v>
      </c>
      <c r="I12">
        <v>4</v>
      </c>
      <c r="K12">
        <v>2</v>
      </c>
      <c r="L12">
        <v>6</v>
      </c>
    </row>
    <row r="13" spans="1:22" ht="14.45">
      <c r="A13" t="s">
        <v>44</v>
      </c>
      <c r="B13">
        <v>16</v>
      </c>
      <c r="C13">
        <v>2</v>
      </c>
      <c r="D13">
        <v>3</v>
      </c>
      <c r="F13">
        <v>21</v>
      </c>
      <c r="H13" t="s">
        <v>31</v>
      </c>
      <c r="I13">
        <v>32</v>
      </c>
      <c r="J13">
        <v>11</v>
      </c>
      <c r="L13">
        <v>43</v>
      </c>
    </row>
    <row r="14" spans="1:22" ht="14.45">
      <c r="A14" t="s">
        <v>45</v>
      </c>
      <c r="B14">
        <v>74</v>
      </c>
      <c r="C14">
        <v>8</v>
      </c>
      <c r="D14">
        <v>8</v>
      </c>
      <c r="F14">
        <v>90</v>
      </c>
      <c r="H14" t="s">
        <v>46</v>
      </c>
      <c r="I14">
        <v>24</v>
      </c>
      <c r="J14">
        <v>6</v>
      </c>
      <c r="K14">
        <v>3</v>
      </c>
      <c r="L14">
        <v>33</v>
      </c>
    </row>
    <row r="15" spans="1:22" ht="14.45">
      <c r="A15" t="s">
        <v>33</v>
      </c>
      <c r="C15">
        <v>30</v>
      </c>
      <c r="D15">
        <v>5</v>
      </c>
      <c r="F15">
        <v>35</v>
      </c>
      <c r="H15" t="s">
        <v>42</v>
      </c>
      <c r="I15">
        <v>17</v>
      </c>
      <c r="J15">
        <v>7</v>
      </c>
      <c r="K15">
        <v>7</v>
      </c>
      <c r="L15">
        <v>31</v>
      </c>
    </row>
    <row r="16" spans="1:22" ht="14.45">
      <c r="A16" t="s">
        <v>19</v>
      </c>
      <c r="B16">
        <v>195</v>
      </c>
      <c r="C16">
        <v>66</v>
      </c>
      <c r="D16">
        <v>26</v>
      </c>
      <c r="F16">
        <v>287</v>
      </c>
      <c r="H16" t="s">
        <v>43</v>
      </c>
      <c r="I16">
        <v>20</v>
      </c>
      <c r="J16">
        <v>9</v>
      </c>
      <c r="K16">
        <v>2</v>
      </c>
      <c r="L16">
        <v>31</v>
      </c>
    </row>
    <row r="17" spans="1:14" ht="14.45">
      <c r="H17" t="s">
        <v>45</v>
      </c>
      <c r="I17">
        <v>25</v>
      </c>
      <c r="J17">
        <v>2</v>
      </c>
      <c r="K17">
        <v>5</v>
      </c>
      <c r="L17">
        <v>32</v>
      </c>
    </row>
    <row r="18" spans="1:14" ht="14.45">
      <c r="H18" t="s">
        <v>47</v>
      </c>
      <c r="J18">
        <v>2</v>
      </c>
      <c r="L18">
        <v>2</v>
      </c>
    </row>
    <row r="19" spans="1:14" ht="14.45">
      <c r="H19" t="s">
        <v>48</v>
      </c>
      <c r="J19">
        <v>4</v>
      </c>
      <c r="L19">
        <v>4</v>
      </c>
    </row>
    <row r="20" spans="1:14" ht="14.45">
      <c r="H20" t="s">
        <v>19</v>
      </c>
      <c r="I20">
        <v>196</v>
      </c>
      <c r="J20">
        <v>65</v>
      </c>
      <c r="K20">
        <v>26</v>
      </c>
      <c r="L20">
        <v>287</v>
      </c>
    </row>
    <row r="21" spans="1:14" ht="14.45"/>
    <row r="22" spans="1:14" ht="14.45"/>
    <row r="23" spans="1:14" ht="14.45"/>
    <row r="24" spans="1:14" ht="14.45"/>
    <row r="27" spans="1:14" ht="14.45">
      <c r="A27" s="60" t="s">
        <v>12</v>
      </c>
      <c r="H27" s="54" t="s">
        <v>14</v>
      </c>
      <c r="I27" t="s">
        <v>30</v>
      </c>
    </row>
    <row r="28" spans="1:14" ht="14.45">
      <c r="A28" s="54" t="s">
        <v>13</v>
      </c>
      <c r="B28" s="54" t="s">
        <v>14</v>
      </c>
    </row>
    <row r="29" spans="1:14" ht="14.45">
      <c r="A29" s="54" t="s">
        <v>15</v>
      </c>
      <c r="B29" t="s">
        <v>16</v>
      </c>
      <c r="C29" t="s">
        <v>17</v>
      </c>
      <c r="D29" t="s">
        <v>18</v>
      </c>
      <c r="E29" t="s">
        <v>19</v>
      </c>
      <c r="F29" t="s">
        <v>49</v>
      </c>
      <c r="H29" s="54" t="s">
        <v>13</v>
      </c>
      <c r="I29" s="54" t="s">
        <v>29</v>
      </c>
    </row>
    <row r="30" spans="1:14" ht="15" customHeight="1">
      <c r="A30">
        <v>1</v>
      </c>
      <c r="B30">
        <v>20</v>
      </c>
      <c r="D30">
        <v>3</v>
      </c>
      <c r="E30">
        <v>23</v>
      </c>
      <c r="F30" s="390">
        <f>SUM(B30:C30)/E30</f>
        <v>0.86956521739130432</v>
      </c>
      <c r="G30" s="390"/>
      <c r="H30" s="54" t="s">
        <v>50</v>
      </c>
      <c r="I30" t="s">
        <v>24</v>
      </c>
      <c r="J30" t="s">
        <v>25</v>
      </c>
      <c r="K30" t="s">
        <v>19</v>
      </c>
      <c r="N30" s="425" t="s">
        <v>51</v>
      </c>
    </row>
    <row r="31" spans="1:14" ht="14.45">
      <c r="A31">
        <v>2</v>
      </c>
      <c r="B31">
        <v>15</v>
      </c>
      <c r="C31">
        <v>1</v>
      </c>
      <c r="D31">
        <v>4</v>
      </c>
      <c r="E31">
        <v>20</v>
      </c>
      <c r="F31" s="390">
        <f t="shared" ref="F31:F40" si="0">SUM(B31:C31)/E31</f>
        <v>0.8</v>
      </c>
      <c r="G31" s="390"/>
      <c r="H31" t="s">
        <v>52</v>
      </c>
      <c r="I31">
        <v>42</v>
      </c>
      <c r="J31">
        <v>16</v>
      </c>
      <c r="K31">
        <v>58</v>
      </c>
    </row>
    <row r="32" spans="1:14" ht="14.45">
      <c r="A32">
        <v>3</v>
      </c>
      <c r="B32">
        <v>18</v>
      </c>
      <c r="C32">
        <v>3</v>
      </c>
      <c r="D32">
        <v>2</v>
      </c>
      <c r="E32">
        <v>23</v>
      </c>
      <c r="F32" s="390">
        <f t="shared" si="0"/>
        <v>0.91304347826086951</v>
      </c>
      <c r="G32" s="390"/>
      <c r="H32" t="s">
        <v>53</v>
      </c>
      <c r="I32">
        <v>15</v>
      </c>
      <c r="J32">
        <v>24</v>
      </c>
      <c r="K32">
        <v>39</v>
      </c>
    </row>
    <row r="33" spans="1:11" ht="14.45">
      <c r="A33">
        <v>4</v>
      </c>
      <c r="B33">
        <v>25</v>
      </c>
      <c r="C33">
        <v>1</v>
      </c>
      <c r="D33">
        <v>1</v>
      </c>
      <c r="E33">
        <v>27</v>
      </c>
      <c r="F33" s="390">
        <f t="shared" si="0"/>
        <v>0.96296296296296291</v>
      </c>
      <c r="G33" s="390"/>
      <c r="H33" t="s">
        <v>54</v>
      </c>
      <c r="I33">
        <v>42</v>
      </c>
      <c r="J33">
        <v>36</v>
      </c>
      <c r="K33">
        <v>78</v>
      </c>
    </row>
    <row r="34" spans="1:11" ht="14.45">
      <c r="A34">
        <v>5</v>
      </c>
      <c r="B34">
        <v>18</v>
      </c>
      <c r="C34">
        <v>2</v>
      </c>
      <c r="D34">
        <v>5</v>
      </c>
      <c r="E34">
        <v>25</v>
      </c>
      <c r="F34" s="390">
        <f t="shared" si="0"/>
        <v>0.8</v>
      </c>
      <c r="G34" s="390"/>
      <c r="H34" t="s">
        <v>55</v>
      </c>
      <c r="I34">
        <v>12</v>
      </c>
      <c r="J34">
        <v>19</v>
      </c>
      <c r="K34">
        <v>31</v>
      </c>
    </row>
    <row r="35" spans="1:11" ht="14.45">
      <c r="A35">
        <v>6</v>
      </c>
      <c r="B35">
        <v>24</v>
      </c>
      <c r="D35">
        <v>1</v>
      </c>
      <c r="E35">
        <v>25</v>
      </c>
      <c r="F35" s="390">
        <f t="shared" si="0"/>
        <v>0.96</v>
      </c>
      <c r="G35" s="390"/>
      <c r="H35" t="s">
        <v>56</v>
      </c>
      <c r="J35">
        <v>1</v>
      </c>
      <c r="K35">
        <v>1</v>
      </c>
    </row>
    <row r="36" spans="1:11" ht="14.45">
      <c r="A36">
        <v>7</v>
      </c>
      <c r="B36">
        <v>24</v>
      </c>
      <c r="D36">
        <v>3</v>
      </c>
      <c r="E36">
        <v>27</v>
      </c>
      <c r="F36" s="390">
        <f t="shared" si="0"/>
        <v>0.88888888888888884</v>
      </c>
      <c r="G36" s="390"/>
      <c r="H36" t="s">
        <v>57</v>
      </c>
      <c r="I36">
        <v>1</v>
      </c>
      <c r="J36">
        <v>1</v>
      </c>
      <c r="K36">
        <v>2</v>
      </c>
    </row>
    <row r="37" spans="1:11" ht="14.45">
      <c r="A37">
        <v>8</v>
      </c>
      <c r="B37">
        <v>17</v>
      </c>
      <c r="C37">
        <v>6</v>
      </c>
      <c r="D37">
        <v>3</v>
      </c>
      <c r="E37">
        <v>26</v>
      </c>
      <c r="F37" s="390">
        <f t="shared" si="0"/>
        <v>0.88461538461538458</v>
      </c>
      <c r="G37" s="390"/>
      <c r="H37" t="s">
        <v>58</v>
      </c>
      <c r="I37">
        <v>20</v>
      </c>
      <c r="J37">
        <v>8</v>
      </c>
      <c r="K37">
        <v>28</v>
      </c>
    </row>
    <row r="38" spans="1:11" ht="14.45">
      <c r="A38">
        <v>9</v>
      </c>
      <c r="B38">
        <v>16</v>
      </c>
      <c r="C38">
        <v>6</v>
      </c>
      <c r="D38">
        <v>2</v>
      </c>
      <c r="E38">
        <v>24</v>
      </c>
      <c r="F38" s="390">
        <f t="shared" si="0"/>
        <v>0.91666666666666663</v>
      </c>
      <c r="G38" s="390"/>
      <c r="H38" t="s">
        <v>59</v>
      </c>
      <c r="I38">
        <v>9</v>
      </c>
      <c r="J38">
        <v>7</v>
      </c>
      <c r="K38">
        <v>16</v>
      </c>
    </row>
    <row r="39" spans="1:11" ht="14.45">
      <c r="A39">
        <v>10</v>
      </c>
      <c r="B39">
        <v>19</v>
      </c>
      <c r="C39">
        <v>5</v>
      </c>
      <c r="D39">
        <v>1</v>
      </c>
      <c r="E39">
        <v>25</v>
      </c>
      <c r="F39" s="390">
        <f t="shared" si="0"/>
        <v>0.96</v>
      </c>
      <c r="G39" s="390"/>
      <c r="H39" t="s">
        <v>60</v>
      </c>
      <c r="I39">
        <v>14</v>
      </c>
      <c r="J39">
        <v>17</v>
      </c>
      <c r="K39">
        <v>31</v>
      </c>
    </row>
    <row r="40" spans="1:11" ht="14.45">
      <c r="A40">
        <v>11</v>
      </c>
      <c r="C40">
        <v>19</v>
      </c>
      <c r="D40">
        <v>1</v>
      </c>
      <c r="E40">
        <v>20</v>
      </c>
      <c r="F40" s="390">
        <f t="shared" si="0"/>
        <v>0.95</v>
      </c>
      <c r="G40" s="390"/>
      <c r="H40" t="s">
        <v>61</v>
      </c>
      <c r="I40">
        <v>2</v>
      </c>
      <c r="J40">
        <v>1</v>
      </c>
      <c r="K40">
        <v>3</v>
      </c>
    </row>
    <row r="41" spans="1:11" ht="14.45">
      <c r="A41">
        <v>12</v>
      </c>
      <c r="C41">
        <v>22</v>
      </c>
      <c r="E41">
        <v>22</v>
      </c>
      <c r="F41" s="390">
        <f>SUM(B41:C41)/E41</f>
        <v>1</v>
      </c>
      <c r="G41" s="390"/>
      <c r="H41" t="s">
        <v>19</v>
      </c>
      <c r="I41">
        <v>157</v>
      </c>
      <c r="J41">
        <v>130</v>
      </c>
      <c r="K41">
        <v>287</v>
      </c>
    </row>
    <row r="42" spans="1:11" ht="14.45">
      <c r="A42" t="s">
        <v>19</v>
      </c>
      <c r="B42">
        <v>196</v>
      </c>
      <c r="C42">
        <v>65</v>
      </c>
      <c r="D42">
        <v>26</v>
      </c>
      <c r="E42">
        <v>287</v>
      </c>
    </row>
    <row r="43" spans="1:11" ht="14.45"/>
    <row r="44" spans="1:11" ht="14.45"/>
    <row r="45" spans="1:11" ht="14.45"/>
    <row r="46" spans="1:11" ht="14.45"/>
    <row r="47" spans="1:11" ht="14.45"/>
    <row r="48" spans="1:11" ht="14.45"/>
    <row r="49" spans="1:16" ht="14.45"/>
    <row r="50" spans="1:16" ht="14.45"/>
    <row r="51" spans="1:16" ht="14.45"/>
    <row r="52" spans="1:16" ht="14.45"/>
    <row r="53" spans="1:16" ht="14.45"/>
    <row r="54" spans="1:16" ht="14.45"/>
    <row r="55" spans="1:16" ht="14.45"/>
    <row r="56" spans="1:16" ht="14.45"/>
    <row r="57" spans="1:16" ht="14.45">
      <c r="P57">
        <f>109/245</f>
        <v>0.44489795918367347</v>
      </c>
    </row>
    <row r="58" spans="1:16" ht="14.45">
      <c r="P58">
        <f>136/245</f>
        <v>0.55510204081632653</v>
      </c>
    </row>
    <row r="59" spans="1:16" ht="14.45"/>
    <row r="60" spans="1:16" ht="14.45"/>
    <row r="61" spans="1:16" ht="14.45"/>
    <row r="62" spans="1:16" ht="14.45">
      <c r="A62" s="54" t="s">
        <v>14</v>
      </c>
      <c r="B62" t="s">
        <v>30</v>
      </c>
    </row>
    <row r="63" spans="1:16" ht="14.45"/>
    <row r="64" spans="1:16" ht="14.45">
      <c r="A64" s="54" t="s">
        <v>13</v>
      </c>
      <c r="B64" s="54" t="s">
        <v>29</v>
      </c>
    </row>
    <row r="65" spans="1:12" ht="14.45">
      <c r="A65" s="54" t="s">
        <v>15</v>
      </c>
      <c r="B65" t="s">
        <v>24</v>
      </c>
      <c r="C65" t="s">
        <v>25</v>
      </c>
      <c r="D65" t="s">
        <v>19</v>
      </c>
      <c r="H65" s="60" t="s">
        <v>15</v>
      </c>
    </row>
    <row r="66" spans="1:12" ht="14.45">
      <c r="A66">
        <v>1</v>
      </c>
      <c r="B66">
        <v>9</v>
      </c>
      <c r="C66">
        <v>14</v>
      </c>
      <c r="D66">
        <v>23</v>
      </c>
      <c r="H66" s="54" t="s">
        <v>13</v>
      </c>
      <c r="I66" s="54" t="s">
        <v>14</v>
      </c>
    </row>
    <row r="67" spans="1:12" ht="14.45">
      <c r="A67">
        <v>2</v>
      </c>
      <c r="B67">
        <v>9</v>
      </c>
      <c r="C67">
        <v>11</v>
      </c>
      <c r="D67">
        <v>20</v>
      </c>
      <c r="H67" s="54" t="s">
        <v>15</v>
      </c>
      <c r="I67" t="s">
        <v>16</v>
      </c>
      <c r="J67" t="s">
        <v>17</v>
      </c>
      <c r="K67" t="s">
        <v>18</v>
      </c>
      <c r="L67" t="s">
        <v>19</v>
      </c>
    </row>
    <row r="68" spans="1:12" ht="14.45">
      <c r="A68">
        <v>3</v>
      </c>
      <c r="B68">
        <v>13</v>
      </c>
      <c r="C68">
        <v>10</v>
      </c>
      <c r="D68">
        <v>23</v>
      </c>
      <c r="H68">
        <v>1</v>
      </c>
      <c r="I68">
        <v>20</v>
      </c>
      <c r="K68">
        <v>3</v>
      </c>
      <c r="L68">
        <v>23</v>
      </c>
    </row>
    <row r="69" spans="1:12" ht="14.45">
      <c r="A69">
        <v>4</v>
      </c>
      <c r="B69">
        <v>12</v>
      </c>
      <c r="C69">
        <v>15</v>
      </c>
      <c r="D69">
        <v>27</v>
      </c>
      <c r="H69">
        <v>2</v>
      </c>
      <c r="I69">
        <v>15</v>
      </c>
      <c r="J69">
        <v>1</v>
      </c>
      <c r="K69">
        <v>4</v>
      </c>
      <c r="L69">
        <v>20</v>
      </c>
    </row>
    <row r="70" spans="1:12" ht="14.45">
      <c r="A70">
        <v>5</v>
      </c>
      <c r="B70">
        <v>13</v>
      </c>
      <c r="C70">
        <v>12</v>
      </c>
      <c r="D70">
        <v>25</v>
      </c>
      <c r="H70">
        <v>3</v>
      </c>
      <c r="I70">
        <v>18</v>
      </c>
      <c r="J70">
        <v>3</v>
      </c>
      <c r="K70">
        <v>2</v>
      </c>
      <c r="L70">
        <v>23</v>
      </c>
    </row>
    <row r="71" spans="1:12" ht="14.45">
      <c r="A71">
        <v>6</v>
      </c>
      <c r="B71">
        <v>15</v>
      </c>
      <c r="C71">
        <v>10</v>
      </c>
      <c r="D71">
        <v>25</v>
      </c>
      <c r="H71">
        <v>4</v>
      </c>
      <c r="I71">
        <v>25</v>
      </c>
      <c r="J71">
        <v>1</v>
      </c>
      <c r="K71">
        <v>1</v>
      </c>
      <c r="L71">
        <v>27</v>
      </c>
    </row>
    <row r="72" spans="1:12" ht="14.45">
      <c r="A72">
        <v>7</v>
      </c>
      <c r="B72">
        <v>19</v>
      </c>
      <c r="C72">
        <v>8</v>
      </c>
      <c r="D72">
        <v>27</v>
      </c>
      <c r="H72">
        <v>5</v>
      </c>
      <c r="I72">
        <v>18</v>
      </c>
      <c r="J72">
        <v>2</v>
      </c>
      <c r="K72">
        <v>5</v>
      </c>
      <c r="L72">
        <v>25</v>
      </c>
    </row>
    <row r="73" spans="1:12" ht="14.45">
      <c r="A73">
        <v>8</v>
      </c>
      <c r="B73">
        <v>16</v>
      </c>
      <c r="C73">
        <v>10</v>
      </c>
      <c r="D73">
        <v>26</v>
      </c>
      <c r="H73">
        <v>6</v>
      </c>
      <c r="I73">
        <v>24</v>
      </c>
      <c r="K73">
        <v>1</v>
      </c>
      <c r="L73">
        <v>25</v>
      </c>
    </row>
    <row r="74" spans="1:12" ht="14.45">
      <c r="A74">
        <v>9</v>
      </c>
      <c r="B74">
        <v>15</v>
      </c>
      <c r="C74">
        <v>9</v>
      </c>
      <c r="D74">
        <v>24</v>
      </c>
      <c r="H74">
        <v>7</v>
      </c>
      <c r="I74">
        <v>24</v>
      </c>
      <c r="K74">
        <v>3</v>
      </c>
      <c r="L74">
        <v>27</v>
      </c>
    </row>
    <row r="75" spans="1:12" ht="14.45">
      <c r="A75">
        <v>10</v>
      </c>
      <c r="B75">
        <v>15</v>
      </c>
      <c r="C75">
        <v>10</v>
      </c>
      <c r="D75">
        <v>25</v>
      </c>
      <c r="H75">
        <v>8</v>
      </c>
      <c r="I75">
        <v>17</v>
      </c>
      <c r="J75">
        <v>6</v>
      </c>
      <c r="K75">
        <v>3</v>
      </c>
      <c r="L75">
        <v>26</v>
      </c>
    </row>
    <row r="76" spans="1:12" ht="14.45">
      <c r="A76">
        <v>11</v>
      </c>
      <c r="B76">
        <v>11</v>
      </c>
      <c r="C76">
        <v>9</v>
      </c>
      <c r="D76">
        <v>20</v>
      </c>
      <c r="H76">
        <v>9</v>
      </c>
      <c r="I76">
        <v>16</v>
      </c>
      <c r="J76">
        <v>6</v>
      </c>
      <c r="K76">
        <v>2</v>
      </c>
      <c r="L76">
        <v>24</v>
      </c>
    </row>
    <row r="77" spans="1:12" ht="14.45">
      <c r="A77">
        <v>12</v>
      </c>
      <c r="B77">
        <v>10</v>
      </c>
      <c r="C77">
        <v>12</v>
      </c>
      <c r="D77">
        <v>22</v>
      </c>
      <c r="H77">
        <v>10</v>
      </c>
      <c r="I77">
        <v>19</v>
      </c>
      <c r="J77">
        <v>5</v>
      </c>
      <c r="K77">
        <v>1</v>
      </c>
      <c r="L77">
        <v>25</v>
      </c>
    </row>
    <row r="78" spans="1:12" ht="14.45">
      <c r="A78" t="s">
        <v>19</v>
      </c>
      <c r="B78">
        <v>157</v>
      </c>
      <c r="C78">
        <v>130</v>
      </c>
      <c r="D78">
        <v>287</v>
      </c>
      <c r="H78">
        <v>11</v>
      </c>
      <c r="J78">
        <v>19</v>
      </c>
      <c r="K78">
        <v>1</v>
      </c>
      <c r="L78">
        <v>20</v>
      </c>
    </row>
    <row r="79" spans="1:12" ht="14.45">
      <c r="H79">
        <v>12</v>
      </c>
      <c r="J79">
        <v>22</v>
      </c>
      <c r="L79">
        <v>22</v>
      </c>
    </row>
    <row r="80" spans="1:12" ht="14.45">
      <c r="H80" t="s">
        <v>19</v>
      </c>
      <c r="I80">
        <v>196</v>
      </c>
      <c r="J80">
        <v>65</v>
      </c>
      <c r="K80">
        <v>26</v>
      </c>
      <c r="L80">
        <v>287</v>
      </c>
    </row>
    <row r="81" spans="1:5" ht="14.45"/>
    <row r="82" spans="1:5" ht="14.45"/>
    <row r="83" spans="1:5" ht="14.45"/>
    <row r="84" spans="1:5" ht="14.45"/>
    <row r="86" spans="1:5" ht="14.45"/>
    <row r="87" spans="1:5" ht="14.45"/>
    <row r="88" spans="1:5" ht="14.45"/>
    <row r="90" spans="1:5" ht="14.45">
      <c r="A90" s="54" t="s">
        <v>21</v>
      </c>
      <c r="B90" s="54" t="s">
        <v>22</v>
      </c>
    </row>
    <row r="91" spans="1:5" ht="14.45">
      <c r="A91" s="54" t="s">
        <v>23</v>
      </c>
      <c r="B91" t="s">
        <v>16</v>
      </c>
      <c r="C91" t="s">
        <v>17</v>
      </c>
      <c r="D91" t="s">
        <v>18</v>
      </c>
      <c r="E91" t="s">
        <v>19</v>
      </c>
    </row>
    <row r="92" spans="1:5" ht="14.45">
      <c r="A92" s="41" t="s">
        <v>24</v>
      </c>
      <c r="B92" s="487">
        <v>110</v>
      </c>
      <c r="C92" s="487">
        <v>14</v>
      </c>
      <c r="D92" s="487">
        <v>12</v>
      </c>
      <c r="E92" s="487">
        <v>136</v>
      </c>
    </row>
    <row r="93" spans="1:5" ht="14.45">
      <c r="A93" s="41" t="s">
        <v>25</v>
      </c>
      <c r="B93" s="487">
        <v>86</v>
      </c>
      <c r="C93" s="487">
        <v>10</v>
      </c>
      <c r="D93" s="487">
        <v>13</v>
      </c>
      <c r="E93" s="487">
        <v>109</v>
      </c>
    </row>
    <row r="94" spans="1:5" ht="14.45">
      <c r="A94" s="41" t="s">
        <v>19</v>
      </c>
      <c r="B94" s="487">
        <v>196</v>
      </c>
      <c r="C94" s="487">
        <v>24</v>
      </c>
      <c r="D94" s="487">
        <v>25</v>
      </c>
      <c r="E94" s="487">
        <v>245</v>
      </c>
    </row>
  </sheetData>
  <conditionalFormatting pivot="1" sqref="L6:L17">
    <cfRule type="dataBar" priority="5">
      <dataBar>
        <cfvo type="min"/>
        <cfvo type="max"/>
        <color rgb="FFFF555A"/>
      </dataBar>
      <extLst>
        <ext xmlns:x14="http://schemas.microsoft.com/office/spreadsheetml/2009/9/main" uri="{B025F937-C7B1-47D3-B67F-A62EFF666E3E}">
          <x14:id>{95873581-92BF-4C3E-A8D9-FCA987566874}</x14:id>
        </ext>
      </extLst>
    </cfRule>
  </conditionalFormatting>
  <conditionalFormatting pivot="1" sqref="B66:D75">
    <cfRule type="dataBar" priority="3">
      <dataBar>
        <cfvo type="min"/>
        <cfvo type="max"/>
        <color rgb="FFFF555A"/>
      </dataBar>
      <extLst>
        <ext xmlns:x14="http://schemas.microsoft.com/office/spreadsheetml/2009/9/main" uri="{B025F937-C7B1-47D3-B67F-A62EFF666E3E}">
          <x14:id>{DD44B1EB-3ACF-4902-91B0-31D07FBB9C56}</x14:id>
        </ext>
      </extLst>
    </cfRule>
  </conditionalFormatting>
  <conditionalFormatting pivot="1" sqref="I6:K17">
    <cfRule type="dataBar" priority="1">
      <dataBar>
        <cfvo type="min"/>
        <cfvo type="max"/>
        <color rgb="FFFF555A"/>
      </dataBar>
      <extLst>
        <ext xmlns:x14="http://schemas.microsoft.com/office/spreadsheetml/2009/9/main" uri="{B025F937-C7B1-47D3-B67F-A62EFF666E3E}">
          <x14:id>{A87087E6-181B-449D-9A8F-FD3A103FD2A5}</x14:id>
        </ext>
      </extLst>
    </cfRule>
  </conditionalFormatting>
  <pageMargins left="0.7" right="0.7" top="0.75" bottom="0.75" header="0.3" footer="0.3"/>
  <pageSetup paperSize="9" orientation="portrait" r:id="rId10"/>
  <extLst>
    <ext xmlns:x14="http://schemas.microsoft.com/office/spreadsheetml/2009/9/main" uri="{78C0D931-6437-407d-A8EE-F0AAD7539E65}">
      <x14:conditionalFormattings>
        <x14:conditionalFormatting xmlns:xm="http://schemas.microsoft.com/office/excel/2006/main" pivot="1">
          <x14:cfRule type="dataBar" id="{95873581-92BF-4C3E-A8D9-FCA987566874}">
            <x14:dataBar minLength="0" maxLength="100" gradient="0">
              <x14:cfvo type="autoMin"/>
              <x14:cfvo type="autoMax"/>
              <x14:negativeFillColor rgb="FFFF0000"/>
              <x14:axisColor rgb="FF000000"/>
            </x14:dataBar>
          </x14:cfRule>
          <xm:sqref>L6:L17</xm:sqref>
        </x14:conditionalFormatting>
        <x14:conditionalFormatting xmlns:xm="http://schemas.microsoft.com/office/excel/2006/main" pivot="1">
          <x14:cfRule type="dataBar" id="{DD44B1EB-3ACF-4902-91B0-31D07FBB9C56}">
            <x14:dataBar minLength="0" maxLength="100" border="1" negativeBarBorderColorSameAsPositive="0">
              <x14:cfvo type="autoMin"/>
              <x14:cfvo type="autoMax"/>
              <x14:borderColor rgb="FFFF555A"/>
              <x14:negativeFillColor rgb="FFFF0000"/>
              <x14:negativeBorderColor rgb="FFFF0000"/>
              <x14:axisColor rgb="FF000000"/>
            </x14:dataBar>
          </x14:cfRule>
          <xm:sqref>B66:D75</xm:sqref>
        </x14:conditionalFormatting>
        <x14:conditionalFormatting xmlns:xm="http://schemas.microsoft.com/office/excel/2006/main" pivot="1">
          <x14:cfRule type="dataBar" id="{A87087E6-181B-449D-9A8F-FD3A103FD2A5}">
            <x14:dataBar minLength="0" maxLength="100" gradient="0">
              <x14:cfvo type="autoMin"/>
              <x14:cfvo type="autoMax"/>
              <x14:negativeFillColor rgb="FFFF0000"/>
              <x14:axisColor rgb="FF000000"/>
            </x14:dataBar>
          </x14:cfRule>
          <xm:sqref>I6:K17</xm:sqref>
        </x14:conditionalFormatting>
      </x14:conditionalFormatting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CX311"/>
  <sheetViews>
    <sheetView tabSelected="1" topLeftCell="AJ1" zoomScaleNormal="100" workbookViewId="0">
      <pane ySplit="1" topLeftCell="A83" activePane="bottomLeft" state="frozen"/>
      <selection pane="bottomLeft" activeCell="B267" sqref="B267:B273"/>
    </sheetView>
  </sheetViews>
  <sheetFormatPr defaultRowHeight="15" customHeight="1"/>
  <cols>
    <col min="1" max="1" width="7" customWidth="1"/>
    <col min="2" max="2" width="15.85546875" customWidth="1"/>
    <col min="3" max="3" width="13.7109375" customWidth="1"/>
    <col min="4" max="4" width="16.7109375" customWidth="1"/>
    <col min="5" max="5" width="14.85546875" customWidth="1"/>
    <col min="6" max="6" width="13.5703125" customWidth="1"/>
    <col min="7" max="7" width="11.5703125" customWidth="1"/>
    <col min="8" max="8" width="15.42578125" customWidth="1"/>
    <col min="9" max="9" width="23" customWidth="1"/>
    <col min="10" max="10" width="19.85546875" customWidth="1"/>
    <col min="11" max="11" width="29.7109375" customWidth="1"/>
    <col min="12" max="12" width="33.5703125" customWidth="1"/>
    <col min="13" max="13" width="20.140625" customWidth="1"/>
    <col min="14" max="14" width="16.5703125" style="41" customWidth="1"/>
    <col min="15" max="15" width="17.140625" customWidth="1"/>
    <col min="16" max="16" width="18.42578125" style="41" customWidth="1"/>
    <col min="17" max="17" width="13.5703125" customWidth="1"/>
    <col min="18" max="18" width="24.85546875" customWidth="1"/>
    <col min="19" max="19" width="24.85546875" style="42" customWidth="1"/>
    <col min="20" max="20" width="29.5703125" style="43" customWidth="1"/>
    <col min="21" max="21" width="34.42578125" customWidth="1"/>
    <col min="22" max="22" width="14.5703125" customWidth="1"/>
    <col min="23" max="23" width="39.42578125" style="41" customWidth="1"/>
    <col min="24" max="24" width="19.42578125" style="41" customWidth="1"/>
    <col min="25" max="25" width="12.85546875" style="41" customWidth="1"/>
    <col min="26" max="26" width="11.5703125" style="41" customWidth="1"/>
    <col min="27" max="27" width="11.5703125" customWidth="1"/>
    <col min="28" max="28" width="14.140625" customWidth="1"/>
    <col min="29" max="29" width="11.42578125" style="279" customWidth="1"/>
    <col min="30" max="30" width="11.5703125" customWidth="1"/>
    <col min="31" max="31" width="33.140625" customWidth="1"/>
    <col min="32" max="32" width="29.5703125" customWidth="1"/>
    <col min="33" max="33" width="21.7109375" customWidth="1"/>
    <col min="34" max="34" width="13.5703125" style="44" customWidth="1"/>
    <col min="35" max="35" width="26.5703125" customWidth="1"/>
    <col min="36" max="36" width="17.5703125" customWidth="1"/>
    <col min="37" max="37" width="15.42578125" customWidth="1"/>
    <col min="38" max="38" width="11.42578125" style="44" customWidth="1"/>
    <col min="39" max="39" width="14.42578125" style="44" customWidth="1"/>
    <col min="40" max="40" width="15.85546875" style="44" customWidth="1"/>
    <col min="41" max="41" width="17.42578125" style="51" customWidth="1"/>
    <col min="42" max="42" width="29.140625" style="51" customWidth="1"/>
    <col min="43" max="43" width="25.28515625" style="51" customWidth="1"/>
    <col min="44" max="44" width="13.42578125" style="44" customWidth="1"/>
    <col min="45" max="45" width="18.7109375" customWidth="1"/>
    <col min="46" max="46" width="42.42578125" style="42" customWidth="1"/>
    <col min="47" max="47" width="24.7109375" customWidth="1"/>
    <col min="48" max="48" width="13" customWidth="1"/>
    <col min="49" max="49" width="10.85546875" customWidth="1"/>
    <col min="50" max="50" width="14.140625" customWidth="1"/>
    <col min="51" max="51" width="13.85546875" style="44" customWidth="1"/>
    <col min="52" max="52" width="15.28515625" customWidth="1"/>
    <col min="53" max="53" width="13" customWidth="1"/>
    <col min="54" max="54" width="13.5703125" customWidth="1"/>
    <col min="55" max="55" width="23.85546875" customWidth="1"/>
    <col min="56" max="56" width="13.5703125" customWidth="1"/>
    <col min="57" max="57" width="54.28515625" customWidth="1"/>
    <col min="58" max="58" width="11.5703125" customWidth="1"/>
    <col min="59" max="59" width="14.28515625" customWidth="1"/>
    <col min="60" max="60" width="15" customWidth="1"/>
    <col min="61" max="61" width="14" customWidth="1"/>
    <col min="62" max="62" width="12.42578125" customWidth="1"/>
    <col min="63" max="63" width="13" customWidth="1"/>
    <col min="64" max="64" width="13.85546875" customWidth="1"/>
    <col min="65" max="65" width="16.5703125" style="45" customWidth="1"/>
    <col min="66" max="66" width="13.85546875" customWidth="1"/>
    <col min="67" max="68" width="16.42578125" style="44" customWidth="1"/>
    <col min="69" max="69" width="20.42578125" customWidth="1"/>
    <col min="70" max="71" width="9.140625" customWidth="1"/>
    <col min="72" max="72" width="13.28515625" customWidth="1"/>
    <col min="73" max="73" width="15.85546875" customWidth="1"/>
    <col min="74" max="74" width="12.42578125" customWidth="1"/>
    <col min="75" max="75" width="16.5703125" customWidth="1"/>
    <col min="76" max="76" width="15.42578125" customWidth="1"/>
    <col min="77" max="77" width="14.42578125" customWidth="1"/>
    <col min="78" max="78" width="17.7109375" customWidth="1"/>
    <col min="79" max="79" width="20" customWidth="1"/>
    <col min="80" max="80" width="18.28515625" customWidth="1"/>
    <col min="81" max="81" width="22.85546875" customWidth="1"/>
    <col min="82" max="82" width="21" customWidth="1"/>
    <col min="83" max="83" width="19.28515625" customWidth="1"/>
    <col min="84" max="84" width="17.140625" customWidth="1"/>
    <col min="85" max="85" width="17.7109375" customWidth="1"/>
    <col min="86" max="86" width="17.140625" customWidth="1"/>
    <col min="87" max="88" width="17.5703125" customWidth="1"/>
    <col min="89" max="89" width="21.42578125" customWidth="1"/>
    <col min="90" max="90" width="13.42578125" customWidth="1"/>
    <col min="91" max="95" width="8.85546875" customWidth="1"/>
    <col min="96" max="96" width="14.42578125" customWidth="1"/>
    <col min="97" max="97" width="12.5703125" style="49" customWidth="1"/>
    <col min="98" max="99" width="11.5703125" style="49" customWidth="1"/>
    <col min="100" max="100" width="8.85546875" customWidth="1"/>
    <col min="101" max="102" width="12.5703125" style="49" customWidth="1"/>
    <col min="103" max="104" width="8.85546875" customWidth="1"/>
    <col min="105" max="105" width="9.85546875" customWidth="1"/>
    <col min="106" max="106" width="17.5703125" customWidth="1"/>
  </cols>
  <sheetData>
    <row r="1" spans="1:90" s="52" customFormat="1" ht="52.5" customHeight="1">
      <c r="A1" s="296" t="s">
        <v>62</v>
      </c>
      <c r="B1" s="297" t="s">
        <v>63</v>
      </c>
      <c r="C1" s="297" t="s">
        <v>64</v>
      </c>
      <c r="D1" s="297" t="s">
        <v>65</v>
      </c>
      <c r="E1" s="297" t="s">
        <v>66</v>
      </c>
      <c r="F1" s="297" t="s">
        <v>29</v>
      </c>
      <c r="G1" s="297" t="s">
        <v>15</v>
      </c>
      <c r="H1" s="297" t="s">
        <v>50</v>
      </c>
      <c r="I1" s="297" t="s">
        <v>34</v>
      </c>
      <c r="J1" s="297" t="s">
        <v>67</v>
      </c>
      <c r="K1" s="297" t="s">
        <v>68</v>
      </c>
      <c r="L1" s="297" t="s">
        <v>32</v>
      </c>
      <c r="M1" s="297" t="s">
        <v>69</v>
      </c>
      <c r="N1" s="297" t="s">
        <v>70</v>
      </c>
      <c r="O1" s="297" t="s">
        <v>71</v>
      </c>
      <c r="P1" s="297" t="s">
        <v>72</v>
      </c>
      <c r="Q1" s="297" t="s">
        <v>73</v>
      </c>
      <c r="R1" s="297" t="s">
        <v>74</v>
      </c>
      <c r="S1" s="297" t="s">
        <v>75</v>
      </c>
      <c r="T1" s="298" t="s">
        <v>76</v>
      </c>
      <c r="U1" s="271" t="s">
        <v>77</v>
      </c>
      <c r="V1" s="271" t="s">
        <v>78</v>
      </c>
      <c r="W1" s="271" t="s">
        <v>79</v>
      </c>
      <c r="X1" s="271" t="s">
        <v>80</v>
      </c>
      <c r="Y1" s="272" t="s">
        <v>81</v>
      </c>
      <c r="Z1" s="272" t="s">
        <v>82</v>
      </c>
      <c r="AA1" s="271" t="s">
        <v>83</v>
      </c>
      <c r="AB1" s="273" t="s">
        <v>84</v>
      </c>
      <c r="AC1" s="278" t="s">
        <v>85</v>
      </c>
      <c r="AD1" s="273" t="s">
        <v>18</v>
      </c>
      <c r="AE1" s="273" t="s">
        <v>86</v>
      </c>
      <c r="AF1" s="273" t="s">
        <v>87</v>
      </c>
      <c r="AG1" s="273" t="s">
        <v>88</v>
      </c>
      <c r="AH1" s="273" t="s">
        <v>89</v>
      </c>
      <c r="AI1" s="273" t="s">
        <v>90</v>
      </c>
      <c r="AJ1" s="273" t="s">
        <v>91</v>
      </c>
      <c r="AK1" s="273" t="s">
        <v>92</v>
      </c>
      <c r="AL1" s="272" t="s">
        <v>93</v>
      </c>
      <c r="AM1" s="272" t="s">
        <v>94</v>
      </c>
      <c r="AN1" s="272" t="s">
        <v>95</v>
      </c>
      <c r="AO1" s="272" t="s">
        <v>96</v>
      </c>
      <c r="AP1" s="272" t="s">
        <v>97</v>
      </c>
      <c r="AQ1" s="272" t="s">
        <v>98</v>
      </c>
      <c r="AR1" s="272" t="s">
        <v>99</v>
      </c>
      <c r="AS1" s="272" t="s">
        <v>100</v>
      </c>
      <c r="AT1" s="394" t="s">
        <v>101</v>
      </c>
      <c r="AU1" s="273" t="s">
        <v>102</v>
      </c>
      <c r="AV1" s="273" t="s">
        <v>103</v>
      </c>
      <c r="AW1" s="273" t="s">
        <v>104</v>
      </c>
      <c r="AX1" s="273" t="s">
        <v>105</v>
      </c>
      <c r="AY1" s="273" t="s">
        <v>106</v>
      </c>
      <c r="AZ1" s="273" t="s">
        <v>107</v>
      </c>
      <c r="BA1" s="273" t="s">
        <v>108</v>
      </c>
      <c r="BB1" s="273" t="s">
        <v>109</v>
      </c>
      <c r="BC1" s="273" t="s">
        <v>110</v>
      </c>
      <c r="BD1" s="273" t="s">
        <v>111</v>
      </c>
      <c r="BE1" s="273" t="s">
        <v>112</v>
      </c>
      <c r="BF1" s="273" t="s">
        <v>113</v>
      </c>
      <c r="BG1" s="273" t="s">
        <v>114</v>
      </c>
      <c r="BH1" s="273" t="s">
        <v>115</v>
      </c>
      <c r="BI1" s="273" t="s">
        <v>116</v>
      </c>
      <c r="BJ1" s="273" t="s">
        <v>117</v>
      </c>
      <c r="BK1" s="273" t="s">
        <v>118</v>
      </c>
      <c r="BL1" s="273" t="s">
        <v>119</v>
      </c>
      <c r="BM1" s="274" t="s">
        <v>120</v>
      </c>
      <c r="BN1" s="273" t="s">
        <v>14</v>
      </c>
      <c r="BO1" s="275" t="s">
        <v>121</v>
      </c>
      <c r="BP1" s="275" t="s">
        <v>122</v>
      </c>
      <c r="BQ1" s="273" t="s">
        <v>123</v>
      </c>
      <c r="BR1" s="273" t="s">
        <v>124</v>
      </c>
      <c r="BS1" s="273" t="s">
        <v>125</v>
      </c>
      <c r="BT1" s="273" t="s">
        <v>126</v>
      </c>
      <c r="BU1" s="273" t="s">
        <v>127</v>
      </c>
      <c r="BV1" s="273" t="s">
        <v>128</v>
      </c>
      <c r="BW1" s="273" t="s">
        <v>129</v>
      </c>
      <c r="BX1" s="273" t="s">
        <v>130</v>
      </c>
      <c r="BY1" s="273" t="s">
        <v>131</v>
      </c>
      <c r="BZ1" s="273" t="s">
        <v>132</v>
      </c>
      <c r="CA1" s="273" t="s">
        <v>133</v>
      </c>
      <c r="CB1" s="276" t="s">
        <v>134</v>
      </c>
      <c r="CC1" s="276" t="s">
        <v>135</v>
      </c>
      <c r="CD1" s="273" t="s">
        <v>136</v>
      </c>
      <c r="CE1" s="273" t="s">
        <v>137</v>
      </c>
      <c r="CF1" s="273" t="s">
        <v>138</v>
      </c>
      <c r="CG1" s="273" t="s">
        <v>139</v>
      </c>
      <c r="CH1" s="368" t="s">
        <v>140</v>
      </c>
      <c r="CI1" s="273" t="s">
        <v>141</v>
      </c>
      <c r="CJ1" s="273" t="s">
        <v>142</v>
      </c>
      <c r="CK1" s="273" t="s">
        <v>143</v>
      </c>
      <c r="CL1" s="277"/>
    </row>
    <row r="2" spans="1:90" ht="26.1" customHeight="1">
      <c r="A2" s="75">
        <v>1</v>
      </c>
      <c r="B2" s="75" t="s">
        <v>144</v>
      </c>
      <c r="C2" s="75" t="s">
        <v>145</v>
      </c>
      <c r="D2" s="75" t="s">
        <v>146</v>
      </c>
      <c r="E2" s="75" t="s">
        <v>147</v>
      </c>
      <c r="F2" s="75" t="s">
        <v>25</v>
      </c>
      <c r="G2" s="75">
        <v>1</v>
      </c>
      <c r="H2" s="75" t="s">
        <v>54</v>
      </c>
      <c r="I2" s="75" t="s">
        <v>31</v>
      </c>
      <c r="J2" s="75" t="s">
        <v>148</v>
      </c>
      <c r="K2" s="75" t="s">
        <v>149</v>
      </c>
      <c r="L2" s="75" t="s">
        <v>31</v>
      </c>
      <c r="M2" s="75" t="s">
        <v>150</v>
      </c>
      <c r="N2" s="210"/>
      <c r="O2" s="2" t="s">
        <v>151</v>
      </c>
      <c r="P2" s="3" t="s">
        <v>151</v>
      </c>
      <c r="Q2" s="75" t="s">
        <v>151</v>
      </c>
      <c r="R2" s="75" t="s">
        <v>152</v>
      </c>
      <c r="S2" s="75" t="s">
        <v>153</v>
      </c>
      <c r="T2" s="338"/>
      <c r="U2" s="211" t="s">
        <v>154</v>
      </c>
      <c r="V2" s="211">
        <v>28116</v>
      </c>
      <c r="W2" s="82" t="s">
        <v>155</v>
      </c>
      <c r="X2" s="82" t="s">
        <v>156</v>
      </c>
      <c r="Y2" s="82" t="s">
        <v>157</v>
      </c>
      <c r="Z2" s="82" t="s">
        <v>158</v>
      </c>
      <c r="AA2" s="76">
        <v>16.5</v>
      </c>
      <c r="AB2" s="77">
        <v>40603</v>
      </c>
      <c r="AC2" s="77">
        <v>40603</v>
      </c>
      <c r="AD2" s="77"/>
      <c r="AE2" s="4" t="s">
        <v>159</v>
      </c>
      <c r="AF2" s="6" t="s">
        <v>160</v>
      </c>
      <c r="AG2" s="6"/>
      <c r="AH2" s="75">
        <f t="shared" ref="AH2:AH31" si="0">COUNTA(AE2:AG2)</f>
        <v>2</v>
      </c>
      <c r="AI2" s="4" t="s">
        <v>161</v>
      </c>
      <c r="AJ2" s="4" t="s">
        <v>162</v>
      </c>
      <c r="AK2" s="5"/>
      <c r="AL2" s="5" t="s">
        <v>150</v>
      </c>
      <c r="AM2" s="5" t="s">
        <v>163</v>
      </c>
      <c r="AN2" s="5"/>
      <c r="AO2" s="2" t="s">
        <v>164</v>
      </c>
      <c r="AP2" s="5"/>
      <c r="AQ2" s="5" t="s">
        <v>165</v>
      </c>
      <c r="AR2" s="5" t="s">
        <v>150</v>
      </c>
      <c r="AS2" s="5"/>
      <c r="AT2" s="395" t="s">
        <v>166</v>
      </c>
      <c r="AU2" s="75" t="s">
        <v>167</v>
      </c>
      <c r="AV2" s="77"/>
      <c r="AW2" s="78">
        <v>40634</v>
      </c>
      <c r="AX2" s="78">
        <v>40878</v>
      </c>
      <c r="AY2" s="78" t="s">
        <v>150</v>
      </c>
      <c r="AZ2" s="78"/>
      <c r="BA2" s="78"/>
      <c r="BB2" s="78"/>
      <c r="BC2" s="78"/>
      <c r="BD2" s="78"/>
      <c r="BE2" s="79"/>
      <c r="BF2" s="78">
        <v>41456</v>
      </c>
      <c r="BG2" s="78" t="s">
        <v>150</v>
      </c>
      <c r="BH2" s="78">
        <v>41699</v>
      </c>
      <c r="BI2" s="78" t="s">
        <v>150</v>
      </c>
      <c r="BJ2" s="77"/>
      <c r="BK2" s="77"/>
      <c r="BL2" s="77"/>
      <c r="BM2" s="80">
        <v>42766</v>
      </c>
      <c r="BN2" s="75" t="s">
        <v>16</v>
      </c>
      <c r="BO2" s="212">
        <f>DATEDIF(AW2,BM2, "M")+1</f>
        <v>70</v>
      </c>
      <c r="BP2" s="75">
        <f>DATEDIF(AX2,BM2, "M")+1</f>
        <v>62</v>
      </c>
      <c r="BQ2" s="75"/>
      <c r="BR2" s="75">
        <v>20</v>
      </c>
      <c r="BS2" s="75">
        <v>29</v>
      </c>
      <c r="BT2" s="75">
        <v>26</v>
      </c>
      <c r="BU2" s="75">
        <v>2</v>
      </c>
      <c r="BV2" s="75">
        <v>3</v>
      </c>
      <c r="BW2" s="75">
        <v>0</v>
      </c>
      <c r="BX2" s="75">
        <v>0</v>
      </c>
      <c r="BY2" s="75" t="s">
        <v>163</v>
      </c>
      <c r="BZ2" s="75" t="s">
        <v>163</v>
      </c>
      <c r="CA2" s="75"/>
      <c r="CB2" s="81"/>
      <c r="CC2" s="81"/>
      <c r="CD2" s="75"/>
      <c r="CE2" s="75" t="s">
        <v>163</v>
      </c>
      <c r="CF2" s="75"/>
      <c r="CG2" s="75"/>
      <c r="CH2" s="369">
        <v>0</v>
      </c>
      <c r="CI2" s="75">
        <v>1</v>
      </c>
      <c r="CJ2" s="75"/>
      <c r="CK2" s="75" t="s">
        <v>168</v>
      </c>
      <c r="CL2" s="367"/>
    </row>
    <row r="3" spans="1:90" ht="24.95" customHeight="1">
      <c r="A3" s="75">
        <v>2</v>
      </c>
      <c r="B3" s="75" t="s">
        <v>169</v>
      </c>
      <c r="C3" s="75" t="s">
        <v>170</v>
      </c>
      <c r="D3" s="75"/>
      <c r="E3" s="75" t="s">
        <v>171</v>
      </c>
      <c r="F3" s="75" t="s">
        <v>24</v>
      </c>
      <c r="G3" s="75">
        <v>1</v>
      </c>
      <c r="H3" s="75" t="s">
        <v>55</v>
      </c>
      <c r="I3" s="75" t="s">
        <v>43</v>
      </c>
      <c r="J3" s="75" t="s">
        <v>172</v>
      </c>
      <c r="K3" s="75" t="s">
        <v>173</v>
      </c>
      <c r="L3" s="75" t="s">
        <v>41</v>
      </c>
      <c r="M3" s="75" t="s">
        <v>163</v>
      </c>
      <c r="N3" s="210"/>
      <c r="O3" s="2" t="s">
        <v>151</v>
      </c>
      <c r="P3" s="3" t="s">
        <v>151</v>
      </c>
      <c r="Q3" s="75"/>
      <c r="R3" s="75" t="s">
        <v>174</v>
      </c>
      <c r="S3" s="75" t="s">
        <v>175</v>
      </c>
      <c r="T3" s="339" t="s">
        <v>176</v>
      </c>
      <c r="U3" s="211" t="s">
        <v>177</v>
      </c>
      <c r="V3" s="211">
        <v>29416</v>
      </c>
      <c r="W3" s="82" t="s">
        <v>178</v>
      </c>
      <c r="X3" s="82" t="s">
        <v>179</v>
      </c>
      <c r="Y3" s="82" t="s">
        <v>163</v>
      </c>
      <c r="Z3" s="82" t="s">
        <v>158</v>
      </c>
      <c r="AA3" s="76">
        <v>26</v>
      </c>
      <c r="AB3" s="77">
        <v>40616</v>
      </c>
      <c r="AC3" s="77">
        <v>40603</v>
      </c>
      <c r="AD3" s="77"/>
      <c r="AE3" s="6" t="s">
        <v>180</v>
      </c>
      <c r="AF3" s="6"/>
      <c r="AG3" s="6"/>
      <c r="AH3" s="75">
        <f t="shared" si="0"/>
        <v>1</v>
      </c>
      <c r="AI3" s="8" t="s">
        <v>162</v>
      </c>
      <c r="AJ3" s="8"/>
      <c r="AK3" s="8"/>
      <c r="AL3" s="8" t="s">
        <v>150</v>
      </c>
      <c r="AM3" s="8"/>
      <c r="AN3" s="8"/>
      <c r="AO3" s="8" t="s">
        <v>164</v>
      </c>
      <c r="AP3" s="8" t="s">
        <v>181</v>
      </c>
      <c r="AQ3" s="8" t="s">
        <v>182</v>
      </c>
      <c r="AR3" s="8" t="s">
        <v>150</v>
      </c>
      <c r="AS3" s="8"/>
      <c r="AT3" s="395" t="s">
        <v>183</v>
      </c>
      <c r="AU3" s="75" t="s">
        <v>184</v>
      </c>
      <c r="AV3" s="77"/>
      <c r="AW3" s="78">
        <v>40637</v>
      </c>
      <c r="AX3" s="78">
        <v>40878</v>
      </c>
      <c r="AY3" s="78" t="s">
        <v>150</v>
      </c>
      <c r="AZ3" s="78">
        <v>41186</v>
      </c>
      <c r="BA3" s="78"/>
      <c r="BB3" s="78">
        <v>41473</v>
      </c>
      <c r="BC3" s="78"/>
      <c r="BD3" s="78"/>
      <c r="BE3" s="79" t="s">
        <v>185</v>
      </c>
      <c r="BF3" s="78">
        <v>41458</v>
      </c>
      <c r="BG3" s="78" t="s">
        <v>150</v>
      </c>
      <c r="BH3" s="78">
        <v>41700</v>
      </c>
      <c r="BI3" s="78" t="s">
        <v>150</v>
      </c>
      <c r="BJ3" s="77">
        <v>42986</v>
      </c>
      <c r="BK3" s="77">
        <v>43006</v>
      </c>
      <c r="BL3" s="77">
        <v>43023</v>
      </c>
      <c r="BM3" s="80">
        <v>43023</v>
      </c>
      <c r="BN3" s="75" t="s">
        <v>16</v>
      </c>
      <c r="BO3" s="212">
        <f t="shared" ref="BO3:BO20" si="1">DATEDIF(AW3,BM3, "M")+1</f>
        <v>79</v>
      </c>
      <c r="BP3" s="75">
        <f t="shared" ref="BP3:BP21" si="2">DATEDIF(AX3,BM3, "M")+1</f>
        <v>71</v>
      </c>
      <c r="BQ3" s="82" t="s">
        <v>185</v>
      </c>
      <c r="BR3" s="75">
        <v>0</v>
      </c>
      <c r="BS3" s="75">
        <v>0</v>
      </c>
      <c r="BT3" s="75">
        <v>0</v>
      </c>
      <c r="BU3" s="75">
        <v>0</v>
      </c>
      <c r="BV3" s="75">
        <v>0</v>
      </c>
      <c r="BW3" s="75">
        <v>0</v>
      </c>
      <c r="BX3" s="75">
        <v>0</v>
      </c>
      <c r="BY3" s="75" t="s">
        <v>163</v>
      </c>
      <c r="BZ3" s="75" t="s">
        <v>163</v>
      </c>
      <c r="CA3" s="75"/>
      <c r="CB3" s="81"/>
      <c r="CC3" s="81"/>
      <c r="CD3" s="75"/>
      <c r="CE3" s="75" t="s">
        <v>163</v>
      </c>
      <c r="CF3" s="75"/>
      <c r="CG3" s="75"/>
      <c r="CH3" s="369">
        <v>2</v>
      </c>
      <c r="CI3" s="75">
        <v>2</v>
      </c>
      <c r="CJ3" s="75">
        <v>0</v>
      </c>
      <c r="CK3" s="75" t="s">
        <v>168</v>
      </c>
    </row>
    <row r="4" spans="1:90" ht="24.95" customHeight="1">
      <c r="A4" s="75">
        <v>3</v>
      </c>
      <c r="B4" s="75" t="s">
        <v>186</v>
      </c>
      <c r="C4" s="75" t="s">
        <v>187</v>
      </c>
      <c r="D4" s="75" t="s">
        <v>188</v>
      </c>
      <c r="E4" s="75" t="s">
        <v>189</v>
      </c>
      <c r="F4" s="75" t="s">
        <v>24</v>
      </c>
      <c r="G4" s="75">
        <v>1</v>
      </c>
      <c r="H4" s="75" t="s">
        <v>52</v>
      </c>
      <c r="I4" s="75" t="s">
        <v>37</v>
      </c>
      <c r="J4" s="75" t="s">
        <v>190</v>
      </c>
      <c r="K4" s="75" t="s">
        <v>191</v>
      </c>
      <c r="L4" s="75" t="s">
        <v>37</v>
      </c>
      <c r="M4" s="75" t="s">
        <v>150</v>
      </c>
      <c r="N4" s="210" t="s">
        <v>192</v>
      </c>
      <c r="O4" s="2" t="s">
        <v>193</v>
      </c>
      <c r="P4" s="3" t="s">
        <v>151</v>
      </c>
      <c r="Q4" s="75"/>
      <c r="R4" s="385" t="s">
        <v>194</v>
      </c>
      <c r="S4" s="75" t="s">
        <v>195</v>
      </c>
      <c r="T4" s="339" t="s">
        <v>196</v>
      </c>
      <c r="U4" s="211" t="s">
        <v>197</v>
      </c>
      <c r="V4" s="211">
        <v>29767</v>
      </c>
      <c r="W4" s="82" t="s">
        <v>198</v>
      </c>
      <c r="X4" s="82" t="s">
        <v>179</v>
      </c>
      <c r="Y4" s="82" t="s">
        <v>163</v>
      </c>
      <c r="Z4" s="82" t="s">
        <v>158</v>
      </c>
      <c r="AA4" s="76">
        <v>2.5</v>
      </c>
      <c r="AB4" s="77">
        <v>40827</v>
      </c>
      <c r="AC4" s="77">
        <v>40603</v>
      </c>
      <c r="AD4" s="77"/>
      <c r="AE4" s="4" t="s">
        <v>199</v>
      </c>
      <c r="AF4" s="6" t="s">
        <v>200</v>
      </c>
      <c r="AG4" s="6" t="s">
        <v>201</v>
      </c>
      <c r="AH4" s="75">
        <f t="shared" si="0"/>
        <v>3</v>
      </c>
      <c r="AI4" s="2" t="s">
        <v>161</v>
      </c>
      <c r="AJ4" s="2" t="s">
        <v>162</v>
      </c>
      <c r="AK4" s="2" t="s">
        <v>202</v>
      </c>
      <c r="AL4" s="2" t="s">
        <v>150</v>
      </c>
      <c r="AM4" s="2" t="s">
        <v>163</v>
      </c>
      <c r="AN4" s="2" t="s">
        <v>150</v>
      </c>
      <c r="AO4" s="2" t="s">
        <v>164</v>
      </c>
      <c r="AP4" s="2" t="s">
        <v>203</v>
      </c>
      <c r="AQ4" s="2" t="s">
        <v>203</v>
      </c>
      <c r="AR4" s="2" t="s">
        <v>150</v>
      </c>
      <c r="AS4" s="2"/>
      <c r="AT4" s="396" t="s">
        <v>204</v>
      </c>
      <c r="AU4" s="75" t="s">
        <v>205</v>
      </c>
      <c r="AV4" s="77"/>
      <c r="AW4" s="78">
        <v>40634</v>
      </c>
      <c r="AX4" s="78">
        <v>40878</v>
      </c>
      <c r="AY4" s="78" t="s">
        <v>150</v>
      </c>
      <c r="AZ4" s="78"/>
      <c r="BA4" s="78"/>
      <c r="BB4" s="78"/>
      <c r="BC4" s="78"/>
      <c r="BD4" s="78"/>
      <c r="BE4" s="79"/>
      <c r="BF4" s="78">
        <v>41456</v>
      </c>
      <c r="BG4" s="78" t="s">
        <v>150</v>
      </c>
      <c r="BH4" s="78">
        <v>41701</v>
      </c>
      <c r="BI4" s="78" t="s">
        <v>150</v>
      </c>
      <c r="BJ4" s="77"/>
      <c r="BK4" s="77"/>
      <c r="BL4" s="77"/>
      <c r="BM4" s="80">
        <v>41729</v>
      </c>
      <c r="BN4" s="75" t="s">
        <v>16</v>
      </c>
      <c r="BO4" s="212">
        <f t="shared" si="1"/>
        <v>36</v>
      </c>
      <c r="BP4" s="75">
        <f t="shared" si="2"/>
        <v>28</v>
      </c>
      <c r="BQ4" s="75"/>
      <c r="BR4" s="75">
        <v>0</v>
      </c>
      <c r="BS4" s="75">
        <v>1</v>
      </c>
      <c r="BT4" s="75">
        <v>1</v>
      </c>
      <c r="BU4" s="75">
        <v>2</v>
      </c>
      <c r="BV4" s="75">
        <v>0</v>
      </c>
      <c r="BW4" s="75">
        <v>0</v>
      </c>
      <c r="BX4" s="75">
        <v>0</v>
      </c>
      <c r="BY4" s="75" t="s">
        <v>206</v>
      </c>
      <c r="BZ4" s="75" t="s">
        <v>163</v>
      </c>
      <c r="CA4" s="75"/>
      <c r="CB4" s="81"/>
      <c r="CC4" s="81"/>
      <c r="CD4" s="75"/>
      <c r="CE4" s="75" t="s">
        <v>163</v>
      </c>
      <c r="CF4" s="75"/>
      <c r="CG4" s="75"/>
      <c r="CH4" s="369" t="s">
        <v>168</v>
      </c>
      <c r="CI4" s="75" t="s">
        <v>168</v>
      </c>
      <c r="CJ4" s="75"/>
      <c r="CK4" s="75" t="s">
        <v>168</v>
      </c>
    </row>
    <row r="5" spans="1:90" ht="24.95" customHeight="1">
      <c r="A5" s="75">
        <v>4</v>
      </c>
      <c r="B5" s="75" t="s">
        <v>207</v>
      </c>
      <c r="C5" s="75" t="s">
        <v>208</v>
      </c>
      <c r="D5" s="75"/>
      <c r="E5" s="75" t="s">
        <v>209</v>
      </c>
      <c r="F5" s="75" t="s">
        <v>25</v>
      </c>
      <c r="G5" s="75">
        <v>1</v>
      </c>
      <c r="H5" s="75" t="s">
        <v>55</v>
      </c>
      <c r="I5" s="75" t="s">
        <v>43</v>
      </c>
      <c r="J5" s="75" t="s">
        <v>172</v>
      </c>
      <c r="K5" s="75" t="s">
        <v>210</v>
      </c>
      <c r="L5" s="75" t="s">
        <v>41</v>
      </c>
      <c r="M5" s="75" t="s">
        <v>163</v>
      </c>
      <c r="N5" s="210"/>
      <c r="O5" s="2" t="s">
        <v>151</v>
      </c>
      <c r="P5" s="3" t="s">
        <v>151</v>
      </c>
      <c r="Q5" s="75" t="s">
        <v>151</v>
      </c>
      <c r="R5" s="385" t="s">
        <v>211</v>
      </c>
      <c r="S5" s="75" t="s">
        <v>212</v>
      </c>
      <c r="T5" s="338" t="s">
        <v>213</v>
      </c>
      <c r="U5" s="211" t="s">
        <v>214</v>
      </c>
      <c r="V5" s="211">
        <v>29587</v>
      </c>
      <c r="W5" s="82" t="s">
        <v>215</v>
      </c>
      <c r="X5" s="82" t="s">
        <v>179</v>
      </c>
      <c r="Y5" s="82" t="s">
        <v>163</v>
      </c>
      <c r="Z5" s="82" t="s">
        <v>158</v>
      </c>
      <c r="AA5" s="76">
        <v>24</v>
      </c>
      <c r="AB5" s="77">
        <v>40695</v>
      </c>
      <c r="AC5" s="77">
        <v>40603</v>
      </c>
      <c r="AD5" s="77"/>
      <c r="AE5" s="6" t="s">
        <v>216</v>
      </c>
      <c r="AF5" s="6"/>
      <c r="AG5" s="6"/>
      <c r="AH5" s="75">
        <f t="shared" si="0"/>
        <v>1</v>
      </c>
      <c r="AI5" s="2" t="s">
        <v>162</v>
      </c>
      <c r="AJ5" s="2" t="s">
        <v>202</v>
      </c>
      <c r="AK5" s="2"/>
      <c r="AL5" s="2" t="s">
        <v>150</v>
      </c>
      <c r="AM5" s="2" t="s">
        <v>150</v>
      </c>
      <c r="AN5" s="2"/>
      <c r="AO5" s="2" t="s">
        <v>164</v>
      </c>
      <c r="AP5" s="2" t="s">
        <v>181</v>
      </c>
      <c r="AQ5" s="2" t="s">
        <v>217</v>
      </c>
      <c r="AR5" s="2" t="s">
        <v>150</v>
      </c>
      <c r="AS5" s="2" t="s">
        <v>218</v>
      </c>
      <c r="AT5" s="396" t="s">
        <v>219</v>
      </c>
      <c r="AU5" s="75" t="s">
        <v>220</v>
      </c>
      <c r="AV5" s="77"/>
      <c r="AW5" s="78">
        <v>40634</v>
      </c>
      <c r="AX5" s="78">
        <v>40878</v>
      </c>
      <c r="AY5" s="78" t="s">
        <v>150</v>
      </c>
      <c r="AZ5" s="78"/>
      <c r="BA5" s="78"/>
      <c r="BB5" s="75"/>
      <c r="BC5" s="75"/>
      <c r="BD5" s="75"/>
      <c r="BE5" s="82"/>
      <c r="BF5" s="78">
        <v>41456</v>
      </c>
      <c r="BG5" s="78" t="s">
        <v>150</v>
      </c>
      <c r="BH5" s="78">
        <v>41702</v>
      </c>
      <c r="BI5" s="78" t="s">
        <v>150</v>
      </c>
      <c r="BJ5" s="77"/>
      <c r="BK5" s="77"/>
      <c r="BL5" s="77"/>
      <c r="BM5" s="80">
        <v>42338</v>
      </c>
      <c r="BN5" s="75" t="s">
        <v>16</v>
      </c>
      <c r="BO5" s="212">
        <f t="shared" si="1"/>
        <v>56</v>
      </c>
      <c r="BP5" s="75">
        <f t="shared" si="2"/>
        <v>48</v>
      </c>
      <c r="BQ5" s="75"/>
      <c r="BR5" s="75">
        <v>0</v>
      </c>
      <c r="BS5" s="75">
        <v>2</v>
      </c>
      <c r="BT5" s="75">
        <v>7</v>
      </c>
      <c r="BU5" s="75">
        <v>2</v>
      </c>
      <c r="BV5" s="75">
        <v>0</v>
      </c>
      <c r="BW5" s="75">
        <v>0</v>
      </c>
      <c r="BX5" s="75">
        <v>0</v>
      </c>
      <c r="BY5" s="75" t="s">
        <v>163</v>
      </c>
      <c r="BZ5" s="75" t="s">
        <v>163</v>
      </c>
      <c r="CA5" s="75"/>
      <c r="CB5" s="81"/>
      <c r="CC5" s="81"/>
      <c r="CD5" s="75"/>
      <c r="CE5" s="75" t="s">
        <v>150</v>
      </c>
      <c r="CF5" s="75"/>
      <c r="CG5" s="75"/>
      <c r="CH5" s="369">
        <v>1</v>
      </c>
      <c r="CI5" s="75">
        <v>3</v>
      </c>
      <c r="CJ5" s="75"/>
      <c r="CK5" s="75" t="s">
        <v>168</v>
      </c>
    </row>
    <row r="6" spans="1:90" ht="27.6" customHeight="1">
      <c r="A6" s="75">
        <v>5</v>
      </c>
      <c r="B6" s="75" t="s">
        <v>221</v>
      </c>
      <c r="C6" s="75" t="s">
        <v>222</v>
      </c>
      <c r="D6" s="75"/>
      <c r="E6" s="75" t="s">
        <v>223</v>
      </c>
      <c r="F6" s="75" t="s">
        <v>25</v>
      </c>
      <c r="G6" s="75">
        <v>1</v>
      </c>
      <c r="H6" s="75" t="s">
        <v>53</v>
      </c>
      <c r="I6" s="75" t="s">
        <v>46</v>
      </c>
      <c r="J6" s="75" t="s">
        <v>224</v>
      </c>
      <c r="K6" s="75" t="s">
        <v>225</v>
      </c>
      <c r="L6" s="75" t="s">
        <v>45</v>
      </c>
      <c r="M6" s="75" t="s">
        <v>163</v>
      </c>
      <c r="N6" s="210"/>
      <c r="O6" s="2" t="s">
        <v>151</v>
      </c>
      <c r="P6" s="3" t="s">
        <v>151</v>
      </c>
      <c r="Q6" s="75" t="s">
        <v>151</v>
      </c>
      <c r="R6" s="75" t="s">
        <v>226</v>
      </c>
      <c r="S6" s="75" t="s">
        <v>227</v>
      </c>
      <c r="T6" s="338"/>
      <c r="U6" s="211" t="s">
        <v>228</v>
      </c>
      <c r="V6" s="211">
        <v>26178</v>
      </c>
      <c r="W6" s="82" t="s">
        <v>229</v>
      </c>
      <c r="X6" s="82" t="s">
        <v>156</v>
      </c>
      <c r="Y6" s="82" t="s">
        <v>157</v>
      </c>
      <c r="Z6" s="82" t="s">
        <v>158</v>
      </c>
      <c r="AA6" s="76">
        <v>21</v>
      </c>
      <c r="AB6" s="77">
        <v>40646</v>
      </c>
      <c r="AC6" s="77">
        <v>40603</v>
      </c>
      <c r="AD6" s="77"/>
      <c r="AE6" s="6" t="s">
        <v>230</v>
      </c>
      <c r="AF6" s="6" t="s">
        <v>231</v>
      </c>
      <c r="AG6" s="6"/>
      <c r="AH6" s="75">
        <f t="shared" si="0"/>
        <v>2</v>
      </c>
      <c r="AI6" s="2" t="s">
        <v>162</v>
      </c>
      <c r="AJ6" s="2" t="s">
        <v>161</v>
      </c>
      <c r="AK6" s="2"/>
      <c r="AL6" s="2" t="s">
        <v>150</v>
      </c>
      <c r="AM6" s="2" t="s">
        <v>163</v>
      </c>
      <c r="AN6" s="2"/>
      <c r="AO6" s="2" t="s">
        <v>164</v>
      </c>
      <c r="AP6" s="2" t="s">
        <v>203</v>
      </c>
      <c r="AQ6" s="2" t="s">
        <v>232</v>
      </c>
      <c r="AR6" s="2" t="s">
        <v>150</v>
      </c>
      <c r="AS6" s="2"/>
      <c r="AT6" s="396" t="s">
        <v>233</v>
      </c>
      <c r="AU6" s="75" t="s">
        <v>234</v>
      </c>
      <c r="AV6" s="77"/>
      <c r="AW6" s="78">
        <v>40634</v>
      </c>
      <c r="AX6" s="78">
        <v>40878</v>
      </c>
      <c r="AY6" s="78" t="s">
        <v>150</v>
      </c>
      <c r="AZ6" s="78"/>
      <c r="BA6" s="78"/>
      <c r="BB6" s="78"/>
      <c r="BC6" s="78"/>
      <c r="BD6" s="78"/>
      <c r="BE6" s="79"/>
      <c r="BF6" s="78">
        <v>41456</v>
      </c>
      <c r="BG6" s="78" t="s">
        <v>150</v>
      </c>
      <c r="BH6" s="78">
        <v>42064</v>
      </c>
      <c r="BI6" s="78" t="s">
        <v>163</v>
      </c>
      <c r="BJ6" s="77"/>
      <c r="BK6" s="77"/>
      <c r="BL6" s="77"/>
      <c r="BM6" s="80">
        <v>42551</v>
      </c>
      <c r="BN6" s="75" t="s">
        <v>16</v>
      </c>
      <c r="BO6" s="212">
        <f t="shared" si="1"/>
        <v>63</v>
      </c>
      <c r="BP6" s="75">
        <f t="shared" si="2"/>
        <v>55</v>
      </c>
      <c r="BQ6" s="75"/>
      <c r="BR6" s="75">
        <v>0</v>
      </c>
      <c r="BS6" s="75">
        <v>5</v>
      </c>
      <c r="BT6" s="75">
        <v>15</v>
      </c>
      <c r="BU6" s="75">
        <v>4</v>
      </c>
      <c r="BV6" s="75">
        <v>0</v>
      </c>
      <c r="BW6" s="75">
        <v>0</v>
      </c>
      <c r="BX6" s="75">
        <v>0</v>
      </c>
      <c r="BY6" s="75" t="s">
        <v>163</v>
      </c>
      <c r="BZ6" s="75" t="s">
        <v>163</v>
      </c>
      <c r="CA6" s="75"/>
      <c r="CB6" s="81"/>
      <c r="CC6" s="81"/>
      <c r="CD6" s="75"/>
      <c r="CE6" s="75" t="s">
        <v>163</v>
      </c>
      <c r="CF6" s="75"/>
      <c r="CG6" s="75"/>
      <c r="CH6" s="369" t="s">
        <v>168</v>
      </c>
      <c r="CI6" s="75" t="s">
        <v>168</v>
      </c>
      <c r="CJ6" s="75"/>
      <c r="CK6" s="75" t="s">
        <v>168</v>
      </c>
    </row>
    <row r="7" spans="1:90" ht="24.95" customHeight="1">
      <c r="A7" s="75">
        <v>6</v>
      </c>
      <c r="B7" s="75" t="s">
        <v>235</v>
      </c>
      <c r="C7" s="75" t="s">
        <v>236</v>
      </c>
      <c r="D7" s="75" t="s">
        <v>237</v>
      </c>
      <c r="E7" s="75" t="s">
        <v>238</v>
      </c>
      <c r="F7" s="75" t="s">
        <v>24</v>
      </c>
      <c r="G7" s="75">
        <v>1</v>
      </c>
      <c r="H7" s="75" t="s">
        <v>59</v>
      </c>
      <c r="I7" s="75" t="s">
        <v>40</v>
      </c>
      <c r="J7" s="75" t="s">
        <v>239</v>
      </c>
      <c r="K7" s="75"/>
      <c r="L7" s="75" t="s">
        <v>45</v>
      </c>
      <c r="M7" s="75" t="s">
        <v>163</v>
      </c>
      <c r="N7" s="210"/>
      <c r="O7" s="2" t="s">
        <v>151</v>
      </c>
      <c r="P7" s="3" t="s">
        <v>240</v>
      </c>
      <c r="Q7" s="75" t="s">
        <v>151</v>
      </c>
      <c r="R7" s="75" t="s">
        <v>241</v>
      </c>
      <c r="S7" s="75" t="s">
        <v>242</v>
      </c>
      <c r="T7" s="339" t="s">
        <v>243</v>
      </c>
      <c r="U7" s="77" t="s">
        <v>244</v>
      </c>
      <c r="V7" s="77">
        <v>28383</v>
      </c>
      <c r="W7" s="82" t="s">
        <v>245</v>
      </c>
      <c r="X7" s="82" t="s">
        <v>179</v>
      </c>
      <c r="Y7" s="82" t="s">
        <v>163</v>
      </c>
      <c r="Z7" s="82" t="s">
        <v>158</v>
      </c>
      <c r="AA7" s="76">
        <v>16</v>
      </c>
      <c r="AB7" s="77">
        <v>40609</v>
      </c>
      <c r="AC7" s="77">
        <v>40603</v>
      </c>
      <c r="AD7" s="77"/>
      <c r="AE7" s="6" t="s">
        <v>246</v>
      </c>
      <c r="AF7" s="6" t="s">
        <v>247</v>
      </c>
      <c r="AG7" s="6" t="s">
        <v>248</v>
      </c>
      <c r="AH7" s="75">
        <f t="shared" si="0"/>
        <v>3</v>
      </c>
      <c r="AI7" s="4" t="s">
        <v>162</v>
      </c>
      <c r="AJ7" s="2" t="s">
        <v>161</v>
      </c>
      <c r="AK7" s="2" t="s">
        <v>161</v>
      </c>
      <c r="AL7" s="2" t="s">
        <v>150</v>
      </c>
      <c r="AM7" s="2" t="s">
        <v>150</v>
      </c>
      <c r="AN7" s="2" t="s">
        <v>163</v>
      </c>
      <c r="AO7" s="2" t="s">
        <v>182</v>
      </c>
      <c r="AP7" s="2" t="s">
        <v>249</v>
      </c>
      <c r="AQ7" s="2" t="s">
        <v>250</v>
      </c>
      <c r="AR7" s="2" t="s">
        <v>150</v>
      </c>
      <c r="AS7" s="2"/>
      <c r="AT7" s="396" t="s">
        <v>251</v>
      </c>
      <c r="AU7" s="75"/>
      <c r="AV7" s="77"/>
      <c r="AW7" s="78">
        <v>40634</v>
      </c>
      <c r="AX7" s="78">
        <v>40878</v>
      </c>
      <c r="AY7" s="78" t="s">
        <v>150</v>
      </c>
      <c r="AZ7" s="78"/>
      <c r="BA7" s="78"/>
      <c r="BB7" s="78"/>
      <c r="BC7" s="78"/>
      <c r="BD7" s="78"/>
      <c r="BE7" s="79"/>
      <c r="BF7" s="78">
        <v>41456</v>
      </c>
      <c r="BG7" s="78" t="s">
        <v>150</v>
      </c>
      <c r="BH7" s="78">
        <v>41699</v>
      </c>
      <c r="BI7" s="78" t="s">
        <v>150</v>
      </c>
      <c r="BJ7" s="77"/>
      <c r="BK7" s="77"/>
      <c r="BL7" s="77"/>
      <c r="BM7" s="80">
        <v>43073</v>
      </c>
      <c r="BN7" s="75" t="s">
        <v>16</v>
      </c>
      <c r="BO7" s="212">
        <f t="shared" si="1"/>
        <v>81</v>
      </c>
      <c r="BP7" s="75">
        <f t="shared" si="2"/>
        <v>73</v>
      </c>
      <c r="BQ7" s="75"/>
      <c r="BR7" s="75" t="s">
        <v>168</v>
      </c>
      <c r="BS7" s="75">
        <v>4</v>
      </c>
      <c r="BT7" s="75">
        <v>1</v>
      </c>
      <c r="BU7" s="75">
        <v>0</v>
      </c>
      <c r="BV7" s="75">
        <v>0</v>
      </c>
      <c r="BW7" s="75">
        <v>0</v>
      </c>
      <c r="BX7" s="75">
        <v>1</v>
      </c>
      <c r="BY7" s="75" t="s">
        <v>252</v>
      </c>
      <c r="BZ7" s="75" t="s">
        <v>163</v>
      </c>
      <c r="CA7" s="75"/>
      <c r="CB7" s="81"/>
      <c r="CC7" s="81"/>
      <c r="CD7" s="75"/>
      <c r="CE7" s="75" t="s">
        <v>163</v>
      </c>
      <c r="CF7" s="75"/>
      <c r="CG7" s="75"/>
      <c r="CH7" s="369">
        <v>3</v>
      </c>
      <c r="CI7" s="75">
        <v>3</v>
      </c>
      <c r="CJ7" s="75"/>
      <c r="CK7" s="75" t="s">
        <v>168</v>
      </c>
    </row>
    <row r="8" spans="1:90" ht="24.95" customHeight="1">
      <c r="A8" s="75">
        <v>7</v>
      </c>
      <c r="B8" s="75" t="s">
        <v>253</v>
      </c>
      <c r="C8" s="75" t="s">
        <v>254</v>
      </c>
      <c r="D8" s="75" t="s">
        <v>255</v>
      </c>
      <c r="E8" s="75" t="s">
        <v>256</v>
      </c>
      <c r="F8" s="75" t="s">
        <v>24</v>
      </c>
      <c r="G8" s="75">
        <v>1</v>
      </c>
      <c r="H8" s="75" t="s">
        <v>53</v>
      </c>
      <c r="I8" s="75" t="s">
        <v>46</v>
      </c>
      <c r="J8" s="75" t="s">
        <v>257</v>
      </c>
      <c r="K8" s="75" t="s">
        <v>258</v>
      </c>
      <c r="L8" s="75" t="s">
        <v>45</v>
      </c>
      <c r="M8" s="75" t="s">
        <v>163</v>
      </c>
      <c r="N8" s="210"/>
      <c r="O8" s="2" t="s">
        <v>151</v>
      </c>
      <c r="P8" s="3" t="s">
        <v>151</v>
      </c>
      <c r="Q8" s="75" t="s">
        <v>151</v>
      </c>
      <c r="R8" s="75" t="s">
        <v>259</v>
      </c>
      <c r="S8" s="83" t="s">
        <v>260</v>
      </c>
      <c r="T8" s="338"/>
      <c r="U8" s="211" t="s">
        <v>261</v>
      </c>
      <c r="V8" s="211">
        <v>26090</v>
      </c>
      <c r="W8" s="82" t="s">
        <v>262</v>
      </c>
      <c r="X8" s="82" t="s">
        <v>179</v>
      </c>
      <c r="Y8" s="82" t="s">
        <v>163</v>
      </c>
      <c r="Z8" s="82" t="s">
        <v>158</v>
      </c>
      <c r="AA8" s="76">
        <v>7.5</v>
      </c>
      <c r="AB8" s="77">
        <v>40577</v>
      </c>
      <c r="AC8" s="77">
        <v>40603</v>
      </c>
      <c r="AD8" s="77"/>
      <c r="AE8" s="6" t="s">
        <v>263</v>
      </c>
      <c r="AF8" s="6" t="s">
        <v>264</v>
      </c>
      <c r="AG8" s="6" t="s">
        <v>265</v>
      </c>
      <c r="AH8" s="75">
        <f t="shared" si="0"/>
        <v>3</v>
      </c>
      <c r="AI8" s="4" t="s">
        <v>162</v>
      </c>
      <c r="AJ8" s="2" t="s">
        <v>202</v>
      </c>
      <c r="AK8" s="2" t="s">
        <v>161</v>
      </c>
      <c r="AL8" s="2" t="s">
        <v>150</v>
      </c>
      <c r="AM8" s="2" t="s">
        <v>163</v>
      </c>
      <c r="AN8" s="2" t="s">
        <v>163</v>
      </c>
      <c r="AO8" s="2" t="s">
        <v>164</v>
      </c>
      <c r="AP8" s="2" t="s">
        <v>203</v>
      </c>
      <c r="AQ8" s="2" t="s">
        <v>266</v>
      </c>
      <c r="AR8" s="2" t="s">
        <v>150</v>
      </c>
      <c r="AS8" s="2"/>
      <c r="AT8" s="396" t="s">
        <v>267</v>
      </c>
      <c r="AU8" s="75" t="s">
        <v>268</v>
      </c>
      <c r="AV8" s="77"/>
      <c r="AW8" s="78">
        <v>40634</v>
      </c>
      <c r="AX8" s="78">
        <v>40878</v>
      </c>
      <c r="AY8" s="78" t="s">
        <v>150</v>
      </c>
      <c r="AZ8" s="78"/>
      <c r="BA8" s="78"/>
      <c r="BB8" s="78"/>
      <c r="BC8" s="78"/>
      <c r="BD8" s="78"/>
      <c r="BE8" s="79"/>
      <c r="BF8" s="78">
        <v>41456</v>
      </c>
      <c r="BG8" s="78" t="s">
        <v>150</v>
      </c>
      <c r="BH8" s="78">
        <v>41700</v>
      </c>
      <c r="BI8" s="78" t="s">
        <v>150</v>
      </c>
      <c r="BJ8" s="77"/>
      <c r="BK8" s="77"/>
      <c r="BL8" s="77"/>
      <c r="BM8" s="80">
        <v>42674</v>
      </c>
      <c r="BN8" s="75" t="s">
        <v>16</v>
      </c>
      <c r="BO8" s="212">
        <f t="shared" si="1"/>
        <v>67</v>
      </c>
      <c r="BP8" s="75">
        <f t="shared" si="2"/>
        <v>59</v>
      </c>
      <c r="BQ8" s="75"/>
      <c r="BR8" s="75">
        <v>1</v>
      </c>
      <c r="BS8" s="75">
        <v>7</v>
      </c>
      <c r="BT8" s="75">
        <v>47</v>
      </c>
      <c r="BU8" s="75">
        <v>3</v>
      </c>
      <c r="BV8" s="75">
        <v>0</v>
      </c>
      <c r="BW8" s="75">
        <v>0</v>
      </c>
      <c r="BX8" s="75">
        <v>0</v>
      </c>
      <c r="BY8" s="75" t="s">
        <v>163</v>
      </c>
      <c r="BZ8" s="75" t="s">
        <v>163</v>
      </c>
      <c r="CA8" s="75"/>
      <c r="CB8" s="81"/>
      <c r="CC8" s="81"/>
      <c r="CD8" s="75"/>
      <c r="CE8" s="75" t="s">
        <v>163</v>
      </c>
      <c r="CF8" s="75"/>
      <c r="CG8" s="75"/>
      <c r="CH8" s="369">
        <v>2</v>
      </c>
      <c r="CI8" s="75">
        <v>2</v>
      </c>
      <c r="CJ8" s="75"/>
      <c r="CK8" s="75" t="s">
        <v>168</v>
      </c>
    </row>
    <row r="9" spans="1:90" ht="24.95" customHeight="1">
      <c r="A9" s="75">
        <v>8</v>
      </c>
      <c r="B9" s="75" t="s">
        <v>269</v>
      </c>
      <c r="C9" s="75" t="s">
        <v>270</v>
      </c>
      <c r="D9" s="75" t="s">
        <v>271</v>
      </c>
      <c r="E9" s="75" t="s">
        <v>272</v>
      </c>
      <c r="F9" s="75" t="s">
        <v>25</v>
      </c>
      <c r="G9" s="75">
        <v>1</v>
      </c>
      <c r="H9" s="75" t="s">
        <v>54</v>
      </c>
      <c r="I9" s="75" t="s">
        <v>39</v>
      </c>
      <c r="J9" s="75" t="s">
        <v>273</v>
      </c>
      <c r="K9" s="75" t="s">
        <v>274</v>
      </c>
      <c r="L9" s="75" t="s">
        <v>31</v>
      </c>
      <c r="M9" s="75" t="s">
        <v>163</v>
      </c>
      <c r="N9" s="210">
        <v>125847</v>
      </c>
      <c r="O9" s="8" t="s">
        <v>151</v>
      </c>
      <c r="P9" s="9" t="s">
        <v>151</v>
      </c>
      <c r="Q9" s="75"/>
      <c r="R9" s="385" t="s">
        <v>275</v>
      </c>
      <c r="S9" s="75" t="s">
        <v>276</v>
      </c>
      <c r="T9" s="339" t="s">
        <v>277</v>
      </c>
      <c r="U9" s="211" t="s">
        <v>278</v>
      </c>
      <c r="V9" s="211">
        <v>26085</v>
      </c>
      <c r="W9" s="82" t="s">
        <v>279</v>
      </c>
      <c r="X9" s="82" t="s">
        <v>179</v>
      </c>
      <c r="Y9" s="82" t="s">
        <v>163</v>
      </c>
      <c r="Z9" s="82" t="s">
        <v>158</v>
      </c>
      <c r="AA9" s="76">
        <v>14</v>
      </c>
      <c r="AB9" s="77">
        <v>40739</v>
      </c>
      <c r="AC9" s="77">
        <v>40603</v>
      </c>
      <c r="AD9" s="77"/>
      <c r="AE9" s="75" t="s">
        <v>280</v>
      </c>
      <c r="AF9" s="75" t="s">
        <v>281</v>
      </c>
      <c r="AG9" s="6"/>
      <c r="AH9" s="75">
        <f t="shared" si="0"/>
        <v>2</v>
      </c>
      <c r="AI9" s="8" t="s">
        <v>282</v>
      </c>
      <c r="AJ9" s="8"/>
      <c r="AK9" s="8"/>
      <c r="AL9" s="8" t="s">
        <v>150</v>
      </c>
      <c r="AM9" s="8"/>
      <c r="AN9" s="8"/>
      <c r="AO9" s="8" t="s">
        <v>164</v>
      </c>
      <c r="AP9" s="8" t="s">
        <v>283</v>
      </c>
      <c r="AQ9" s="2" t="s">
        <v>250</v>
      </c>
      <c r="AR9" s="8" t="s">
        <v>150</v>
      </c>
      <c r="AS9" s="8" t="s">
        <v>284</v>
      </c>
      <c r="AT9" s="395" t="s">
        <v>285</v>
      </c>
      <c r="AU9" s="75" t="s">
        <v>286</v>
      </c>
      <c r="AV9" s="77"/>
      <c r="AW9" s="78">
        <v>40634</v>
      </c>
      <c r="AX9" s="78">
        <v>40878</v>
      </c>
      <c r="AY9" s="78" t="s">
        <v>150</v>
      </c>
      <c r="AZ9" s="78"/>
      <c r="BA9" s="78"/>
      <c r="BB9" s="78"/>
      <c r="BC9" s="78"/>
      <c r="BD9" s="78"/>
      <c r="BE9" s="79"/>
      <c r="BF9" s="78">
        <v>41456</v>
      </c>
      <c r="BG9" s="78" t="s">
        <v>150</v>
      </c>
      <c r="BH9" s="78">
        <v>41701</v>
      </c>
      <c r="BI9" s="78" t="s">
        <v>150</v>
      </c>
      <c r="BJ9" s="77"/>
      <c r="BK9" s="77"/>
      <c r="BL9" s="77"/>
      <c r="BM9" s="80">
        <v>42325</v>
      </c>
      <c r="BN9" s="75" t="s">
        <v>16</v>
      </c>
      <c r="BO9" s="212">
        <f t="shared" si="1"/>
        <v>56</v>
      </c>
      <c r="BP9" s="75">
        <f t="shared" si="2"/>
        <v>48</v>
      </c>
      <c r="BQ9" s="75"/>
      <c r="BR9" s="75">
        <v>5</v>
      </c>
      <c r="BS9" s="75">
        <v>12</v>
      </c>
      <c r="BT9" s="75">
        <v>10</v>
      </c>
      <c r="BU9" s="75">
        <v>6</v>
      </c>
      <c r="BV9" s="75">
        <v>4</v>
      </c>
      <c r="BW9" s="75">
        <v>2</v>
      </c>
      <c r="BX9" s="75">
        <v>0</v>
      </c>
      <c r="BY9" s="75" t="s">
        <v>163</v>
      </c>
      <c r="BZ9" s="75" t="s">
        <v>163</v>
      </c>
      <c r="CA9" s="75"/>
      <c r="CB9" s="81"/>
      <c r="CC9" s="81"/>
      <c r="CD9" s="75"/>
      <c r="CE9" s="75" t="s">
        <v>163</v>
      </c>
      <c r="CF9" s="75"/>
      <c r="CG9" s="75"/>
      <c r="CH9" s="369" t="s">
        <v>168</v>
      </c>
      <c r="CI9" s="75" t="s">
        <v>168</v>
      </c>
      <c r="CJ9" s="75"/>
      <c r="CK9" s="75" t="s">
        <v>168</v>
      </c>
    </row>
    <row r="10" spans="1:90" ht="24.95" customHeight="1">
      <c r="A10" s="75">
        <v>9</v>
      </c>
      <c r="B10" s="75" t="s">
        <v>287</v>
      </c>
      <c r="C10" s="75" t="s">
        <v>288</v>
      </c>
      <c r="D10" s="75"/>
      <c r="E10" s="75" t="s">
        <v>289</v>
      </c>
      <c r="F10" s="75" t="s">
        <v>25</v>
      </c>
      <c r="G10" s="75">
        <v>1</v>
      </c>
      <c r="H10" s="75" t="s">
        <v>53</v>
      </c>
      <c r="I10" s="75" t="s">
        <v>46</v>
      </c>
      <c r="J10" s="75" t="s">
        <v>290</v>
      </c>
      <c r="K10" s="75" t="s">
        <v>291</v>
      </c>
      <c r="L10" s="75" t="s">
        <v>44</v>
      </c>
      <c r="M10" s="75" t="s">
        <v>150</v>
      </c>
      <c r="N10" s="210"/>
      <c r="O10" s="2" t="s">
        <v>193</v>
      </c>
      <c r="P10" s="3" t="s">
        <v>168</v>
      </c>
      <c r="Q10" s="75"/>
      <c r="R10" s="75" t="s">
        <v>292</v>
      </c>
      <c r="S10" s="82" t="s">
        <v>293</v>
      </c>
      <c r="T10" s="338"/>
      <c r="U10" s="211" t="s">
        <v>294</v>
      </c>
      <c r="V10" s="211">
        <v>26541</v>
      </c>
      <c r="W10" s="82" t="s">
        <v>295</v>
      </c>
      <c r="X10" s="82" t="s">
        <v>179</v>
      </c>
      <c r="Y10" s="82" t="s">
        <v>163</v>
      </c>
      <c r="Z10" s="82" t="s">
        <v>158</v>
      </c>
      <c r="AA10" s="76">
        <v>11</v>
      </c>
      <c r="AB10" s="77">
        <v>40544</v>
      </c>
      <c r="AC10" s="77">
        <v>40603</v>
      </c>
      <c r="AD10" s="77"/>
      <c r="AE10" s="6" t="s">
        <v>296</v>
      </c>
      <c r="AF10" s="6" t="s">
        <v>297</v>
      </c>
      <c r="AG10" s="6"/>
      <c r="AH10" s="75">
        <f t="shared" si="0"/>
        <v>2</v>
      </c>
      <c r="AI10" s="2" t="s">
        <v>161</v>
      </c>
      <c r="AJ10" s="2" t="s">
        <v>162</v>
      </c>
      <c r="AK10" s="2"/>
      <c r="AL10" s="2" t="s">
        <v>150</v>
      </c>
      <c r="AM10" s="2" t="s">
        <v>150</v>
      </c>
      <c r="AN10" s="2"/>
      <c r="AO10" s="2" t="s">
        <v>164</v>
      </c>
      <c r="AP10" s="2"/>
      <c r="AQ10" s="2" t="s">
        <v>203</v>
      </c>
      <c r="AR10" s="2"/>
      <c r="AS10" s="2"/>
      <c r="AT10" s="396" t="s">
        <v>298</v>
      </c>
      <c r="AU10" s="75" t="s">
        <v>299</v>
      </c>
      <c r="AV10" s="77"/>
      <c r="AW10" s="78">
        <v>40634</v>
      </c>
      <c r="AX10" s="78">
        <v>40878</v>
      </c>
      <c r="AY10" s="78" t="s">
        <v>150</v>
      </c>
      <c r="AZ10" s="78"/>
      <c r="BA10" s="78"/>
      <c r="BB10" s="78"/>
      <c r="BC10" s="78"/>
      <c r="BD10" s="78"/>
      <c r="BE10" s="79"/>
      <c r="BF10" s="78">
        <v>41456</v>
      </c>
      <c r="BG10" s="78" t="s">
        <v>150</v>
      </c>
      <c r="BH10" s="78">
        <v>41702</v>
      </c>
      <c r="BI10" s="78" t="s">
        <v>150</v>
      </c>
      <c r="BJ10" s="77"/>
      <c r="BK10" s="77"/>
      <c r="BL10" s="77"/>
      <c r="BM10" s="80">
        <v>42613</v>
      </c>
      <c r="BN10" s="75" t="s">
        <v>16</v>
      </c>
      <c r="BO10" s="212">
        <f t="shared" si="1"/>
        <v>65</v>
      </c>
      <c r="BP10" s="75">
        <f t="shared" si="2"/>
        <v>57</v>
      </c>
      <c r="BQ10" s="75"/>
      <c r="BR10" s="75">
        <v>7</v>
      </c>
      <c r="BS10" s="75">
        <v>6</v>
      </c>
      <c r="BT10" s="75">
        <v>1</v>
      </c>
      <c r="BU10" s="75">
        <v>3</v>
      </c>
      <c r="BV10" s="75">
        <v>1</v>
      </c>
      <c r="BW10" s="75">
        <v>0</v>
      </c>
      <c r="BX10" s="75">
        <v>0</v>
      </c>
      <c r="BY10" s="75" t="s">
        <v>163</v>
      </c>
      <c r="BZ10" s="75" t="s">
        <v>163</v>
      </c>
      <c r="CA10" s="75"/>
      <c r="CB10" s="81"/>
      <c r="CC10" s="81"/>
      <c r="CD10" s="75"/>
      <c r="CE10" s="75" t="s">
        <v>163</v>
      </c>
      <c r="CF10" s="75"/>
      <c r="CG10" s="75"/>
      <c r="CH10" s="369" t="s">
        <v>168</v>
      </c>
      <c r="CI10" s="75" t="s">
        <v>168</v>
      </c>
      <c r="CJ10" s="75"/>
      <c r="CK10" s="75" t="s">
        <v>168</v>
      </c>
    </row>
    <row r="11" spans="1:90" ht="24.95" customHeight="1">
      <c r="A11" s="75">
        <v>10</v>
      </c>
      <c r="B11" s="75" t="s">
        <v>300</v>
      </c>
      <c r="C11" s="75" t="s">
        <v>301</v>
      </c>
      <c r="D11" s="75"/>
      <c r="E11" s="75" t="s">
        <v>302</v>
      </c>
      <c r="F11" s="75" t="s">
        <v>25</v>
      </c>
      <c r="G11" s="75">
        <v>1</v>
      </c>
      <c r="H11" s="75" t="s">
        <v>55</v>
      </c>
      <c r="I11" s="75" t="s">
        <v>43</v>
      </c>
      <c r="J11" s="75" t="s">
        <v>303</v>
      </c>
      <c r="K11" s="75" t="s">
        <v>173</v>
      </c>
      <c r="L11" s="75" t="s">
        <v>43</v>
      </c>
      <c r="M11" s="75" t="s">
        <v>150</v>
      </c>
      <c r="N11" s="210">
        <v>213004253</v>
      </c>
      <c r="O11" s="2" t="s">
        <v>151</v>
      </c>
      <c r="P11" s="3" t="s">
        <v>151</v>
      </c>
      <c r="Q11" s="75" t="s">
        <v>151</v>
      </c>
      <c r="R11" s="385" t="s">
        <v>304</v>
      </c>
      <c r="S11" s="75" t="s">
        <v>305</v>
      </c>
      <c r="T11" s="339" t="s">
        <v>306</v>
      </c>
      <c r="U11" s="211" t="s">
        <v>307</v>
      </c>
      <c r="V11" s="211">
        <v>26915</v>
      </c>
      <c r="W11" s="82" t="s">
        <v>308</v>
      </c>
      <c r="X11" s="82" t="s">
        <v>179</v>
      </c>
      <c r="Y11" s="82" t="s">
        <v>163</v>
      </c>
      <c r="Z11" s="82" t="s">
        <v>309</v>
      </c>
      <c r="AA11" s="76">
        <v>13</v>
      </c>
      <c r="AB11" s="77">
        <v>40823</v>
      </c>
      <c r="AC11" s="77">
        <v>40603</v>
      </c>
      <c r="AD11" s="77"/>
      <c r="AE11" s="6" t="s">
        <v>310</v>
      </c>
      <c r="AF11" s="6" t="s">
        <v>311</v>
      </c>
      <c r="AG11" s="6" t="s">
        <v>312</v>
      </c>
      <c r="AH11" s="75">
        <f t="shared" si="0"/>
        <v>3</v>
      </c>
      <c r="AI11" s="2" t="s">
        <v>282</v>
      </c>
      <c r="AJ11" s="2" t="s">
        <v>161</v>
      </c>
      <c r="AK11" s="2" t="s">
        <v>161</v>
      </c>
      <c r="AL11" s="2" t="s">
        <v>150</v>
      </c>
      <c r="AM11" s="2" t="s">
        <v>150</v>
      </c>
      <c r="AN11" s="2" t="s">
        <v>163</v>
      </c>
      <c r="AO11" s="2" t="s">
        <v>164</v>
      </c>
      <c r="AP11" s="2" t="s">
        <v>181</v>
      </c>
      <c r="AQ11" s="2" t="s">
        <v>313</v>
      </c>
      <c r="AR11" s="2" t="s">
        <v>150</v>
      </c>
      <c r="AS11" s="2" t="s">
        <v>314</v>
      </c>
      <c r="AT11" s="396" t="s">
        <v>219</v>
      </c>
      <c r="AU11" s="75" t="s">
        <v>315</v>
      </c>
      <c r="AV11" s="77"/>
      <c r="AW11" s="78">
        <v>40634</v>
      </c>
      <c r="AX11" s="78">
        <v>40878</v>
      </c>
      <c r="AY11" s="78" t="s">
        <v>150</v>
      </c>
      <c r="AZ11" s="78">
        <v>40672</v>
      </c>
      <c r="BA11" s="75"/>
      <c r="BB11" s="78">
        <v>41298</v>
      </c>
      <c r="BC11" s="78"/>
      <c r="BD11" s="78"/>
      <c r="BE11" s="79"/>
      <c r="BF11" s="78">
        <v>41484</v>
      </c>
      <c r="BG11" s="78" t="s">
        <v>150</v>
      </c>
      <c r="BH11" s="78">
        <v>41703</v>
      </c>
      <c r="BI11" s="78" t="s">
        <v>150</v>
      </c>
      <c r="BJ11" s="77">
        <v>42507</v>
      </c>
      <c r="BK11" s="77">
        <v>42947</v>
      </c>
      <c r="BL11" s="77">
        <v>42967</v>
      </c>
      <c r="BM11" s="80">
        <v>42947</v>
      </c>
      <c r="BN11" s="75" t="s">
        <v>16</v>
      </c>
      <c r="BO11" s="212">
        <f t="shared" si="1"/>
        <v>76</v>
      </c>
      <c r="BP11" s="75">
        <f t="shared" si="2"/>
        <v>68</v>
      </c>
      <c r="BQ11" s="82" t="s">
        <v>316</v>
      </c>
      <c r="BR11" s="75">
        <v>0</v>
      </c>
      <c r="BS11" s="75">
        <v>4</v>
      </c>
      <c r="BT11" s="75">
        <v>9</v>
      </c>
      <c r="BU11" s="75">
        <v>1</v>
      </c>
      <c r="BV11" s="75">
        <v>4</v>
      </c>
      <c r="BW11" s="75">
        <v>0</v>
      </c>
      <c r="BX11" s="75">
        <v>0</v>
      </c>
      <c r="BY11" s="75" t="s">
        <v>163</v>
      </c>
      <c r="BZ11" s="75" t="s">
        <v>163</v>
      </c>
      <c r="CA11" s="75"/>
      <c r="CB11" s="81"/>
      <c r="CC11" s="81"/>
      <c r="CD11" s="75"/>
      <c r="CE11" s="75" t="s">
        <v>163</v>
      </c>
      <c r="CF11" s="75"/>
      <c r="CG11" s="75"/>
      <c r="CH11" s="369">
        <v>3</v>
      </c>
      <c r="CI11" s="75">
        <v>4</v>
      </c>
      <c r="CJ11" s="75"/>
      <c r="CK11" s="75" t="s">
        <v>168</v>
      </c>
    </row>
    <row r="12" spans="1:90" ht="32.1" customHeight="1">
      <c r="A12" s="75">
        <v>11</v>
      </c>
      <c r="B12" s="75" t="s">
        <v>317</v>
      </c>
      <c r="C12" s="75" t="s">
        <v>318</v>
      </c>
      <c r="D12" s="75" t="s">
        <v>319</v>
      </c>
      <c r="E12" s="75" t="s">
        <v>320</v>
      </c>
      <c r="F12" s="75" t="s">
        <v>25</v>
      </c>
      <c r="G12" s="75">
        <v>1</v>
      </c>
      <c r="H12" s="75" t="s">
        <v>54</v>
      </c>
      <c r="I12" s="75" t="s">
        <v>31</v>
      </c>
      <c r="J12" s="75" t="s">
        <v>321</v>
      </c>
      <c r="K12" s="75" t="s">
        <v>149</v>
      </c>
      <c r="L12" s="75" t="s">
        <v>31</v>
      </c>
      <c r="M12" s="75" t="s">
        <v>150</v>
      </c>
      <c r="N12" s="210"/>
      <c r="O12" s="2" t="s">
        <v>322</v>
      </c>
      <c r="P12" s="3" t="s">
        <v>151</v>
      </c>
      <c r="Q12" s="75" t="s">
        <v>151</v>
      </c>
      <c r="R12" s="385" t="s">
        <v>323</v>
      </c>
      <c r="S12" s="82" t="s">
        <v>324</v>
      </c>
      <c r="T12" s="339" t="s">
        <v>325</v>
      </c>
      <c r="U12" s="211" t="s">
        <v>326</v>
      </c>
      <c r="V12" s="211">
        <v>28098</v>
      </c>
      <c r="W12" s="82" t="s">
        <v>327</v>
      </c>
      <c r="X12" s="82" t="s">
        <v>179</v>
      </c>
      <c r="Y12" s="82" t="s">
        <v>163</v>
      </c>
      <c r="Z12" s="82" t="s">
        <v>309</v>
      </c>
      <c r="AA12" s="75">
        <v>21</v>
      </c>
      <c r="AB12" s="77">
        <v>40609</v>
      </c>
      <c r="AC12" s="77">
        <v>40603</v>
      </c>
      <c r="AD12" s="77"/>
      <c r="AE12" s="6" t="s">
        <v>159</v>
      </c>
      <c r="AF12" s="6" t="s">
        <v>160</v>
      </c>
      <c r="AG12" s="2"/>
      <c r="AH12" s="75">
        <f t="shared" si="0"/>
        <v>2</v>
      </c>
      <c r="AI12" s="2" t="s">
        <v>161</v>
      </c>
      <c r="AJ12" s="2" t="s">
        <v>162</v>
      </c>
      <c r="AK12" s="2"/>
      <c r="AL12" s="2" t="s">
        <v>150</v>
      </c>
      <c r="AM12" s="2" t="s">
        <v>163</v>
      </c>
      <c r="AN12" s="2"/>
      <c r="AO12" s="2" t="s">
        <v>164</v>
      </c>
      <c r="AP12" s="2" t="s">
        <v>203</v>
      </c>
      <c r="AQ12" s="2" t="s">
        <v>313</v>
      </c>
      <c r="AR12" s="2" t="s">
        <v>150</v>
      </c>
      <c r="AS12" s="2"/>
      <c r="AT12" s="396" t="s">
        <v>328</v>
      </c>
      <c r="AU12" s="75" t="s">
        <v>329</v>
      </c>
      <c r="AV12" s="77"/>
      <c r="AW12" s="78">
        <v>40634</v>
      </c>
      <c r="AX12" s="78">
        <v>40878</v>
      </c>
      <c r="AY12" s="78" t="s">
        <v>150</v>
      </c>
      <c r="AZ12" s="78"/>
      <c r="BA12" s="78"/>
      <c r="BB12" s="78"/>
      <c r="BC12" s="78"/>
      <c r="BD12" s="78"/>
      <c r="BE12" s="79"/>
      <c r="BF12" s="78">
        <v>41456</v>
      </c>
      <c r="BG12" s="78" t="s">
        <v>150</v>
      </c>
      <c r="BH12" s="78">
        <v>41704</v>
      </c>
      <c r="BI12" s="78" t="s">
        <v>150</v>
      </c>
      <c r="BJ12" s="77"/>
      <c r="BK12" s="77"/>
      <c r="BL12" s="77"/>
      <c r="BM12" s="80">
        <v>41671</v>
      </c>
      <c r="BN12" s="75" t="s">
        <v>16</v>
      </c>
      <c r="BO12" s="212">
        <f t="shared" si="1"/>
        <v>35</v>
      </c>
      <c r="BP12" s="75">
        <f t="shared" si="2"/>
        <v>27</v>
      </c>
      <c r="BQ12" s="82" t="s">
        <v>330</v>
      </c>
      <c r="BR12" s="75">
        <v>18</v>
      </c>
      <c r="BS12" s="75">
        <v>14</v>
      </c>
      <c r="BT12" s="75">
        <v>117</v>
      </c>
      <c r="BU12" s="75">
        <v>4</v>
      </c>
      <c r="BV12" s="75">
        <v>2</v>
      </c>
      <c r="BW12" s="75">
        <v>7</v>
      </c>
      <c r="BX12" s="75">
        <v>6</v>
      </c>
      <c r="BY12" s="75" t="s">
        <v>163</v>
      </c>
      <c r="BZ12" s="75" t="s">
        <v>163</v>
      </c>
      <c r="CA12" s="75"/>
      <c r="CB12" s="81"/>
      <c r="CC12" s="81"/>
      <c r="CD12" s="75"/>
      <c r="CE12" s="75" t="s">
        <v>163</v>
      </c>
      <c r="CF12" s="75"/>
      <c r="CG12" s="75"/>
      <c r="CH12" s="369">
        <v>0</v>
      </c>
      <c r="CI12" s="75">
        <v>2</v>
      </c>
      <c r="CJ12" s="75"/>
      <c r="CK12" s="75" t="s">
        <v>168</v>
      </c>
    </row>
    <row r="13" spans="1:90" ht="27.95" customHeight="1">
      <c r="A13" s="75">
        <v>12</v>
      </c>
      <c r="B13" s="75" t="s">
        <v>331</v>
      </c>
      <c r="C13" s="75" t="s">
        <v>332</v>
      </c>
      <c r="D13" s="75" t="s">
        <v>333</v>
      </c>
      <c r="E13" s="75" t="s">
        <v>334</v>
      </c>
      <c r="F13" s="75" t="s">
        <v>25</v>
      </c>
      <c r="G13" s="75">
        <v>1</v>
      </c>
      <c r="H13" s="75" t="s">
        <v>53</v>
      </c>
      <c r="I13" s="75" t="s">
        <v>46</v>
      </c>
      <c r="J13" s="75" t="s">
        <v>335</v>
      </c>
      <c r="K13" s="75"/>
      <c r="L13" s="75" t="s">
        <v>45</v>
      </c>
      <c r="M13" s="75" t="s">
        <v>163</v>
      </c>
      <c r="N13" s="210"/>
      <c r="O13" s="2" t="s">
        <v>151</v>
      </c>
      <c r="P13" s="3" t="s">
        <v>151</v>
      </c>
      <c r="Q13" s="75" t="s">
        <v>151</v>
      </c>
      <c r="R13" s="385" t="s">
        <v>336</v>
      </c>
      <c r="S13" s="75" t="s">
        <v>337</v>
      </c>
      <c r="T13" s="339" t="s">
        <v>338</v>
      </c>
      <c r="U13" s="211" t="s">
        <v>339</v>
      </c>
      <c r="V13" s="211">
        <v>27918</v>
      </c>
      <c r="W13" s="82" t="s">
        <v>340</v>
      </c>
      <c r="X13" s="82" t="s">
        <v>179</v>
      </c>
      <c r="Y13" s="82" t="s">
        <v>163</v>
      </c>
      <c r="Z13" s="82" t="s">
        <v>158</v>
      </c>
      <c r="AA13" s="75">
        <v>18</v>
      </c>
      <c r="AB13" s="77">
        <v>40612</v>
      </c>
      <c r="AC13" s="77">
        <v>40603</v>
      </c>
      <c r="AD13" s="77"/>
      <c r="AE13" s="6" t="s">
        <v>341</v>
      </c>
      <c r="AF13" s="6" t="s">
        <v>342</v>
      </c>
      <c r="AG13" s="6"/>
      <c r="AH13" s="75">
        <f t="shared" si="0"/>
        <v>2</v>
      </c>
      <c r="AI13" s="6" t="s">
        <v>161</v>
      </c>
      <c r="AJ13" s="6" t="s">
        <v>162</v>
      </c>
      <c r="AK13" s="6"/>
      <c r="AL13" s="6" t="s">
        <v>150</v>
      </c>
      <c r="AM13" s="6" t="s">
        <v>163</v>
      </c>
      <c r="AN13" s="6"/>
      <c r="AO13" s="6" t="s">
        <v>164</v>
      </c>
      <c r="AP13" s="6" t="s">
        <v>203</v>
      </c>
      <c r="AQ13" s="2" t="s">
        <v>343</v>
      </c>
      <c r="AR13" s="6" t="s">
        <v>150</v>
      </c>
      <c r="AS13" s="6"/>
      <c r="AT13" s="397" t="s">
        <v>298</v>
      </c>
      <c r="AU13" s="75" t="s">
        <v>344</v>
      </c>
      <c r="AV13" s="77"/>
      <c r="AW13" s="78">
        <v>40634</v>
      </c>
      <c r="AX13" s="78">
        <v>40878</v>
      </c>
      <c r="AY13" s="78" t="s">
        <v>150</v>
      </c>
      <c r="AZ13" s="78"/>
      <c r="BA13" s="78"/>
      <c r="BB13" s="78">
        <v>41193</v>
      </c>
      <c r="BC13" s="78"/>
      <c r="BD13" s="78"/>
      <c r="BE13" s="79" t="s">
        <v>345</v>
      </c>
      <c r="BF13" s="78">
        <v>41456</v>
      </c>
      <c r="BG13" s="78" t="s">
        <v>150</v>
      </c>
      <c r="BH13" s="78">
        <v>41705</v>
      </c>
      <c r="BI13" s="78" t="s">
        <v>150</v>
      </c>
      <c r="BJ13" s="77"/>
      <c r="BK13" s="77"/>
      <c r="BL13" s="77"/>
      <c r="BM13" s="80">
        <v>42460</v>
      </c>
      <c r="BN13" s="75" t="s">
        <v>16</v>
      </c>
      <c r="BO13" s="212">
        <f t="shared" si="1"/>
        <v>60</v>
      </c>
      <c r="BP13" s="75">
        <f t="shared" si="2"/>
        <v>52</v>
      </c>
      <c r="BQ13" s="75"/>
      <c r="BR13" s="75">
        <v>0</v>
      </c>
      <c r="BS13" s="75">
        <v>5</v>
      </c>
      <c r="BT13" s="75">
        <v>10</v>
      </c>
      <c r="BU13" s="75">
        <v>5</v>
      </c>
      <c r="BV13" s="75">
        <v>0</v>
      </c>
      <c r="BW13" s="75">
        <v>0</v>
      </c>
      <c r="BX13" s="75">
        <v>0</v>
      </c>
      <c r="BY13" s="75" t="s">
        <v>163</v>
      </c>
      <c r="BZ13" s="75" t="s">
        <v>163</v>
      </c>
      <c r="CA13" s="75"/>
      <c r="CB13" s="81"/>
      <c r="CC13" s="81"/>
      <c r="CD13" s="75"/>
      <c r="CE13" s="75" t="s">
        <v>163</v>
      </c>
      <c r="CF13" s="75"/>
      <c r="CG13" s="75"/>
      <c r="CH13" s="369">
        <v>1</v>
      </c>
      <c r="CI13" s="75">
        <v>2</v>
      </c>
      <c r="CJ13" s="75"/>
      <c r="CK13" s="75" t="s">
        <v>168</v>
      </c>
    </row>
    <row r="14" spans="1:90" ht="24.95" customHeight="1">
      <c r="A14" s="75">
        <v>13</v>
      </c>
      <c r="B14" s="75" t="s">
        <v>346</v>
      </c>
      <c r="C14" s="75" t="s">
        <v>347</v>
      </c>
      <c r="D14" s="75" t="s">
        <v>348</v>
      </c>
      <c r="E14" s="75" t="s">
        <v>349</v>
      </c>
      <c r="F14" s="75" t="s">
        <v>24</v>
      </c>
      <c r="G14" s="75">
        <v>1</v>
      </c>
      <c r="H14" s="75" t="s">
        <v>52</v>
      </c>
      <c r="I14" s="75" t="s">
        <v>37</v>
      </c>
      <c r="J14" s="75" t="s">
        <v>350</v>
      </c>
      <c r="K14" s="75"/>
      <c r="L14" s="75" t="s">
        <v>37</v>
      </c>
      <c r="M14" s="75" t="s">
        <v>150</v>
      </c>
      <c r="N14" s="210"/>
      <c r="O14" s="2" t="s">
        <v>322</v>
      </c>
      <c r="P14" s="3" t="s">
        <v>322</v>
      </c>
      <c r="Q14" s="75" t="s">
        <v>322</v>
      </c>
      <c r="R14" s="75" t="s">
        <v>351</v>
      </c>
      <c r="S14" s="82" t="s">
        <v>352</v>
      </c>
      <c r="T14" s="338"/>
      <c r="U14" s="77" t="s">
        <v>353</v>
      </c>
      <c r="V14" s="77">
        <v>23063</v>
      </c>
      <c r="W14" s="82" t="s">
        <v>354</v>
      </c>
      <c r="X14" s="82" t="s">
        <v>179</v>
      </c>
      <c r="Y14" s="82" t="s">
        <v>163</v>
      </c>
      <c r="Z14" s="82" t="s">
        <v>158</v>
      </c>
      <c r="AA14" s="75">
        <v>25</v>
      </c>
      <c r="AB14" s="77">
        <v>40605</v>
      </c>
      <c r="AC14" s="77">
        <v>40603</v>
      </c>
      <c r="AD14" s="77"/>
      <c r="AE14" s="6" t="s">
        <v>355</v>
      </c>
      <c r="AF14" s="6" t="s">
        <v>356</v>
      </c>
      <c r="AG14" s="6"/>
      <c r="AH14" s="75">
        <f t="shared" si="0"/>
        <v>2</v>
      </c>
      <c r="AI14" s="6" t="s">
        <v>161</v>
      </c>
      <c r="AJ14" s="6" t="s">
        <v>162</v>
      </c>
      <c r="AK14" s="6"/>
      <c r="AL14" s="6" t="s">
        <v>150</v>
      </c>
      <c r="AM14" s="6" t="s">
        <v>150</v>
      </c>
      <c r="AN14" s="6"/>
      <c r="AO14" s="6" t="s">
        <v>164</v>
      </c>
      <c r="AP14" s="6"/>
      <c r="AQ14" s="2" t="s">
        <v>250</v>
      </c>
      <c r="AR14" s="6"/>
      <c r="AS14" s="6"/>
      <c r="AT14" s="397" t="s">
        <v>204</v>
      </c>
      <c r="AU14" s="75" t="s">
        <v>357</v>
      </c>
      <c r="AV14" s="77"/>
      <c r="AW14" s="78">
        <v>40634</v>
      </c>
      <c r="AX14" s="78">
        <v>40878</v>
      </c>
      <c r="AY14" s="78" t="s">
        <v>150</v>
      </c>
      <c r="AZ14" s="78">
        <v>40665</v>
      </c>
      <c r="BA14" s="78">
        <v>40727</v>
      </c>
      <c r="BB14" s="78"/>
      <c r="BC14" s="78"/>
      <c r="BD14" s="78"/>
      <c r="BE14" s="79"/>
      <c r="BF14" s="78">
        <v>41456</v>
      </c>
      <c r="BG14" s="78" t="s">
        <v>150</v>
      </c>
      <c r="BH14" s="78">
        <v>41706</v>
      </c>
      <c r="BI14" s="78" t="s">
        <v>150</v>
      </c>
      <c r="BJ14" s="77"/>
      <c r="BK14" s="77"/>
      <c r="BL14" s="77"/>
      <c r="BM14" s="80">
        <v>43699</v>
      </c>
      <c r="BN14" s="75" t="s">
        <v>16</v>
      </c>
      <c r="BO14" s="212">
        <f t="shared" si="1"/>
        <v>101</v>
      </c>
      <c r="BP14" s="75">
        <f t="shared" si="2"/>
        <v>93</v>
      </c>
      <c r="BQ14" s="82" t="s">
        <v>358</v>
      </c>
      <c r="BR14" s="75">
        <v>4</v>
      </c>
      <c r="BS14" s="75">
        <v>4</v>
      </c>
      <c r="BT14" s="75">
        <v>2</v>
      </c>
      <c r="BU14" s="75">
        <v>0</v>
      </c>
      <c r="BV14" s="75">
        <v>0</v>
      </c>
      <c r="BW14" s="75">
        <v>0</v>
      </c>
      <c r="BX14" s="75">
        <v>0</v>
      </c>
      <c r="BY14" s="75" t="s">
        <v>163</v>
      </c>
      <c r="BZ14" s="75" t="s">
        <v>163</v>
      </c>
      <c r="CA14" s="75"/>
      <c r="CB14" s="81"/>
      <c r="CC14" s="81"/>
      <c r="CD14" s="75"/>
      <c r="CE14" s="75" t="s">
        <v>163</v>
      </c>
      <c r="CF14" s="75"/>
      <c r="CG14" s="75"/>
      <c r="CH14" s="369">
        <v>3</v>
      </c>
      <c r="CI14" s="75">
        <v>3</v>
      </c>
      <c r="CJ14" s="75"/>
      <c r="CK14" s="75" t="s">
        <v>168</v>
      </c>
    </row>
    <row r="15" spans="1:90" ht="24.95" customHeight="1">
      <c r="A15" s="75">
        <v>14</v>
      </c>
      <c r="B15" s="75" t="s">
        <v>359</v>
      </c>
      <c r="C15" s="75" t="s">
        <v>360</v>
      </c>
      <c r="D15" s="75"/>
      <c r="E15" s="75" t="s">
        <v>361</v>
      </c>
      <c r="F15" s="75" t="s">
        <v>24</v>
      </c>
      <c r="G15" s="75">
        <v>1</v>
      </c>
      <c r="H15" s="75" t="s">
        <v>58</v>
      </c>
      <c r="I15" s="84" t="s">
        <v>45</v>
      </c>
      <c r="J15" s="75" t="s">
        <v>362</v>
      </c>
      <c r="K15" s="75" t="s">
        <v>363</v>
      </c>
      <c r="L15" s="75" t="s">
        <v>45</v>
      </c>
      <c r="M15" s="75" t="s">
        <v>150</v>
      </c>
      <c r="N15" s="210" t="s">
        <v>364</v>
      </c>
      <c r="O15" s="2" t="s">
        <v>322</v>
      </c>
      <c r="P15" s="3" t="s">
        <v>151</v>
      </c>
      <c r="Q15" s="75" t="s">
        <v>322</v>
      </c>
      <c r="R15" s="385" t="s">
        <v>365</v>
      </c>
      <c r="S15" s="82" t="s">
        <v>366</v>
      </c>
      <c r="T15" s="338"/>
      <c r="U15" s="211" t="s">
        <v>367</v>
      </c>
      <c r="V15" s="211">
        <v>30815</v>
      </c>
      <c r="W15" s="82" t="s">
        <v>368</v>
      </c>
      <c r="X15" s="82" t="s">
        <v>179</v>
      </c>
      <c r="Y15" s="82" t="s">
        <v>163</v>
      </c>
      <c r="Z15" s="82" t="s">
        <v>158</v>
      </c>
      <c r="AA15" s="75">
        <v>22.5</v>
      </c>
      <c r="AB15" s="77">
        <v>40605</v>
      </c>
      <c r="AC15" s="77">
        <v>40603</v>
      </c>
      <c r="AD15" s="77"/>
      <c r="AE15" s="6" t="s">
        <v>369</v>
      </c>
      <c r="AF15" s="7"/>
      <c r="AG15" s="8"/>
      <c r="AH15" s="75">
        <f t="shared" si="0"/>
        <v>1</v>
      </c>
      <c r="AI15" s="8" t="s">
        <v>161</v>
      </c>
      <c r="AJ15" s="8"/>
      <c r="AK15" s="8"/>
      <c r="AL15" s="8" t="s">
        <v>163</v>
      </c>
      <c r="AM15" s="8"/>
      <c r="AN15" s="8"/>
      <c r="AO15" s="8" t="s">
        <v>164</v>
      </c>
      <c r="AP15" s="8" t="s">
        <v>370</v>
      </c>
      <c r="AQ15" s="2" t="s">
        <v>343</v>
      </c>
      <c r="AR15" s="8" t="s">
        <v>150</v>
      </c>
      <c r="AS15" s="8" t="s">
        <v>371</v>
      </c>
      <c r="AT15" s="398" t="s">
        <v>372</v>
      </c>
      <c r="AU15" s="75" t="s">
        <v>373</v>
      </c>
      <c r="AV15" s="77"/>
      <c r="AW15" s="78">
        <v>40634</v>
      </c>
      <c r="AX15" s="78">
        <v>40878</v>
      </c>
      <c r="AY15" s="78" t="s">
        <v>150</v>
      </c>
      <c r="AZ15" s="78"/>
      <c r="BA15" s="78"/>
      <c r="BB15" s="78"/>
      <c r="BC15" s="78"/>
      <c r="BD15" s="78"/>
      <c r="BE15" s="79"/>
      <c r="BF15" s="78">
        <v>41456</v>
      </c>
      <c r="BG15" s="78" t="s">
        <v>150</v>
      </c>
      <c r="BH15" s="78">
        <v>41707</v>
      </c>
      <c r="BI15" s="78" t="s">
        <v>150</v>
      </c>
      <c r="BJ15" s="77"/>
      <c r="BK15" s="77"/>
      <c r="BL15" s="77"/>
      <c r="BM15" s="80">
        <v>41608</v>
      </c>
      <c r="BN15" s="75" t="s">
        <v>16</v>
      </c>
      <c r="BO15" s="212">
        <f t="shared" si="1"/>
        <v>32</v>
      </c>
      <c r="BP15" s="75">
        <f t="shared" si="2"/>
        <v>24</v>
      </c>
      <c r="BQ15" s="75"/>
      <c r="BR15" s="75">
        <v>0</v>
      </c>
      <c r="BS15" s="75">
        <v>2</v>
      </c>
      <c r="BT15" s="75">
        <v>56</v>
      </c>
      <c r="BU15" s="75">
        <v>4</v>
      </c>
      <c r="BV15" s="75">
        <v>6</v>
      </c>
      <c r="BW15" s="75">
        <v>11</v>
      </c>
      <c r="BX15" s="75">
        <v>7</v>
      </c>
      <c r="BY15" s="75" t="s">
        <v>163</v>
      </c>
      <c r="BZ15" s="75" t="s">
        <v>163</v>
      </c>
      <c r="CA15" s="75"/>
      <c r="CB15" s="81"/>
      <c r="CC15" s="81"/>
      <c r="CD15" s="75"/>
      <c r="CE15" s="75" t="s">
        <v>163</v>
      </c>
      <c r="CF15" s="75"/>
      <c r="CG15" s="75"/>
      <c r="CH15" s="369">
        <v>0</v>
      </c>
      <c r="CI15" s="75">
        <v>0</v>
      </c>
      <c r="CJ15" s="75"/>
      <c r="CK15" s="75" t="s">
        <v>168</v>
      </c>
    </row>
    <row r="16" spans="1:90" ht="24.95" customHeight="1">
      <c r="A16" s="75">
        <v>15</v>
      </c>
      <c r="B16" s="75" t="s">
        <v>374</v>
      </c>
      <c r="C16" s="75" t="s">
        <v>375</v>
      </c>
      <c r="D16" s="75" t="s">
        <v>376</v>
      </c>
      <c r="E16" s="75" t="s">
        <v>377</v>
      </c>
      <c r="F16" s="75" t="s">
        <v>25</v>
      </c>
      <c r="G16" s="75">
        <v>1</v>
      </c>
      <c r="H16" s="75" t="s">
        <v>58</v>
      </c>
      <c r="I16" s="75" t="s">
        <v>45</v>
      </c>
      <c r="J16" s="75" t="s">
        <v>378</v>
      </c>
      <c r="K16" s="75" t="s">
        <v>379</v>
      </c>
      <c r="L16" s="75" t="s">
        <v>45</v>
      </c>
      <c r="M16" s="75" t="s">
        <v>150</v>
      </c>
      <c r="N16" s="210"/>
      <c r="O16" s="2" t="s">
        <v>151</v>
      </c>
      <c r="P16" s="9" t="s">
        <v>151</v>
      </c>
      <c r="Q16" s="75" t="s">
        <v>151</v>
      </c>
      <c r="R16" s="385" t="s">
        <v>380</v>
      </c>
      <c r="S16" s="75" t="s">
        <v>380</v>
      </c>
      <c r="T16" s="338"/>
      <c r="U16" s="211" t="s">
        <v>381</v>
      </c>
      <c r="V16" s="211">
        <v>26801</v>
      </c>
      <c r="W16" s="82" t="s">
        <v>382</v>
      </c>
      <c r="X16" s="82" t="s">
        <v>156</v>
      </c>
      <c r="Y16" s="82" t="s">
        <v>163</v>
      </c>
      <c r="Z16" s="82" t="s">
        <v>309</v>
      </c>
      <c r="AA16" s="75">
        <v>21</v>
      </c>
      <c r="AB16" s="77">
        <v>40638</v>
      </c>
      <c r="AC16" s="77">
        <v>40603</v>
      </c>
      <c r="AD16" s="77"/>
      <c r="AE16" s="6" t="s">
        <v>383</v>
      </c>
      <c r="AF16" s="6" t="s">
        <v>384</v>
      </c>
      <c r="AG16" s="2"/>
      <c r="AH16" s="75">
        <f t="shared" si="0"/>
        <v>2</v>
      </c>
      <c r="AI16" s="8" t="s">
        <v>161</v>
      </c>
      <c r="AJ16" s="8" t="s">
        <v>161</v>
      </c>
      <c r="AK16" s="2"/>
      <c r="AL16" s="2" t="s">
        <v>150</v>
      </c>
      <c r="AM16" s="2" t="s">
        <v>163</v>
      </c>
      <c r="AN16" s="2"/>
      <c r="AO16" s="2" t="s">
        <v>202</v>
      </c>
      <c r="AP16" s="2" t="s">
        <v>385</v>
      </c>
      <c r="AQ16" s="2" t="s">
        <v>343</v>
      </c>
      <c r="AR16" s="2" t="s">
        <v>150</v>
      </c>
      <c r="AS16" s="2"/>
      <c r="AT16" s="398" t="s">
        <v>372</v>
      </c>
      <c r="AU16" s="75" t="s">
        <v>386</v>
      </c>
      <c r="AV16" s="77"/>
      <c r="AW16" s="78">
        <v>40634</v>
      </c>
      <c r="AX16" s="78">
        <v>40878</v>
      </c>
      <c r="AY16" s="78" t="s">
        <v>150</v>
      </c>
      <c r="AZ16" s="78"/>
      <c r="BA16" s="78"/>
      <c r="BB16" s="78"/>
      <c r="BC16" s="78"/>
      <c r="BD16" s="78"/>
      <c r="BE16" s="79"/>
      <c r="BF16" s="78">
        <v>41456</v>
      </c>
      <c r="BG16" s="78" t="s">
        <v>150</v>
      </c>
      <c r="BH16" s="78">
        <v>41708</v>
      </c>
      <c r="BI16" s="78" t="s">
        <v>150</v>
      </c>
      <c r="BJ16" s="77"/>
      <c r="BK16" s="77"/>
      <c r="BL16" s="77"/>
      <c r="BM16" s="80">
        <v>43285</v>
      </c>
      <c r="BN16" s="75" t="s">
        <v>16</v>
      </c>
      <c r="BO16" s="212">
        <f t="shared" si="1"/>
        <v>88</v>
      </c>
      <c r="BP16" s="75">
        <f t="shared" si="2"/>
        <v>80</v>
      </c>
      <c r="BQ16" s="75"/>
      <c r="BR16" s="75">
        <v>8</v>
      </c>
      <c r="BS16" s="75">
        <v>45</v>
      </c>
      <c r="BT16" s="75">
        <v>55</v>
      </c>
      <c r="BU16" s="75">
        <v>5</v>
      </c>
      <c r="BV16" s="75">
        <v>2</v>
      </c>
      <c r="BW16" s="75">
        <v>0</v>
      </c>
      <c r="BX16" s="75">
        <v>0</v>
      </c>
      <c r="BY16" s="75" t="s">
        <v>163</v>
      </c>
      <c r="BZ16" s="75" t="s">
        <v>163</v>
      </c>
      <c r="CA16" s="75"/>
      <c r="CB16" s="81"/>
      <c r="CC16" s="81"/>
      <c r="CD16" s="75"/>
      <c r="CE16" s="75" t="s">
        <v>163</v>
      </c>
      <c r="CF16" s="75"/>
      <c r="CG16" s="75"/>
      <c r="CH16" s="369">
        <v>2</v>
      </c>
      <c r="CI16" s="75">
        <v>2</v>
      </c>
      <c r="CJ16" s="75"/>
      <c r="CK16" s="75" t="s">
        <v>168</v>
      </c>
    </row>
    <row r="17" spans="1:90" ht="24.95" customHeight="1">
      <c r="A17" s="75">
        <v>16</v>
      </c>
      <c r="B17" s="75" t="s">
        <v>387</v>
      </c>
      <c r="C17" s="75" t="s">
        <v>388</v>
      </c>
      <c r="D17" s="75" t="s">
        <v>389</v>
      </c>
      <c r="E17" s="75" t="s">
        <v>390</v>
      </c>
      <c r="F17" s="75" t="s">
        <v>25</v>
      </c>
      <c r="G17" s="75">
        <v>1</v>
      </c>
      <c r="H17" s="75" t="s">
        <v>53</v>
      </c>
      <c r="I17" s="75" t="s">
        <v>45</v>
      </c>
      <c r="J17" s="75" t="s">
        <v>378</v>
      </c>
      <c r="K17" s="75" t="s">
        <v>391</v>
      </c>
      <c r="L17" s="75" t="s">
        <v>45</v>
      </c>
      <c r="M17" s="75" t="s">
        <v>150</v>
      </c>
      <c r="N17" s="210"/>
      <c r="O17" s="2" t="s">
        <v>193</v>
      </c>
      <c r="P17" s="9" t="s">
        <v>151</v>
      </c>
      <c r="Q17" s="75"/>
      <c r="R17" s="75" t="s">
        <v>392</v>
      </c>
      <c r="S17" s="75" t="s">
        <v>393</v>
      </c>
      <c r="T17" s="338"/>
      <c r="U17" s="77" t="s">
        <v>394</v>
      </c>
      <c r="V17" s="77">
        <v>25201</v>
      </c>
      <c r="W17" s="82" t="s">
        <v>395</v>
      </c>
      <c r="X17" s="82" t="s">
        <v>396</v>
      </c>
      <c r="Y17" s="82" t="s">
        <v>157</v>
      </c>
      <c r="Z17" s="82" t="s">
        <v>309</v>
      </c>
      <c r="AA17" s="75">
        <v>11</v>
      </c>
      <c r="AB17" s="77">
        <v>40605</v>
      </c>
      <c r="AC17" s="77">
        <v>40603</v>
      </c>
      <c r="AD17" s="77"/>
      <c r="AE17" s="6" t="s">
        <v>397</v>
      </c>
      <c r="AF17" s="6" t="s">
        <v>398</v>
      </c>
      <c r="AG17" s="4" t="s">
        <v>399</v>
      </c>
      <c r="AH17" s="75">
        <f t="shared" si="0"/>
        <v>3</v>
      </c>
      <c r="AI17" s="8" t="s">
        <v>161</v>
      </c>
      <c r="AJ17" s="8" t="s">
        <v>161</v>
      </c>
      <c r="AK17" s="8" t="s">
        <v>161</v>
      </c>
      <c r="AL17" s="8" t="s">
        <v>150</v>
      </c>
      <c r="AM17" s="8" t="s">
        <v>163</v>
      </c>
      <c r="AN17" s="8" t="s">
        <v>163</v>
      </c>
      <c r="AO17" s="8" t="s">
        <v>164</v>
      </c>
      <c r="AP17" s="8"/>
      <c r="AQ17" s="2" t="s">
        <v>343</v>
      </c>
      <c r="AR17" s="8" t="s">
        <v>150</v>
      </c>
      <c r="AS17" s="8"/>
      <c r="AT17" s="395" t="s">
        <v>400</v>
      </c>
      <c r="AU17" s="75" t="s">
        <v>401</v>
      </c>
      <c r="AV17" s="77"/>
      <c r="AW17" s="78">
        <v>40634</v>
      </c>
      <c r="AX17" s="78">
        <v>40878</v>
      </c>
      <c r="AY17" s="78" t="s">
        <v>150</v>
      </c>
      <c r="AZ17" s="78"/>
      <c r="BA17" s="78"/>
      <c r="BB17" s="78"/>
      <c r="BC17" s="78"/>
      <c r="BD17" s="78"/>
      <c r="BE17" s="79"/>
      <c r="BF17" s="78">
        <v>41456</v>
      </c>
      <c r="BG17" s="78" t="s">
        <v>150</v>
      </c>
      <c r="BH17" s="78">
        <v>41709</v>
      </c>
      <c r="BI17" s="78" t="s">
        <v>150</v>
      </c>
      <c r="BJ17" s="77"/>
      <c r="BK17" s="77"/>
      <c r="BL17" s="77"/>
      <c r="BM17" s="80">
        <v>41912</v>
      </c>
      <c r="BN17" s="75" t="s">
        <v>16</v>
      </c>
      <c r="BO17" s="212">
        <f t="shared" si="1"/>
        <v>42</v>
      </c>
      <c r="BP17" s="75">
        <f t="shared" si="2"/>
        <v>34</v>
      </c>
      <c r="BQ17" s="75"/>
      <c r="BR17" s="75">
        <v>3</v>
      </c>
      <c r="BS17" s="75">
        <v>10</v>
      </c>
      <c r="BT17" s="75">
        <v>77</v>
      </c>
      <c r="BU17" s="75">
        <v>4</v>
      </c>
      <c r="BV17" s="75">
        <v>10</v>
      </c>
      <c r="BW17" s="75">
        <v>6</v>
      </c>
      <c r="BX17" s="75">
        <v>9</v>
      </c>
      <c r="BY17" s="75" t="s">
        <v>163</v>
      </c>
      <c r="BZ17" s="75" t="s">
        <v>163</v>
      </c>
      <c r="CA17" s="75"/>
      <c r="CB17" s="81"/>
      <c r="CC17" s="81"/>
      <c r="CD17" s="75"/>
      <c r="CE17" s="75" t="s">
        <v>163</v>
      </c>
      <c r="CF17" s="75"/>
      <c r="CG17" s="75"/>
      <c r="CH17" s="369" t="s">
        <v>168</v>
      </c>
      <c r="CI17" s="75" t="s">
        <v>168</v>
      </c>
      <c r="CJ17" s="75"/>
      <c r="CK17" s="75" t="s">
        <v>168</v>
      </c>
    </row>
    <row r="18" spans="1:90" ht="24.95" customHeight="1">
      <c r="A18" s="75">
        <v>17</v>
      </c>
      <c r="B18" s="75" t="s">
        <v>402</v>
      </c>
      <c r="C18" s="75" t="s">
        <v>403</v>
      </c>
      <c r="D18" s="75" t="s">
        <v>404</v>
      </c>
      <c r="E18" s="75" t="s">
        <v>405</v>
      </c>
      <c r="F18" s="75" t="s">
        <v>24</v>
      </c>
      <c r="G18" s="75">
        <v>1</v>
      </c>
      <c r="H18" s="75" t="s">
        <v>52</v>
      </c>
      <c r="I18" s="75" t="s">
        <v>42</v>
      </c>
      <c r="J18" s="75" t="s">
        <v>406</v>
      </c>
      <c r="K18" s="75" t="s">
        <v>407</v>
      </c>
      <c r="L18" s="75" t="s">
        <v>42</v>
      </c>
      <c r="M18" s="75" t="s">
        <v>150</v>
      </c>
      <c r="N18" s="210" t="s">
        <v>408</v>
      </c>
      <c r="O18" s="2" t="s">
        <v>151</v>
      </c>
      <c r="P18" s="9" t="s">
        <v>151</v>
      </c>
      <c r="Q18" s="75" t="s">
        <v>151</v>
      </c>
      <c r="R18" s="385" t="s">
        <v>409</v>
      </c>
      <c r="S18" s="82" t="s">
        <v>410</v>
      </c>
      <c r="T18" s="338" t="s">
        <v>411</v>
      </c>
      <c r="U18" s="211" t="s">
        <v>412</v>
      </c>
      <c r="V18" s="211">
        <v>22992</v>
      </c>
      <c r="W18" s="82" t="s">
        <v>413</v>
      </c>
      <c r="X18" s="82" t="s">
        <v>414</v>
      </c>
      <c r="Y18" s="82" t="s">
        <v>157</v>
      </c>
      <c r="Z18" s="82" t="s">
        <v>158</v>
      </c>
      <c r="AA18" s="75">
        <v>17</v>
      </c>
      <c r="AB18" s="77">
        <v>40801</v>
      </c>
      <c r="AC18" s="77">
        <v>40603</v>
      </c>
      <c r="AD18" s="77"/>
      <c r="AE18" s="6" t="s">
        <v>415</v>
      </c>
      <c r="AF18" s="6" t="s">
        <v>416</v>
      </c>
      <c r="AG18" s="4" t="s">
        <v>417</v>
      </c>
      <c r="AH18" s="75">
        <f t="shared" si="0"/>
        <v>3</v>
      </c>
      <c r="AI18" s="8" t="s">
        <v>161</v>
      </c>
      <c r="AJ18" s="8" t="s">
        <v>161</v>
      </c>
      <c r="AK18" s="8" t="s">
        <v>161</v>
      </c>
      <c r="AL18" s="8" t="s">
        <v>150</v>
      </c>
      <c r="AM18" s="8" t="s">
        <v>163</v>
      </c>
      <c r="AN18" s="8" t="s">
        <v>163</v>
      </c>
      <c r="AO18" s="8" t="s">
        <v>164</v>
      </c>
      <c r="AP18" s="8" t="s">
        <v>418</v>
      </c>
      <c r="AQ18" s="8" t="s">
        <v>250</v>
      </c>
      <c r="AR18" s="8" t="s">
        <v>150</v>
      </c>
      <c r="AS18" s="8" t="s">
        <v>419</v>
      </c>
      <c r="AT18" s="395" t="s">
        <v>420</v>
      </c>
      <c r="AU18" s="75" t="s">
        <v>421</v>
      </c>
      <c r="AV18" s="77"/>
      <c r="AW18" s="78">
        <v>40634</v>
      </c>
      <c r="AX18" s="78">
        <v>40878</v>
      </c>
      <c r="AY18" s="78" t="s">
        <v>150</v>
      </c>
      <c r="AZ18" s="78"/>
      <c r="BA18" s="78"/>
      <c r="BB18" s="78"/>
      <c r="BC18" s="78"/>
      <c r="BD18" s="78"/>
      <c r="BE18" s="79" t="s">
        <v>422</v>
      </c>
      <c r="BF18" s="78">
        <v>41456</v>
      </c>
      <c r="BG18" s="78" t="s">
        <v>150</v>
      </c>
      <c r="BH18" s="78">
        <v>41710</v>
      </c>
      <c r="BI18" s="78" t="s">
        <v>150</v>
      </c>
      <c r="BJ18" s="77"/>
      <c r="BK18" s="77"/>
      <c r="BL18" s="77"/>
      <c r="BM18" s="80">
        <v>42277</v>
      </c>
      <c r="BN18" s="75" t="s">
        <v>16</v>
      </c>
      <c r="BO18" s="212">
        <f t="shared" si="1"/>
        <v>54</v>
      </c>
      <c r="BP18" s="75">
        <f t="shared" si="2"/>
        <v>46</v>
      </c>
      <c r="BQ18" s="82" t="s">
        <v>422</v>
      </c>
      <c r="BR18" s="75"/>
      <c r="BS18" s="75">
        <v>3</v>
      </c>
      <c r="BT18" s="75">
        <v>8</v>
      </c>
      <c r="BU18" s="75">
        <v>1</v>
      </c>
      <c r="BV18" s="75">
        <v>1</v>
      </c>
      <c r="BW18" s="75">
        <v>1</v>
      </c>
      <c r="BX18" s="75">
        <v>0</v>
      </c>
      <c r="BY18" s="75" t="s">
        <v>163</v>
      </c>
      <c r="BZ18" s="75" t="s">
        <v>163</v>
      </c>
      <c r="CA18" s="75"/>
      <c r="CB18" s="81"/>
      <c r="CC18" s="81"/>
      <c r="CD18" s="75"/>
      <c r="CE18" s="75" t="s">
        <v>163</v>
      </c>
      <c r="CF18" s="75"/>
      <c r="CG18" s="75"/>
      <c r="CH18" s="369">
        <v>2</v>
      </c>
      <c r="CI18" s="75">
        <v>2</v>
      </c>
      <c r="CJ18" s="75"/>
      <c r="CK18" s="75" t="s">
        <v>168</v>
      </c>
    </row>
    <row r="19" spans="1:90" ht="24.95" customHeight="1">
      <c r="A19" s="75">
        <v>18</v>
      </c>
      <c r="B19" s="75" t="s">
        <v>423</v>
      </c>
      <c r="C19" s="75" t="s">
        <v>424</v>
      </c>
      <c r="D19" s="75" t="s">
        <v>425</v>
      </c>
      <c r="E19" s="75" t="s">
        <v>426</v>
      </c>
      <c r="F19" s="75" t="s">
        <v>25</v>
      </c>
      <c r="G19" s="75">
        <v>1</v>
      </c>
      <c r="H19" s="75" t="s">
        <v>54</v>
      </c>
      <c r="I19" s="75" t="s">
        <v>39</v>
      </c>
      <c r="J19" s="75" t="s">
        <v>363</v>
      </c>
      <c r="K19" s="75" t="s">
        <v>363</v>
      </c>
      <c r="L19" s="75" t="s">
        <v>45</v>
      </c>
      <c r="M19" s="75" t="s">
        <v>163</v>
      </c>
      <c r="N19" s="210">
        <v>560454</v>
      </c>
      <c r="O19" s="2" t="s">
        <v>151</v>
      </c>
      <c r="P19" s="9" t="s">
        <v>151</v>
      </c>
      <c r="Q19" s="75" t="s">
        <v>151</v>
      </c>
      <c r="R19" s="385" t="s">
        <v>427</v>
      </c>
      <c r="S19" s="82" t="s">
        <v>428</v>
      </c>
      <c r="T19" s="338" t="s">
        <v>429</v>
      </c>
      <c r="U19" s="211" t="s">
        <v>430</v>
      </c>
      <c r="V19" s="211">
        <v>27511</v>
      </c>
      <c r="W19" s="82" t="s">
        <v>431</v>
      </c>
      <c r="X19" s="82" t="s">
        <v>179</v>
      </c>
      <c r="Y19" s="82" t="s">
        <v>163</v>
      </c>
      <c r="Z19" s="82" t="s">
        <v>309</v>
      </c>
      <c r="AA19" s="75">
        <v>13</v>
      </c>
      <c r="AB19" s="77">
        <v>40582</v>
      </c>
      <c r="AC19" s="77">
        <v>40603</v>
      </c>
      <c r="AD19" s="77"/>
      <c r="AE19" s="6" t="s">
        <v>369</v>
      </c>
      <c r="AF19" s="6" t="s">
        <v>432</v>
      </c>
      <c r="AG19" s="2"/>
      <c r="AH19" s="75">
        <f t="shared" si="0"/>
        <v>2</v>
      </c>
      <c r="AI19" s="2" t="s">
        <v>162</v>
      </c>
      <c r="AJ19" s="2" t="s">
        <v>161</v>
      </c>
      <c r="AK19" s="2"/>
      <c r="AL19" s="2" t="s">
        <v>150</v>
      </c>
      <c r="AM19" s="2" t="s">
        <v>150</v>
      </c>
      <c r="AN19" s="2"/>
      <c r="AO19" s="2" t="s">
        <v>164</v>
      </c>
      <c r="AP19" s="2" t="s">
        <v>203</v>
      </c>
      <c r="AQ19" s="2" t="s">
        <v>313</v>
      </c>
      <c r="AR19" s="2" t="s">
        <v>150</v>
      </c>
      <c r="AS19" s="2" t="s">
        <v>433</v>
      </c>
      <c r="AT19" s="398" t="s">
        <v>434</v>
      </c>
      <c r="AU19" s="75" t="s">
        <v>435</v>
      </c>
      <c r="AV19" s="77"/>
      <c r="AW19" s="78">
        <v>40634</v>
      </c>
      <c r="AX19" s="78">
        <v>40878</v>
      </c>
      <c r="AY19" s="78" t="s">
        <v>150</v>
      </c>
      <c r="AZ19" s="78"/>
      <c r="BA19" s="78"/>
      <c r="BB19" s="78"/>
      <c r="BC19" s="78"/>
      <c r="BD19" s="78"/>
      <c r="BE19" s="79"/>
      <c r="BF19" s="78">
        <v>41456</v>
      </c>
      <c r="BG19" s="78" t="s">
        <v>150</v>
      </c>
      <c r="BH19" s="78">
        <v>41711</v>
      </c>
      <c r="BI19" s="78" t="s">
        <v>150</v>
      </c>
      <c r="BJ19" s="77"/>
      <c r="BK19" s="77"/>
      <c r="BL19" s="77"/>
      <c r="BM19" s="80">
        <v>41334</v>
      </c>
      <c r="BN19" s="75" t="s">
        <v>16</v>
      </c>
      <c r="BO19" s="212">
        <f t="shared" si="1"/>
        <v>24</v>
      </c>
      <c r="BP19" s="75">
        <f t="shared" si="2"/>
        <v>16</v>
      </c>
      <c r="BQ19" s="75"/>
      <c r="BR19" s="75" t="s">
        <v>168</v>
      </c>
      <c r="BS19" s="75">
        <v>4</v>
      </c>
      <c r="BT19" s="75">
        <v>43</v>
      </c>
      <c r="BU19" s="75">
        <v>6</v>
      </c>
      <c r="BV19" s="75">
        <v>4</v>
      </c>
      <c r="BW19" s="75">
        <v>6</v>
      </c>
      <c r="BX19" s="75">
        <v>6</v>
      </c>
      <c r="BY19" s="75" t="s">
        <v>163</v>
      </c>
      <c r="BZ19" s="75" t="s">
        <v>163</v>
      </c>
      <c r="CA19" s="75"/>
      <c r="CB19" s="81"/>
      <c r="CC19" s="81"/>
      <c r="CD19" s="75"/>
      <c r="CE19" s="75" t="s">
        <v>163</v>
      </c>
      <c r="CF19" s="75"/>
      <c r="CG19" s="75"/>
      <c r="CH19" s="369">
        <v>3</v>
      </c>
      <c r="CI19" s="75">
        <v>3</v>
      </c>
      <c r="CJ19" s="75"/>
      <c r="CK19" s="75" t="s">
        <v>168</v>
      </c>
    </row>
    <row r="20" spans="1:90" ht="24.95" customHeight="1">
      <c r="A20" s="75">
        <v>19</v>
      </c>
      <c r="B20" s="75" t="s">
        <v>436</v>
      </c>
      <c r="C20" s="75" t="s">
        <v>437</v>
      </c>
      <c r="D20" s="75" t="s">
        <v>438</v>
      </c>
      <c r="E20" s="75" t="s">
        <v>147</v>
      </c>
      <c r="F20" s="75" t="s">
        <v>25</v>
      </c>
      <c r="G20" s="75">
        <v>1</v>
      </c>
      <c r="H20" s="75" t="s">
        <v>54</v>
      </c>
      <c r="I20" s="75" t="s">
        <v>39</v>
      </c>
      <c r="J20" s="75" t="s">
        <v>439</v>
      </c>
      <c r="K20" s="75" t="s">
        <v>439</v>
      </c>
      <c r="L20" s="75" t="s">
        <v>39</v>
      </c>
      <c r="M20" s="75" t="s">
        <v>150</v>
      </c>
      <c r="N20" s="210"/>
      <c r="O20" s="2" t="s">
        <v>151</v>
      </c>
      <c r="P20" s="9" t="s">
        <v>151</v>
      </c>
      <c r="Q20" s="75" t="s">
        <v>151</v>
      </c>
      <c r="R20" s="385" t="s">
        <v>440</v>
      </c>
      <c r="S20" s="75" t="s">
        <v>441</v>
      </c>
      <c r="T20" s="339" t="s">
        <v>442</v>
      </c>
      <c r="U20" s="211" t="s">
        <v>430</v>
      </c>
      <c r="V20" s="211">
        <v>26644</v>
      </c>
      <c r="W20" s="82" t="s">
        <v>443</v>
      </c>
      <c r="X20" s="82" t="s">
        <v>179</v>
      </c>
      <c r="Y20" s="82" t="s">
        <v>163</v>
      </c>
      <c r="Z20" s="82" t="s">
        <v>309</v>
      </c>
      <c r="AA20" s="75">
        <v>21.5</v>
      </c>
      <c r="AB20" s="77">
        <v>40605</v>
      </c>
      <c r="AC20" s="77">
        <v>40603</v>
      </c>
      <c r="AD20" s="77"/>
      <c r="AE20" s="6" t="s">
        <v>444</v>
      </c>
      <c r="AF20" s="7"/>
      <c r="AG20" s="8"/>
      <c r="AH20" s="75">
        <f t="shared" si="0"/>
        <v>1</v>
      </c>
      <c r="AI20" s="8" t="s">
        <v>161</v>
      </c>
      <c r="AJ20" s="8"/>
      <c r="AK20" s="8"/>
      <c r="AL20" s="8" t="s">
        <v>150</v>
      </c>
      <c r="AM20" s="8"/>
      <c r="AN20" s="8"/>
      <c r="AO20" s="8" t="s">
        <v>164</v>
      </c>
      <c r="AP20" s="8" t="s">
        <v>445</v>
      </c>
      <c r="AQ20" s="2" t="s">
        <v>343</v>
      </c>
      <c r="AR20" s="8" t="s">
        <v>150</v>
      </c>
      <c r="AS20" s="8"/>
      <c r="AT20" s="395" t="s">
        <v>285</v>
      </c>
      <c r="AU20" s="75" t="s">
        <v>446</v>
      </c>
      <c r="AV20" s="77"/>
      <c r="AW20" s="78">
        <v>40634</v>
      </c>
      <c r="AX20" s="78">
        <v>40878</v>
      </c>
      <c r="AY20" s="78" t="s">
        <v>150</v>
      </c>
      <c r="AZ20" s="78"/>
      <c r="BA20" s="78"/>
      <c r="BB20" s="78">
        <v>41225</v>
      </c>
      <c r="BC20" s="78"/>
      <c r="BD20" s="78"/>
      <c r="BE20" s="79" t="s">
        <v>447</v>
      </c>
      <c r="BF20" s="78">
        <v>41456</v>
      </c>
      <c r="BG20" s="78" t="s">
        <v>150</v>
      </c>
      <c r="BH20" s="78">
        <v>42064</v>
      </c>
      <c r="BI20" s="78" t="s">
        <v>163</v>
      </c>
      <c r="BJ20" s="77"/>
      <c r="BK20" s="77"/>
      <c r="BL20" s="77"/>
      <c r="BM20" s="80">
        <v>41395</v>
      </c>
      <c r="BN20" s="75" t="s">
        <v>16</v>
      </c>
      <c r="BO20" s="212">
        <f t="shared" si="1"/>
        <v>26</v>
      </c>
      <c r="BP20" s="75">
        <f t="shared" si="2"/>
        <v>18</v>
      </c>
      <c r="BQ20" s="82" t="s">
        <v>447</v>
      </c>
      <c r="BR20" s="75"/>
      <c r="BS20" s="75"/>
      <c r="BT20" s="75">
        <v>12</v>
      </c>
      <c r="BU20" s="75">
        <v>0</v>
      </c>
      <c r="BV20" s="75">
        <v>0</v>
      </c>
      <c r="BW20" s="75">
        <v>4</v>
      </c>
      <c r="BX20" s="75">
        <v>1</v>
      </c>
      <c r="BY20" s="75" t="s">
        <v>163</v>
      </c>
      <c r="BZ20" s="75" t="s">
        <v>163</v>
      </c>
      <c r="CA20" s="75"/>
      <c r="CB20" s="81"/>
      <c r="CC20" s="81"/>
      <c r="CD20" s="75"/>
      <c r="CE20" s="75" t="s">
        <v>163</v>
      </c>
      <c r="CF20" s="75"/>
      <c r="CG20" s="75"/>
      <c r="CH20" s="369">
        <v>3</v>
      </c>
      <c r="CI20" s="75">
        <v>5</v>
      </c>
      <c r="CJ20" s="75"/>
      <c r="CK20" s="75" t="s">
        <v>168</v>
      </c>
    </row>
    <row r="21" spans="1:90" ht="24.95" customHeight="1">
      <c r="A21" s="85">
        <v>20</v>
      </c>
      <c r="B21" s="85" t="s">
        <v>448</v>
      </c>
      <c r="C21" s="85" t="s">
        <v>437</v>
      </c>
      <c r="D21" s="85" t="s">
        <v>449</v>
      </c>
      <c r="E21" s="85" t="s">
        <v>450</v>
      </c>
      <c r="F21" s="85" t="s">
        <v>25</v>
      </c>
      <c r="G21" s="85">
        <v>1</v>
      </c>
      <c r="H21" s="85" t="s">
        <v>54</v>
      </c>
      <c r="I21" s="85" t="s">
        <v>36</v>
      </c>
      <c r="J21" s="85" t="s">
        <v>172</v>
      </c>
      <c r="K21" s="85" t="s">
        <v>172</v>
      </c>
      <c r="L21" s="85" t="s">
        <v>45</v>
      </c>
      <c r="M21" s="85" t="s">
        <v>163</v>
      </c>
      <c r="N21" s="213" t="s">
        <v>451</v>
      </c>
      <c r="O21" s="71" t="s">
        <v>193</v>
      </c>
      <c r="P21" s="72" t="s">
        <v>151</v>
      </c>
      <c r="Q21" s="85"/>
      <c r="R21" s="85" t="s">
        <v>452</v>
      </c>
      <c r="S21" s="85" t="s">
        <v>453</v>
      </c>
      <c r="T21" s="340" t="s">
        <v>454</v>
      </c>
      <c r="U21" s="214" t="s">
        <v>455</v>
      </c>
      <c r="V21" s="214">
        <v>28744</v>
      </c>
      <c r="W21" s="215" t="s">
        <v>456</v>
      </c>
      <c r="X21" s="215" t="s">
        <v>179</v>
      </c>
      <c r="Y21" s="215" t="s">
        <v>157</v>
      </c>
      <c r="Z21" s="215" t="s">
        <v>158</v>
      </c>
      <c r="AA21" s="85">
        <v>12</v>
      </c>
      <c r="AB21" s="86">
        <v>40609</v>
      </c>
      <c r="AC21" s="280">
        <v>40603</v>
      </c>
      <c r="AD21" s="86"/>
      <c r="AE21" s="73" t="s">
        <v>457</v>
      </c>
      <c r="AF21" s="73" t="s">
        <v>458</v>
      </c>
      <c r="AG21" s="74"/>
      <c r="AH21" s="85">
        <f t="shared" si="0"/>
        <v>2</v>
      </c>
      <c r="AI21" s="74" t="s">
        <v>161</v>
      </c>
      <c r="AJ21" s="74" t="s">
        <v>162</v>
      </c>
      <c r="AK21" s="74"/>
      <c r="AL21" s="74" t="s">
        <v>150</v>
      </c>
      <c r="AM21" s="74" t="s">
        <v>163</v>
      </c>
      <c r="AN21" s="74"/>
      <c r="AO21" s="74" t="s">
        <v>202</v>
      </c>
      <c r="AP21" s="74"/>
      <c r="AQ21" s="74" t="s">
        <v>459</v>
      </c>
      <c r="AR21" s="74"/>
      <c r="AS21" s="74"/>
      <c r="AT21" s="399" t="s">
        <v>372</v>
      </c>
      <c r="AU21" s="85" t="s">
        <v>460</v>
      </c>
      <c r="AV21" s="86"/>
      <c r="AW21" s="87">
        <v>40634</v>
      </c>
      <c r="AX21" s="87">
        <v>40878</v>
      </c>
      <c r="AY21" s="87" t="s">
        <v>150</v>
      </c>
      <c r="AZ21" s="87"/>
      <c r="BA21" s="87"/>
      <c r="BB21" s="87"/>
      <c r="BC21" s="87"/>
      <c r="BD21" s="87"/>
      <c r="BE21" s="88"/>
      <c r="BF21" s="87">
        <v>41456</v>
      </c>
      <c r="BG21" s="87" t="s">
        <v>150</v>
      </c>
      <c r="BH21" s="87">
        <v>41712</v>
      </c>
      <c r="BI21" s="87" t="s">
        <v>150</v>
      </c>
      <c r="BJ21" s="86"/>
      <c r="BK21" s="86"/>
      <c r="BL21" s="86"/>
      <c r="BM21" s="89">
        <v>43073</v>
      </c>
      <c r="BN21" s="85" t="s">
        <v>16</v>
      </c>
      <c r="BO21" s="216">
        <f>DATEDIF(AW21,BM21, "M")+1</f>
        <v>81</v>
      </c>
      <c r="BP21" s="85">
        <f t="shared" si="2"/>
        <v>73</v>
      </c>
      <c r="BQ21" s="85"/>
      <c r="BR21" s="85">
        <v>1</v>
      </c>
      <c r="BS21" s="85">
        <v>8</v>
      </c>
      <c r="BT21" s="85">
        <v>3</v>
      </c>
      <c r="BU21" s="85">
        <v>0</v>
      </c>
      <c r="BV21" s="85">
        <v>0</v>
      </c>
      <c r="BW21" s="85">
        <v>0</v>
      </c>
      <c r="BX21" s="85">
        <v>0</v>
      </c>
      <c r="BY21" s="85" t="s">
        <v>163</v>
      </c>
      <c r="BZ21" s="85" t="s">
        <v>163</v>
      </c>
      <c r="CA21" s="85"/>
      <c r="CB21" s="90"/>
      <c r="CC21" s="90"/>
      <c r="CD21" s="85"/>
      <c r="CE21" s="85" t="s">
        <v>163</v>
      </c>
      <c r="CF21" s="85"/>
      <c r="CG21" s="85"/>
      <c r="CH21" s="370" t="s">
        <v>168</v>
      </c>
      <c r="CI21" s="85" t="s">
        <v>168</v>
      </c>
      <c r="CJ21" s="85"/>
      <c r="CK21" s="85" t="s">
        <v>168</v>
      </c>
      <c r="CL21" s="381" t="s">
        <v>461</v>
      </c>
    </row>
    <row r="22" spans="1:90" ht="24.95" customHeight="1">
      <c r="A22" s="91">
        <v>22</v>
      </c>
      <c r="B22" s="91" t="s">
        <v>462</v>
      </c>
      <c r="C22" s="91" t="s">
        <v>463</v>
      </c>
      <c r="D22" s="91" t="s">
        <v>464</v>
      </c>
      <c r="E22" s="91" t="s">
        <v>465</v>
      </c>
      <c r="F22" s="91" t="s">
        <v>24</v>
      </c>
      <c r="G22" s="91">
        <v>1</v>
      </c>
      <c r="H22" s="91" t="s">
        <v>52</v>
      </c>
      <c r="I22" s="91" t="s">
        <v>42</v>
      </c>
      <c r="J22" s="91"/>
      <c r="K22" s="91"/>
      <c r="L22" s="91"/>
      <c r="M22" s="91"/>
      <c r="N22" s="91" t="s">
        <v>168</v>
      </c>
      <c r="O22" s="91" t="s">
        <v>168</v>
      </c>
      <c r="P22" s="91" t="s">
        <v>168</v>
      </c>
      <c r="Q22" s="91" t="s">
        <v>168</v>
      </c>
      <c r="R22" s="91"/>
      <c r="S22" s="91"/>
      <c r="T22" s="341"/>
      <c r="U22" s="217"/>
      <c r="V22" s="217"/>
      <c r="W22" s="164"/>
      <c r="X22" s="164"/>
      <c r="Y22" s="164"/>
      <c r="Z22" s="164"/>
      <c r="AA22" s="91"/>
      <c r="AB22" s="92"/>
      <c r="AC22" s="281">
        <v>40603</v>
      </c>
      <c r="AD22" s="92">
        <v>40865</v>
      </c>
      <c r="AE22" s="92"/>
      <c r="AF22" s="92"/>
      <c r="AG22" s="92"/>
      <c r="AH22" s="91">
        <f t="shared" si="0"/>
        <v>0</v>
      </c>
      <c r="AI22" s="92"/>
      <c r="AJ22" s="92"/>
      <c r="AK22" s="92"/>
      <c r="AL22" s="92"/>
      <c r="AM22" s="92"/>
      <c r="AN22" s="92"/>
      <c r="AO22" s="92"/>
      <c r="AP22" s="92"/>
      <c r="AQ22" s="92"/>
      <c r="AR22" s="92"/>
      <c r="AS22" s="92"/>
      <c r="AT22" s="400"/>
      <c r="AU22" s="91"/>
      <c r="AV22" s="92"/>
      <c r="AW22" s="93">
        <v>40634</v>
      </c>
      <c r="AX22" s="93"/>
      <c r="AY22" s="93"/>
      <c r="AZ22" s="93"/>
      <c r="BA22" s="93"/>
      <c r="BB22" s="93"/>
      <c r="BC22" s="93"/>
      <c r="BD22" s="93"/>
      <c r="BE22" s="94"/>
      <c r="BF22" s="93"/>
      <c r="BG22" s="93"/>
      <c r="BH22" s="93"/>
      <c r="BI22" s="93"/>
      <c r="BJ22" s="92"/>
      <c r="BK22" s="92"/>
      <c r="BL22" s="92"/>
      <c r="BM22" s="92"/>
      <c r="BN22" s="91" t="s">
        <v>18</v>
      </c>
      <c r="BO22" s="218" t="s">
        <v>18</v>
      </c>
      <c r="BP22" s="218"/>
      <c r="BQ22" s="91"/>
      <c r="BR22" s="91"/>
      <c r="BS22" s="91"/>
      <c r="BT22" s="91"/>
      <c r="BU22" s="91"/>
      <c r="BV22" s="91"/>
      <c r="BW22" s="91"/>
      <c r="BX22" s="91"/>
      <c r="BY22" s="91" t="s">
        <v>163</v>
      </c>
      <c r="BZ22" s="91" t="s">
        <v>193</v>
      </c>
      <c r="CA22" s="91"/>
      <c r="CB22" s="95"/>
      <c r="CC22" s="95"/>
      <c r="CD22" s="91"/>
      <c r="CE22" s="91"/>
      <c r="CF22" s="91"/>
      <c r="CG22" s="91"/>
      <c r="CH22" s="113"/>
      <c r="CI22" s="91"/>
      <c r="CJ22" s="91"/>
      <c r="CK22" s="91" t="s">
        <v>168</v>
      </c>
    </row>
    <row r="23" spans="1:90" ht="24.95" customHeight="1">
      <c r="A23" s="91">
        <v>23</v>
      </c>
      <c r="B23" s="91" t="s">
        <v>466</v>
      </c>
      <c r="C23" s="91" t="s">
        <v>467</v>
      </c>
      <c r="D23" s="91" t="s">
        <v>468</v>
      </c>
      <c r="E23" s="91" t="s">
        <v>469</v>
      </c>
      <c r="F23" s="91" t="s">
        <v>25</v>
      </c>
      <c r="G23" s="91">
        <v>1</v>
      </c>
      <c r="H23" s="91" t="s">
        <v>52</v>
      </c>
      <c r="I23" s="91" t="s">
        <v>42</v>
      </c>
      <c r="J23" s="91"/>
      <c r="K23" s="91"/>
      <c r="L23" s="91" t="s">
        <v>42</v>
      </c>
      <c r="M23" s="91" t="s">
        <v>150</v>
      </c>
      <c r="N23" s="91" t="s">
        <v>168</v>
      </c>
      <c r="O23" s="91" t="s">
        <v>168</v>
      </c>
      <c r="P23" s="91" t="s">
        <v>168</v>
      </c>
      <c r="Q23" s="91" t="s">
        <v>168</v>
      </c>
      <c r="R23" s="91"/>
      <c r="S23" s="91"/>
      <c r="T23" s="341"/>
      <c r="U23" s="217"/>
      <c r="V23" s="217"/>
      <c r="W23" s="164"/>
      <c r="X23" s="164"/>
      <c r="Y23" s="164"/>
      <c r="Z23" s="164"/>
      <c r="AA23" s="91"/>
      <c r="AB23" s="92"/>
      <c r="AC23" s="281">
        <v>40603</v>
      </c>
      <c r="AD23" s="92">
        <v>42613</v>
      </c>
      <c r="AE23" s="92"/>
      <c r="AF23" s="92"/>
      <c r="AG23" s="92"/>
      <c r="AH23" s="91">
        <f t="shared" si="0"/>
        <v>0</v>
      </c>
      <c r="AI23" s="92"/>
      <c r="AJ23" s="92"/>
      <c r="AK23" s="92"/>
      <c r="AL23" s="92"/>
      <c r="AM23" s="92"/>
      <c r="AN23" s="92"/>
      <c r="AO23" s="92"/>
      <c r="AP23" s="92"/>
      <c r="AQ23" s="92"/>
      <c r="AR23" s="92"/>
      <c r="AS23" s="92"/>
      <c r="AT23" s="400"/>
      <c r="AU23" s="91"/>
      <c r="AV23" s="92"/>
      <c r="AW23" s="93">
        <v>40634</v>
      </c>
      <c r="AX23" s="93"/>
      <c r="AY23" s="93"/>
      <c r="AZ23" s="93"/>
      <c r="BA23" s="93"/>
      <c r="BB23" s="93"/>
      <c r="BC23" s="93"/>
      <c r="BD23" s="93"/>
      <c r="BE23" s="94"/>
      <c r="BF23" s="93"/>
      <c r="BG23" s="93"/>
      <c r="BH23" s="93"/>
      <c r="BI23" s="93"/>
      <c r="BJ23" s="92"/>
      <c r="BK23" s="92"/>
      <c r="BL23" s="92"/>
      <c r="BM23" s="92"/>
      <c r="BN23" s="91" t="s">
        <v>18</v>
      </c>
      <c r="BO23" s="218" t="s">
        <v>18</v>
      </c>
      <c r="BP23" s="218"/>
      <c r="BQ23" s="91"/>
      <c r="BR23" s="91"/>
      <c r="BS23" s="91"/>
      <c r="BT23" s="91"/>
      <c r="BU23" s="91"/>
      <c r="BV23" s="91"/>
      <c r="BW23" s="91"/>
      <c r="BX23" s="91"/>
      <c r="BY23" s="91" t="s">
        <v>163</v>
      </c>
      <c r="BZ23" s="91" t="s">
        <v>193</v>
      </c>
      <c r="CA23" s="91"/>
      <c r="CB23" s="95"/>
      <c r="CC23" s="95"/>
      <c r="CD23" s="91"/>
      <c r="CE23" s="91"/>
      <c r="CF23" s="91"/>
      <c r="CG23" s="91"/>
      <c r="CH23" s="113"/>
      <c r="CI23" s="91"/>
      <c r="CJ23" s="91"/>
      <c r="CK23" s="91" t="s">
        <v>168</v>
      </c>
    </row>
    <row r="24" spans="1:90" ht="24.95" customHeight="1">
      <c r="A24" s="91">
        <v>24</v>
      </c>
      <c r="B24" s="91" t="s">
        <v>470</v>
      </c>
      <c r="C24" s="91" t="s">
        <v>471</v>
      </c>
      <c r="D24" s="91" t="s">
        <v>472</v>
      </c>
      <c r="E24" s="91" t="s">
        <v>473</v>
      </c>
      <c r="F24" s="91" t="s">
        <v>24</v>
      </c>
      <c r="G24" s="91">
        <v>1</v>
      </c>
      <c r="H24" s="91" t="s">
        <v>59</v>
      </c>
      <c r="I24" s="91" t="s">
        <v>41</v>
      </c>
      <c r="J24" s="91"/>
      <c r="K24" s="91"/>
      <c r="L24" s="91"/>
      <c r="M24" s="91"/>
      <c r="N24" s="91" t="s">
        <v>168</v>
      </c>
      <c r="O24" s="91" t="s">
        <v>168</v>
      </c>
      <c r="P24" s="91" t="s">
        <v>168</v>
      </c>
      <c r="Q24" s="91" t="s">
        <v>168</v>
      </c>
      <c r="R24" s="91"/>
      <c r="S24" s="91"/>
      <c r="T24" s="341"/>
      <c r="U24" s="217"/>
      <c r="V24" s="217"/>
      <c r="W24" s="164"/>
      <c r="X24" s="164"/>
      <c r="Y24" s="164"/>
      <c r="Z24" s="164"/>
      <c r="AA24" s="91"/>
      <c r="AB24" s="92"/>
      <c r="AC24" s="281">
        <v>40603</v>
      </c>
      <c r="AD24" s="92">
        <v>41274</v>
      </c>
      <c r="AE24" s="92"/>
      <c r="AF24" s="92"/>
      <c r="AG24" s="92"/>
      <c r="AH24" s="91">
        <f t="shared" si="0"/>
        <v>0</v>
      </c>
      <c r="AI24" s="92"/>
      <c r="AJ24" s="92"/>
      <c r="AK24" s="92"/>
      <c r="AL24" s="92"/>
      <c r="AM24" s="92"/>
      <c r="AN24" s="92"/>
      <c r="AO24" s="92"/>
      <c r="AP24" s="92"/>
      <c r="AQ24" s="92"/>
      <c r="AR24" s="92"/>
      <c r="AS24" s="92"/>
      <c r="AT24" s="400"/>
      <c r="AU24" s="91"/>
      <c r="AV24" s="92"/>
      <c r="AW24" s="93">
        <v>40634</v>
      </c>
      <c r="AX24" s="93"/>
      <c r="AY24" s="93"/>
      <c r="AZ24" s="93"/>
      <c r="BA24" s="93"/>
      <c r="BB24" s="93"/>
      <c r="BC24" s="93"/>
      <c r="BD24" s="93"/>
      <c r="BE24" s="94"/>
      <c r="BF24" s="93"/>
      <c r="BG24" s="93"/>
      <c r="BH24" s="93"/>
      <c r="BI24" s="93"/>
      <c r="BJ24" s="92"/>
      <c r="BK24" s="92"/>
      <c r="BL24" s="92"/>
      <c r="BM24" s="92"/>
      <c r="BN24" s="91" t="s">
        <v>18</v>
      </c>
      <c r="BO24" s="218" t="s">
        <v>18</v>
      </c>
      <c r="BP24" s="218"/>
      <c r="BQ24" s="91"/>
      <c r="BR24" s="91"/>
      <c r="BS24" s="91"/>
      <c r="BT24" s="91"/>
      <c r="BU24" s="91"/>
      <c r="BV24" s="91"/>
      <c r="BW24" s="91"/>
      <c r="BX24" s="91"/>
      <c r="BY24" s="91" t="s">
        <v>163</v>
      </c>
      <c r="BZ24" s="91"/>
      <c r="CA24" s="91"/>
      <c r="CB24" s="95"/>
      <c r="CC24" s="95"/>
      <c r="CD24" s="91"/>
      <c r="CE24" s="91"/>
      <c r="CF24" s="91"/>
      <c r="CG24" s="91"/>
      <c r="CH24" s="113"/>
      <c r="CI24" s="91"/>
      <c r="CJ24" s="91"/>
      <c r="CK24" s="91" t="s">
        <v>168</v>
      </c>
    </row>
    <row r="25" spans="1:90" ht="24.95" customHeight="1">
      <c r="A25" s="96">
        <v>26</v>
      </c>
      <c r="B25" s="96" t="s">
        <v>474</v>
      </c>
      <c r="C25" s="96" t="s">
        <v>475</v>
      </c>
      <c r="D25" s="96"/>
      <c r="E25" s="96" t="s">
        <v>476</v>
      </c>
      <c r="F25" s="96" t="s">
        <v>25</v>
      </c>
      <c r="G25" s="96">
        <v>2</v>
      </c>
      <c r="H25" s="96" t="s">
        <v>54</v>
      </c>
      <c r="I25" s="96" t="s">
        <v>31</v>
      </c>
      <c r="J25" s="96" t="s">
        <v>477</v>
      </c>
      <c r="K25" s="96"/>
      <c r="L25" s="96" t="s">
        <v>31</v>
      </c>
      <c r="M25" s="96" t="s">
        <v>150</v>
      </c>
      <c r="N25" s="96"/>
      <c r="O25" s="104" t="s">
        <v>151</v>
      </c>
      <c r="P25" s="219" t="s">
        <v>151</v>
      </c>
      <c r="Q25" s="96"/>
      <c r="R25" s="96" t="s">
        <v>478</v>
      </c>
      <c r="S25" s="96" t="s">
        <v>479</v>
      </c>
      <c r="T25" s="199"/>
      <c r="U25" s="97" t="s">
        <v>480</v>
      </c>
      <c r="V25" s="97">
        <v>27062</v>
      </c>
      <c r="W25" s="105" t="s">
        <v>481</v>
      </c>
      <c r="X25" s="105" t="s">
        <v>179</v>
      </c>
      <c r="Y25" s="105" t="s">
        <v>157</v>
      </c>
      <c r="Z25" s="105" t="s">
        <v>158</v>
      </c>
      <c r="AA25" s="96">
        <v>13.5</v>
      </c>
      <c r="AB25" s="97">
        <v>40924</v>
      </c>
      <c r="AC25" s="282">
        <v>40969</v>
      </c>
      <c r="AD25" s="97"/>
      <c r="AE25" s="97" t="s">
        <v>482</v>
      </c>
      <c r="AF25" s="97" t="s">
        <v>483</v>
      </c>
      <c r="AG25" s="97"/>
      <c r="AH25" s="96">
        <f t="shared" si="0"/>
        <v>2</v>
      </c>
      <c r="AI25" s="97" t="s">
        <v>161</v>
      </c>
      <c r="AJ25" s="97" t="s">
        <v>161</v>
      </c>
      <c r="AK25" s="97"/>
      <c r="AL25" s="97" t="s">
        <v>150</v>
      </c>
      <c r="AM25" s="97" t="s">
        <v>163</v>
      </c>
      <c r="AN25" s="97"/>
      <c r="AO25" s="97" t="s">
        <v>164</v>
      </c>
      <c r="AP25" s="97" t="s">
        <v>249</v>
      </c>
      <c r="AQ25" s="97" t="s">
        <v>484</v>
      </c>
      <c r="AR25" s="97" t="s">
        <v>150</v>
      </c>
      <c r="AS25" s="97"/>
      <c r="AT25" s="401" t="s">
        <v>328</v>
      </c>
      <c r="AU25" s="96" t="s">
        <v>485</v>
      </c>
      <c r="AV25" s="97"/>
      <c r="AW25" s="99">
        <v>40969</v>
      </c>
      <c r="AX25" s="99">
        <v>41214</v>
      </c>
      <c r="AY25" s="99" t="s">
        <v>150</v>
      </c>
      <c r="AZ25" s="99"/>
      <c r="BA25" s="99"/>
      <c r="BB25" s="99"/>
      <c r="BC25" s="99"/>
      <c r="BD25" s="99"/>
      <c r="BE25" s="100"/>
      <c r="BF25" s="99">
        <v>41852</v>
      </c>
      <c r="BG25" s="99" t="s">
        <v>150</v>
      </c>
      <c r="BH25" s="99">
        <v>42064</v>
      </c>
      <c r="BI25" s="99" t="s">
        <v>150</v>
      </c>
      <c r="BJ25" s="97"/>
      <c r="BK25" s="97"/>
      <c r="BL25" s="97"/>
      <c r="BM25" s="101">
        <v>45183</v>
      </c>
      <c r="BN25" s="102" t="s">
        <v>16</v>
      </c>
      <c r="BO25" s="220">
        <f>DATEDIF(AW25,BM25, "M")+1</f>
        <v>139</v>
      </c>
      <c r="BP25" s="96">
        <f t="shared" ref="BP25:BP31" si="3">DATEDIF(AX25,BM25, "M")+1</f>
        <v>131</v>
      </c>
      <c r="BQ25" s="96"/>
      <c r="BR25" s="96">
        <v>1</v>
      </c>
      <c r="BS25" s="96">
        <v>14</v>
      </c>
      <c r="BT25" s="96">
        <v>0</v>
      </c>
      <c r="BU25" s="96">
        <v>1</v>
      </c>
      <c r="BV25" s="96">
        <v>0</v>
      </c>
      <c r="BW25" s="96">
        <v>0</v>
      </c>
      <c r="BX25" s="96">
        <v>0</v>
      </c>
      <c r="BY25" s="96" t="s">
        <v>163</v>
      </c>
      <c r="BZ25" s="96">
        <v>0</v>
      </c>
      <c r="CA25" s="96"/>
      <c r="CB25" s="103"/>
      <c r="CC25" s="103"/>
      <c r="CD25" s="96"/>
      <c r="CE25" s="96" t="s">
        <v>163</v>
      </c>
      <c r="CF25" s="96"/>
      <c r="CG25" s="96"/>
      <c r="CH25" s="371">
        <v>2</v>
      </c>
      <c r="CI25" s="96" t="s">
        <v>168</v>
      </c>
      <c r="CJ25" s="96"/>
      <c r="CK25" s="96" t="s">
        <v>168</v>
      </c>
    </row>
    <row r="26" spans="1:90" ht="24.95" customHeight="1">
      <c r="A26" s="96">
        <v>27</v>
      </c>
      <c r="B26" s="96" t="s">
        <v>486</v>
      </c>
      <c r="C26" s="96" t="s">
        <v>487</v>
      </c>
      <c r="D26" s="96"/>
      <c r="E26" s="96" t="s">
        <v>488</v>
      </c>
      <c r="F26" s="96" t="s">
        <v>24</v>
      </c>
      <c r="G26" s="96">
        <v>2</v>
      </c>
      <c r="H26" s="96" t="s">
        <v>53</v>
      </c>
      <c r="I26" s="96" t="s">
        <v>46</v>
      </c>
      <c r="J26" s="96" t="s">
        <v>489</v>
      </c>
      <c r="K26" s="96" t="s">
        <v>489</v>
      </c>
      <c r="L26" s="96" t="s">
        <v>44</v>
      </c>
      <c r="M26" s="96" t="s">
        <v>150</v>
      </c>
      <c r="N26" s="221" t="s">
        <v>20</v>
      </c>
      <c r="O26" s="12" t="s">
        <v>151</v>
      </c>
      <c r="P26" s="13" t="s">
        <v>151</v>
      </c>
      <c r="Q26" s="96" t="s">
        <v>151</v>
      </c>
      <c r="R26" s="318" t="s">
        <v>490</v>
      </c>
      <c r="S26" s="96" t="s">
        <v>491</v>
      </c>
      <c r="T26" s="199" t="s">
        <v>492</v>
      </c>
      <c r="U26" s="97" t="s">
        <v>493</v>
      </c>
      <c r="V26" s="97">
        <v>28103</v>
      </c>
      <c r="W26" s="105" t="s">
        <v>494</v>
      </c>
      <c r="X26" s="105" t="s">
        <v>179</v>
      </c>
      <c r="Y26" s="105" t="s">
        <v>163</v>
      </c>
      <c r="Z26" s="105" t="s">
        <v>158</v>
      </c>
      <c r="AA26" s="96">
        <v>18</v>
      </c>
      <c r="AB26" s="97">
        <v>40917</v>
      </c>
      <c r="AC26" s="282">
        <v>40969</v>
      </c>
      <c r="AD26" s="97"/>
      <c r="AE26" s="97" t="s">
        <v>495</v>
      </c>
      <c r="AF26" s="97" t="s">
        <v>297</v>
      </c>
      <c r="AG26" s="97"/>
      <c r="AH26" s="96">
        <f t="shared" si="0"/>
        <v>2</v>
      </c>
      <c r="AI26" s="97" t="s">
        <v>161</v>
      </c>
      <c r="AJ26" s="97" t="s">
        <v>161</v>
      </c>
      <c r="AK26" s="97"/>
      <c r="AL26" s="97" t="s">
        <v>150</v>
      </c>
      <c r="AM26" s="97" t="s">
        <v>150</v>
      </c>
      <c r="AN26" s="97"/>
      <c r="AO26" s="97" t="s">
        <v>164</v>
      </c>
      <c r="AP26" s="97" t="s">
        <v>496</v>
      </c>
      <c r="AQ26" s="104" t="s">
        <v>217</v>
      </c>
      <c r="AR26" s="97" t="s">
        <v>150</v>
      </c>
      <c r="AS26" s="97" t="s">
        <v>497</v>
      </c>
      <c r="AT26" s="402" t="s">
        <v>498</v>
      </c>
      <c r="AU26" s="96" t="s">
        <v>499</v>
      </c>
      <c r="AV26" s="97"/>
      <c r="AW26" s="99">
        <v>40969</v>
      </c>
      <c r="AX26" s="99">
        <v>41214</v>
      </c>
      <c r="AY26" s="99" t="s">
        <v>150</v>
      </c>
      <c r="AZ26" s="99"/>
      <c r="BA26" s="99"/>
      <c r="BB26" s="99"/>
      <c r="BC26" s="99"/>
      <c r="BD26" s="99"/>
      <c r="BE26" s="100"/>
      <c r="BF26" s="99">
        <v>41852</v>
      </c>
      <c r="BG26" s="99" t="s">
        <v>150</v>
      </c>
      <c r="BH26" s="99">
        <v>42064</v>
      </c>
      <c r="BI26" s="99" t="s">
        <v>150</v>
      </c>
      <c r="BJ26" s="97"/>
      <c r="BK26" s="97"/>
      <c r="BL26" s="97"/>
      <c r="BM26" s="101">
        <v>42460</v>
      </c>
      <c r="BN26" s="96" t="s">
        <v>16</v>
      </c>
      <c r="BO26" s="220">
        <f>DATEDIF(AW26,BM26, "M")+1</f>
        <v>49</v>
      </c>
      <c r="BP26" s="96">
        <f t="shared" si="3"/>
        <v>41</v>
      </c>
      <c r="BQ26" s="96"/>
      <c r="BR26" s="96">
        <v>0</v>
      </c>
      <c r="BS26" s="96">
        <v>4</v>
      </c>
      <c r="BT26" s="96">
        <v>36</v>
      </c>
      <c r="BU26" s="96">
        <v>1</v>
      </c>
      <c r="BV26" s="96">
        <v>0</v>
      </c>
      <c r="BW26" s="96">
        <v>1</v>
      </c>
      <c r="BX26" s="96">
        <v>1</v>
      </c>
      <c r="BY26" s="96" t="s">
        <v>163</v>
      </c>
      <c r="BZ26" s="96">
        <v>0</v>
      </c>
      <c r="CA26" s="96"/>
      <c r="CB26" s="103"/>
      <c r="CC26" s="103"/>
      <c r="CD26" s="96"/>
      <c r="CE26" s="96" t="s">
        <v>163</v>
      </c>
      <c r="CF26" s="96"/>
      <c r="CG26" s="96"/>
      <c r="CH26" s="371">
        <v>2</v>
      </c>
      <c r="CI26" s="96">
        <v>2</v>
      </c>
      <c r="CJ26" s="96"/>
      <c r="CK26" s="96" t="s">
        <v>500</v>
      </c>
    </row>
    <row r="27" spans="1:90" ht="24.95" customHeight="1">
      <c r="A27" s="96">
        <v>28</v>
      </c>
      <c r="B27" s="96" t="s">
        <v>501</v>
      </c>
      <c r="C27" s="96" t="s">
        <v>502</v>
      </c>
      <c r="D27" s="96" t="s">
        <v>503</v>
      </c>
      <c r="E27" s="96" t="s">
        <v>504</v>
      </c>
      <c r="F27" s="96" t="s">
        <v>25</v>
      </c>
      <c r="G27" s="96">
        <v>2</v>
      </c>
      <c r="H27" s="96" t="s">
        <v>53</v>
      </c>
      <c r="I27" s="96" t="s">
        <v>46</v>
      </c>
      <c r="J27" s="96" t="s">
        <v>224</v>
      </c>
      <c r="K27" s="96"/>
      <c r="L27" s="96" t="s">
        <v>44</v>
      </c>
      <c r="M27" s="96" t="s">
        <v>150</v>
      </c>
      <c r="N27" s="96"/>
      <c r="O27" s="96"/>
      <c r="P27" s="96" t="s">
        <v>168</v>
      </c>
      <c r="Q27" s="96"/>
      <c r="R27" s="96" t="s">
        <v>505</v>
      </c>
      <c r="S27" s="96"/>
      <c r="T27" s="199" t="s">
        <v>506</v>
      </c>
      <c r="U27" s="96" t="s">
        <v>507</v>
      </c>
      <c r="V27" s="96">
        <v>26796</v>
      </c>
      <c r="W27" s="96" t="s">
        <v>508</v>
      </c>
      <c r="X27" s="96" t="s">
        <v>179</v>
      </c>
      <c r="Y27" s="96" t="s">
        <v>157</v>
      </c>
      <c r="Z27" s="96" t="s">
        <v>158</v>
      </c>
      <c r="AA27" s="96">
        <v>12</v>
      </c>
      <c r="AB27" s="97">
        <v>40977</v>
      </c>
      <c r="AC27" s="282">
        <v>40969</v>
      </c>
      <c r="AD27" s="96"/>
      <c r="AE27" s="96" t="s">
        <v>509</v>
      </c>
      <c r="AF27" s="97" t="s">
        <v>510</v>
      </c>
      <c r="AG27" s="97"/>
      <c r="AH27" s="96">
        <f t="shared" si="0"/>
        <v>2</v>
      </c>
      <c r="AI27" s="97" t="s">
        <v>161</v>
      </c>
      <c r="AJ27" s="97" t="s">
        <v>202</v>
      </c>
      <c r="AK27" s="97"/>
      <c r="AL27" s="97" t="s">
        <v>150</v>
      </c>
      <c r="AM27" s="97" t="s">
        <v>150</v>
      </c>
      <c r="AN27" s="97"/>
      <c r="AO27" s="97" t="s">
        <v>164</v>
      </c>
      <c r="AP27" s="97" t="s">
        <v>203</v>
      </c>
      <c r="AQ27" s="104" t="s">
        <v>217</v>
      </c>
      <c r="AR27" s="97" t="s">
        <v>150</v>
      </c>
      <c r="AS27" s="97"/>
      <c r="AT27" s="401" t="s">
        <v>298</v>
      </c>
      <c r="AU27" s="96" t="s">
        <v>511</v>
      </c>
      <c r="AV27" s="97"/>
      <c r="AW27" s="99">
        <v>40969</v>
      </c>
      <c r="AX27" s="99">
        <v>41214</v>
      </c>
      <c r="AY27" s="99" t="s">
        <v>150</v>
      </c>
      <c r="AZ27" s="99"/>
      <c r="BA27" s="99"/>
      <c r="BB27" s="99"/>
      <c r="BC27" s="99"/>
      <c r="BD27" s="99"/>
      <c r="BE27" s="100"/>
      <c r="BF27" s="99">
        <v>41852</v>
      </c>
      <c r="BG27" s="99" t="s">
        <v>150</v>
      </c>
      <c r="BH27" s="99">
        <v>42064</v>
      </c>
      <c r="BI27" s="99" t="s">
        <v>150</v>
      </c>
      <c r="BJ27" s="97"/>
      <c r="BK27" s="97"/>
      <c r="BL27" s="97"/>
      <c r="BM27" s="101">
        <v>42704</v>
      </c>
      <c r="BN27" s="96" t="s">
        <v>16</v>
      </c>
      <c r="BO27" s="220">
        <f t="shared" ref="BO27:BO31" si="4">DATEDIF(AW27,BM27, "M")+1</f>
        <v>57</v>
      </c>
      <c r="BP27" s="96">
        <f t="shared" si="3"/>
        <v>49</v>
      </c>
      <c r="BQ27" s="96"/>
      <c r="BR27" s="96">
        <v>2</v>
      </c>
      <c r="BS27" s="96">
        <v>1</v>
      </c>
      <c r="BT27" s="96">
        <v>9</v>
      </c>
      <c r="BU27" s="96">
        <v>1</v>
      </c>
      <c r="BV27" s="96">
        <v>1</v>
      </c>
      <c r="BW27" s="96">
        <v>0</v>
      </c>
      <c r="BX27" s="96">
        <v>0</v>
      </c>
      <c r="BY27" s="96" t="s">
        <v>163</v>
      </c>
      <c r="BZ27" s="96">
        <v>0</v>
      </c>
      <c r="CA27" s="96"/>
      <c r="CB27" s="103"/>
      <c r="CC27" s="103"/>
      <c r="CD27" s="96"/>
      <c r="CE27" s="96" t="s">
        <v>163</v>
      </c>
      <c r="CF27" s="96"/>
      <c r="CG27" s="96"/>
      <c r="CH27" s="371" t="s">
        <v>168</v>
      </c>
      <c r="CI27" s="96" t="s">
        <v>168</v>
      </c>
      <c r="CJ27" s="96"/>
      <c r="CK27" s="96" t="s">
        <v>512</v>
      </c>
    </row>
    <row r="28" spans="1:90" ht="24.95" customHeight="1">
      <c r="A28" s="96">
        <v>29</v>
      </c>
      <c r="B28" s="96" t="s">
        <v>513</v>
      </c>
      <c r="C28" s="96" t="s">
        <v>514</v>
      </c>
      <c r="D28" s="96" t="s">
        <v>20</v>
      </c>
      <c r="E28" s="96" t="s">
        <v>515</v>
      </c>
      <c r="F28" s="96" t="s">
        <v>24</v>
      </c>
      <c r="G28" s="96">
        <v>2</v>
      </c>
      <c r="H28" s="96" t="s">
        <v>52</v>
      </c>
      <c r="I28" s="96" t="s">
        <v>37</v>
      </c>
      <c r="J28" s="96" t="s">
        <v>516</v>
      </c>
      <c r="K28" s="96" t="s">
        <v>517</v>
      </c>
      <c r="L28" s="96" t="s">
        <v>37</v>
      </c>
      <c r="M28" s="96" t="s">
        <v>150</v>
      </c>
      <c r="N28" s="221"/>
      <c r="O28" s="12" t="s">
        <v>151</v>
      </c>
      <c r="P28" s="14" t="s">
        <v>151</v>
      </c>
      <c r="Q28" s="96"/>
      <c r="R28" s="318" t="s">
        <v>518</v>
      </c>
      <c r="S28" s="96" t="s">
        <v>519</v>
      </c>
      <c r="T28" s="196" t="s">
        <v>520</v>
      </c>
      <c r="U28" s="97" t="s">
        <v>521</v>
      </c>
      <c r="V28" s="97">
        <v>27531</v>
      </c>
      <c r="W28" s="105"/>
      <c r="X28" s="105" t="s">
        <v>156</v>
      </c>
      <c r="Y28" s="105" t="s">
        <v>522</v>
      </c>
      <c r="Z28" s="105" t="s">
        <v>158</v>
      </c>
      <c r="AA28" s="96"/>
      <c r="AB28" s="97">
        <v>41334</v>
      </c>
      <c r="AC28" s="282">
        <v>40969</v>
      </c>
      <c r="AD28" s="97"/>
      <c r="AE28" s="96" t="s">
        <v>523</v>
      </c>
      <c r="AF28" s="96" t="s">
        <v>524</v>
      </c>
      <c r="AG28" s="96"/>
      <c r="AH28" s="96">
        <f t="shared" si="0"/>
        <v>2</v>
      </c>
      <c r="AI28" s="96" t="s">
        <v>282</v>
      </c>
      <c r="AJ28" s="96" t="s">
        <v>202</v>
      </c>
      <c r="AK28" s="96"/>
      <c r="AL28" s="96" t="s">
        <v>163</v>
      </c>
      <c r="AM28" s="96" t="s">
        <v>163</v>
      </c>
      <c r="AN28" s="96"/>
      <c r="AO28" s="96" t="s">
        <v>164</v>
      </c>
      <c r="AP28" s="96" t="s">
        <v>250</v>
      </c>
      <c r="AQ28" s="96" t="s">
        <v>217</v>
      </c>
      <c r="AR28" s="96" t="s">
        <v>150</v>
      </c>
      <c r="AS28" s="96"/>
      <c r="AT28" s="11" t="s">
        <v>204</v>
      </c>
      <c r="AU28" s="96" t="s">
        <v>525</v>
      </c>
      <c r="AV28" s="96"/>
      <c r="AW28" s="99">
        <v>40969</v>
      </c>
      <c r="AX28" s="99">
        <v>41214</v>
      </c>
      <c r="AY28" s="96" t="s">
        <v>150</v>
      </c>
      <c r="AZ28" s="96"/>
      <c r="BA28" s="96"/>
      <c r="BB28" s="96"/>
      <c r="BC28" s="96"/>
      <c r="BD28" s="96"/>
      <c r="BE28" s="96"/>
      <c r="BF28" s="99">
        <v>41852</v>
      </c>
      <c r="BG28" s="99" t="s">
        <v>150</v>
      </c>
      <c r="BH28" s="99">
        <v>42064</v>
      </c>
      <c r="BI28" s="99" t="s">
        <v>150</v>
      </c>
      <c r="BJ28" s="97"/>
      <c r="BK28" s="97"/>
      <c r="BL28" s="97"/>
      <c r="BM28" s="101">
        <v>42704</v>
      </c>
      <c r="BN28" s="96" t="s">
        <v>16</v>
      </c>
      <c r="BO28" s="220">
        <f t="shared" si="4"/>
        <v>57</v>
      </c>
      <c r="BP28" s="96">
        <f t="shared" si="3"/>
        <v>49</v>
      </c>
      <c r="BQ28" s="105" t="s">
        <v>526</v>
      </c>
      <c r="BR28" s="96">
        <v>8</v>
      </c>
      <c r="BS28" s="96">
        <v>19</v>
      </c>
      <c r="BT28" s="96">
        <v>43</v>
      </c>
      <c r="BU28" s="96">
        <v>2</v>
      </c>
      <c r="BV28" s="96">
        <v>2</v>
      </c>
      <c r="BW28" s="96">
        <v>1</v>
      </c>
      <c r="BX28" s="96">
        <v>0</v>
      </c>
      <c r="BY28" s="96" t="s">
        <v>163</v>
      </c>
      <c r="BZ28" s="96">
        <v>0</v>
      </c>
      <c r="CA28" s="96"/>
      <c r="CB28" s="103"/>
      <c r="CC28" s="103"/>
      <c r="CD28" s="96"/>
      <c r="CE28" s="96" t="s">
        <v>163</v>
      </c>
      <c r="CF28" s="96"/>
      <c r="CG28" s="96"/>
      <c r="CH28" s="371">
        <v>2</v>
      </c>
      <c r="CI28" s="96">
        <v>2</v>
      </c>
      <c r="CJ28" s="96">
        <v>2</v>
      </c>
      <c r="CK28" s="96" t="s">
        <v>168</v>
      </c>
    </row>
    <row r="29" spans="1:90" ht="24.95" customHeight="1">
      <c r="A29" s="96">
        <v>30</v>
      </c>
      <c r="B29" s="96" t="s">
        <v>527</v>
      </c>
      <c r="C29" s="96" t="s">
        <v>528</v>
      </c>
      <c r="D29" s="96"/>
      <c r="E29" s="96" t="s">
        <v>529</v>
      </c>
      <c r="F29" s="96" t="s">
        <v>24</v>
      </c>
      <c r="G29" s="96">
        <v>2</v>
      </c>
      <c r="H29" s="96" t="s">
        <v>59</v>
      </c>
      <c r="I29" s="96" t="s">
        <v>41</v>
      </c>
      <c r="J29" s="96" t="s">
        <v>477</v>
      </c>
      <c r="K29" s="96" t="s">
        <v>530</v>
      </c>
      <c r="L29" s="96" t="s">
        <v>42</v>
      </c>
      <c r="M29" s="96" t="s">
        <v>163</v>
      </c>
      <c r="N29" s="221"/>
      <c r="O29" s="12" t="s">
        <v>322</v>
      </c>
      <c r="P29" s="13" t="s">
        <v>322</v>
      </c>
      <c r="Q29" s="96" t="s">
        <v>322</v>
      </c>
      <c r="R29" s="96" t="s">
        <v>531</v>
      </c>
      <c r="S29" s="105" t="s">
        <v>532</v>
      </c>
      <c r="T29" s="199"/>
      <c r="U29" s="222" t="s">
        <v>533</v>
      </c>
      <c r="V29" s="222">
        <v>29064</v>
      </c>
      <c r="W29" s="105" t="s">
        <v>534</v>
      </c>
      <c r="X29" s="105" t="s">
        <v>179</v>
      </c>
      <c r="Y29" s="105" t="s">
        <v>163</v>
      </c>
      <c r="Z29" s="105" t="s">
        <v>158</v>
      </c>
      <c r="AA29" s="96">
        <v>21.5</v>
      </c>
      <c r="AB29" s="97">
        <v>40946</v>
      </c>
      <c r="AC29" s="282">
        <v>40969</v>
      </c>
      <c r="AD29" s="97"/>
      <c r="AE29" s="97" t="s">
        <v>535</v>
      </c>
      <c r="AF29" s="97" t="s">
        <v>536</v>
      </c>
      <c r="AG29" s="97"/>
      <c r="AH29" s="96">
        <f t="shared" si="0"/>
        <v>2</v>
      </c>
      <c r="AI29" s="97" t="s">
        <v>162</v>
      </c>
      <c r="AJ29" s="97" t="s">
        <v>162</v>
      </c>
      <c r="AK29" s="97"/>
      <c r="AL29" s="97" t="s">
        <v>150</v>
      </c>
      <c r="AM29" s="97" t="s">
        <v>150</v>
      </c>
      <c r="AN29" s="97"/>
      <c r="AO29" s="97" t="s">
        <v>182</v>
      </c>
      <c r="AP29" s="97" t="s">
        <v>181</v>
      </c>
      <c r="AQ29" s="97" t="s">
        <v>203</v>
      </c>
      <c r="AR29" s="97" t="s">
        <v>150</v>
      </c>
      <c r="AS29" s="97"/>
      <c r="AT29" s="401" t="s">
        <v>537</v>
      </c>
      <c r="AU29" s="96"/>
      <c r="AV29" s="97"/>
      <c r="AW29" s="99">
        <v>40969</v>
      </c>
      <c r="AX29" s="99">
        <v>41214</v>
      </c>
      <c r="AY29" s="99" t="s">
        <v>150</v>
      </c>
      <c r="AZ29" s="99"/>
      <c r="BA29" s="99"/>
      <c r="BB29" s="99"/>
      <c r="BC29" s="99"/>
      <c r="BD29" s="99"/>
      <c r="BE29" s="100"/>
      <c r="BF29" s="99">
        <v>41852</v>
      </c>
      <c r="BG29" s="99" t="s">
        <v>150</v>
      </c>
      <c r="BH29" s="99">
        <v>42064</v>
      </c>
      <c r="BI29" s="99" t="s">
        <v>150</v>
      </c>
      <c r="BJ29" s="97"/>
      <c r="BK29" s="97"/>
      <c r="BL29" s="97"/>
      <c r="BM29" s="101">
        <v>42735</v>
      </c>
      <c r="BN29" s="96" t="s">
        <v>16</v>
      </c>
      <c r="BO29" s="220">
        <f t="shared" si="4"/>
        <v>58</v>
      </c>
      <c r="BP29" s="96">
        <f t="shared" si="3"/>
        <v>50</v>
      </c>
      <c r="BQ29" s="96"/>
      <c r="BR29" s="96" t="s">
        <v>168</v>
      </c>
      <c r="BS29" s="96">
        <v>0</v>
      </c>
      <c r="BT29" s="96">
        <v>1</v>
      </c>
      <c r="BU29" s="96">
        <v>0</v>
      </c>
      <c r="BV29" s="96">
        <v>0</v>
      </c>
      <c r="BW29" s="96">
        <v>0</v>
      </c>
      <c r="BX29" s="96">
        <v>1</v>
      </c>
      <c r="BY29" s="96" t="s">
        <v>163</v>
      </c>
      <c r="BZ29" s="96">
        <v>0</v>
      </c>
      <c r="CA29" s="96"/>
      <c r="CB29" s="103"/>
      <c r="CC29" s="103"/>
      <c r="CD29" s="96"/>
      <c r="CE29" s="96" t="s">
        <v>163</v>
      </c>
      <c r="CF29" s="96"/>
      <c r="CG29" s="96"/>
      <c r="CH29" s="371" t="s">
        <v>168</v>
      </c>
      <c r="CI29" s="96" t="s">
        <v>168</v>
      </c>
      <c r="CJ29" s="96"/>
      <c r="CK29" s="96" t="s">
        <v>538</v>
      </c>
    </row>
    <row r="30" spans="1:90" ht="24.95" customHeight="1">
      <c r="A30" s="96">
        <v>31</v>
      </c>
      <c r="B30" s="96" t="s">
        <v>539</v>
      </c>
      <c r="C30" s="96" t="s">
        <v>540</v>
      </c>
      <c r="D30" s="96" t="s">
        <v>541</v>
      </c>
      <c r="E30" s="96" t="s">
        <v>542</v>
      </c>
      <c r="F30" s="96" t="s">
        <v>25</v>
      </c>
      <c r="G30" s="96">
        <v>2</v>
      </c>
      <c r="H30" s="96" t="s">
        <v>60</v>
      </c>
      <c r="I30" s="96" t="s">
        <v>35</v>
      </c>
      <c r="J30" s="96" t="s">
        <v>477</v>
      </c>
      <c r="K30" s="96" t="s">
        <v>543</v>
      </c>
      <c r="L30" s="96" t="s">
        <v>35</v>
      </c>
      <c r="M30" s="96" t="s">
        <v>150</v>
      </c>
      <c r="N30" s="221"/>
      <c r="O30" s="12" t="s">
        <v>151</v>
      </c>
      <c r="P30" s="13" t="s">
        <v>240</v>
      </c>
      <c r="Q30" s="96" t="s">
        <v>151</v>
      </c>
      <c r="R30" s="318" t="s">
        <v>544</v>
      </c>
      <c r="S30" s="96" t="s">
        <v>545</v>
      </c>
      <c r="T30" s="196" t="s">
        <v>546</v>
      </c>
      <c r="U30" s="97" t="s">
        <v>547</v>
      </c>
      <c r="V30" s="97">
        <v>30697</v>
      </c>
      <c r="W30" s="105" t="s">
        <v>548</v>
      </c>
      <c r="X30" s="105" t="s">
        <v>179</v>
      </c>
      <c r="Y30" s="105" t="s">
        <v>163</v>
      </c>
      <c r="Z30" s="105" t="s">
        <v>158</v>
      </c>
      <c r="AA30" s="96">
        <v>2</v>
      </c>
      <c r="AB30" s="97">
        <v>40946</v>
      </c>
      <c r="AC30" s="282">
        <v>40969</v>
      </c>
      <c r="AD30" s="97"/>
      <c r="AE30" s="97" t="s">
        <v>549</v>
      </c>
      <c r="AF30" s="97" t="s">
        <v>550</v>
      </c>
      <c r="AG30" s="97"/>
      <c r="AH30" s="96">
        <f t="shared" si="0"/>
        <v>2</v>
      </c>
      <c r="AI30" s="97" t="s">
        <v>161</v>
      </c>
      <c r="AJ30" s="97" t="s">
        <v>161</v>
      </c>
      <c r="AK30" s="97"/>
      <c r="AL30" s="97" t="s">
        <v>150</v>
      </c>
      <c r="AM30" s="97" t="s">
        <v>163</v>
      </c>
      <c r="AN30" s="97"/>
      <c r="AO30" s="97" t="s">
        <v>164</v>
      </c>
      <c r="AP30" s="97" t="s">
        <v>181</v>
      </c>
      <c r="AQ30" s="97" t="s">
        <v>250</v>
      </c>
      <c r="AR30" s="97" t="s">
        <v>150</v>
      </c>
      <c r="AS30" s="97" t="s">
        <v>551</v>
      </c>
      <c r="AT30" s="401" t="s">
        <v>552</v>
      </c>
      <c r="AU30" s="96" t="s">
        <v>553</v>
      </c>
      <c r="AV30" s="97"/>
      <c r="AW30" s="99">
        <v>40969</v>
      </c>
      <c r="AX30" s="99">
        <v>41214</v>
      </c>
      <c r="AY30" s="99" t="s">
        <v>150</v>
      </c>
      <c r="AZ30" s="99"/>
      <c r="BA30" s="99"/>
      <c r="BB30" s="99"/>
      <c r="BC30" s="99"/>
      <c r="BD30" s="99"/>
      <c r="BE30" s="100" t="s">
        <v>554</v>
      </c>
      <c r="BF30" s="99">
        <v>41852</v>
      </c>
      <c r="BG30" s="99" t="s">
        <v>150</v>
      </c>
      <c r="BH30" s="99">
        <v>42064</v>
      </c>
      <c r="BI30" s="99" t="s">
        <v>150</v>
      </c>
      <c r="BJ30" s="97"/>
      <c r="BK30" s="97"/>
      <c r="BL30" s="97"/>
      <c r="BM30" s="101">
        <v>42460</v>
      </c>
      <c r="BN30" s="96" t="s">
        <v>16</v>
      </c>
      <c r="BO30" s="220">
        <f t="shared" si="4"/>
        <v>49</v>
      </c>
      <c r="BP30" s="96">
        <f t="shared" si="3"/>
        <v>41</v>
      </c>
      <c r="BQ30" s="105" t="s">
        <v>554</v>
      </c>
      <c r="BR30" s="96">
        <v>0</v>
      </c>
      <c r="BS30" s="96">
        <v>10</v>
      </c>
      <c r="BT30" s="96">
        <v>16</v>
      </c>
      <c r="BU30" s="96">
        <v>6</v>
      </c>
      <c r="BV30" s="96">
        <v>2</v>
      </c>
      <c r="BW30" s="96">
        <v>2</v>
      </c>
      <c r="BX30" s="96">
        <v>0</v>
      </c>
      <c r="BY30" s="96" t="s">
        <v>163</v>
      </c>
      <c r="BZ30" s="96">
        <v>0</v>
      </c>
      <c r="CA30" s="96"/>
      <c r="CB30" s="103"/>
      <c r="CC30" s="103"/>
      <c r="CD30" s="96"/>
      <c r="CE30" s="96" t="s">
        <v>163</v>
      </c>
      <c r="CF30" s="96"/>
      <c r="CG30" s="96"/>
      <c r="CH30" s="371">
        <v>2</v>
      </c>
      <c r="CI30" s="96">
        <v>3</v>
      </c>
      <c r="CJ30" s="96"/>
      <c r="CK30" s="96" t="s">
        <v>538</v>
      </c>
    </row>
    <row r="31" spans="1:90" ht="24.95" customHeight="1">
      <c r="A31" s="96">
        <v>32</v>
      </c>
      <c r="B31" s="96" t="s">
        <v>555</v>
      </c>
      <c r="C31" s="96" t="s">
        <v>556</v>
      </c>
      <c r="D31" s="96" t="s">
        <v>557</v>
      </c>
      <c r="E31" s="96" t="s">
        <v>558</v>
      </c>
      <c r="F31" s="96" t="s">
        <v>25</v>
      </c>
      <c r="G31" s="96">
        <v>2</v>
      </c>
      <c r="H31" s="96" t="s">
        <v>54</v>
      </c>
      <c r="I31" s="96" t="s">
        <v>31</v>
      </c>
      <c r="J31" s="96" t="s">
        <v>559</v>
      </c>
      <c r="K31" s="96" t="s">
        <v>560</v>
      </c>
      <c r="L31" s="96" t="s">
        <v>31</v>
      </c>
      <c r="M31" s="96" t="s">
        <v>150</v>
      </c>
      <c r="N31" s="221">
        <v>152419</v>
      </c>
      <c r="O31" s="12"/>
      <c r="P31" s="15" t="s">
        <v>151</v>
      </c>
      <c r="Q31" s="96"/>
      <c r="R31" s="318" t="s">
        <v>561</v>
      </c>
      <c r="S31" s="96" t="s">
        <v>562</v>
      </c>
      <c r="T31" s="196" t="s">
        <v>563</v>
      </c>
      <c r="U31" s="97" t="s">
        <v>564</v>
      </c>
      <c r="V31" s="97">
        <v>27076</v>
      </c>
      <c r="W31" s="105" t="s">
        <v>565</v>
      </c>
      <c r="X31" s="105" t="s">
        <v>179</v>
      </c>
      <c r="Y31" s="105" t="s">
        <v>163</v>
      </c>
      <c r="Z31" s="105" t="s">
        <v>158</v>
      </c>
      <c r="AA31" s="96">
        <v>4</v>
      </c>
      <c r="AB31" s="97">
        <v>40987</v>
      </c>
      <c r="AC31" s="282">
        <v>40969</v>
      </c>
      <c r="AD31" s="97"/>
      <c r="AE31" s="97" t="s">
        <v>566</v>
      </c>
      <c r="AF31" s="97"/>
      <c r="AG31" s="97"/>
      <c r="AH31" s="96">
        <f t="shared" si="0"/>
        <v>1</v>
      </c>
      <c r="AI31" s="97" t="s">
        <v>161</v>
      </c>
      <c r="AJ31" s="97"/>
      <c r="AK31" s="97"/>
      <c r="AL31" s="97" t="s">
        <v>150</v>
      </c>
      <c r="AM31" s="97"/>
      <c r="AN31" s="97"/>
      <c r="AO31" s="97" t="s">
        <v>164</v>
      </c>
      <c r="AP31" s="97" t="s">
        <v>283</v>
      </c>
      <c r="AQ31" s="97" t="s">
        <v>313</v>
      </c>
      <c r="AR31" s="97" t="s">
        <v>150</v>
      </c>
      <c r="AS31" s="97"/>
      <c r="AT31" s="401" t="s">
        <v>328</v>
      </c>
      <c r="AU31" s="96" t="s">
        <v>567</v>
      </c>
      <c r="AV31" s="97"/>
      <c r="AW31" s="99">
        <v>40969</v>
      </c>
      <c r="AX31" s="99">
        <v>41214</v>
      </c>
      <c r="AY31" s="99" t="s">
        <v>150</v>
      </c>
      <c r="AZ31" s="99"/>
      <c r="BA31" s="99"/>
      <c r="BB31" s="99"/>
      <c r="BC31" s="99"/>
      <c r="BD31" s="99"/>
      <c r="BE31" s="100"/>
      <c r="BF31" s="99">
        <v>41852</v>
      </c>
      <c r="BG31" s="99" t="s">
        <v>150</v>
      </c>
      <c r="BH31" s="99">
        <v>42064</v>
      </c>
      <c r="BI31" s="99" t="s">
        <v>150</v>
      </c>
      <c r="BJ31" s="97"/>
      <c r="BK31" s="97"/>
      <c r="BL31" s="97"/>
      <c r="BM31" s="101">
        <v>41729</v>
      </c>
      <c r="BN31" s="96" t="s">
        <v>16</v>
      </c>
      <c r="BO31" s="220">
        <f t="shared" si="4"/>
        <v>25</v>
      </c>
      <c r="BP31" s="96">
        <f t="shared" si="3"/>
        <v>17</v>
      </c>
      <c r="BQ31" s="96"/>
      <c r="BR31" s="96">
        <v>6</v>
      </c>
      <c r="BS31" s="96">
        <v>6</v>
      </c>
      <c r="BT31" s="96">
        <v>93</v>
      </c>
      <c r="BU31" s="96">
        <v>8</v>
      </c>
      <c r="BV31" s="96">
        <v>4</v>
      </c>
      <c r="BW31" s="96">
        <v>18</v>
      </c>
      <c r="BX31" s="96">
        <v>4</v>
      </c>
      <c r="BY31" s="96" t="s">
        <v>163</v>
      </c>
      <c r="BZ31" s="96">
        <v>0</v>
      </c>
      <c r="CA31" s="96"/>
      <c r="CB31" s="103"/>
      <c r="CC31" s="103"/>
      <c r="CD31" s="96"/>
      <c r="CE31" s="96" t="s">
        <v>163</v>
      </c>
      <c r="CF31" s="96"/>
      <c r="CG31" s="96"/>
      <c r="CH31" s="371" t="s">
        <v>168</v>
      </c>
      <c r="CI31" s="96">
        <v>2</v>
      </c>
      <c r="CJ31" s="96"/>
      <c r="CK31" s="96" t="s">
        <v>568</v>
      </c>
    </row>
    <row r="32" spans="1:90" ht="24.95" customHeight="1">
      <c r="A32" s="96">
        <v>33</v>
      </c>
      <c r="B32" s="96" t="s">
        <v>569</v>
      </c>
      <c r="C32" s="96" t="s">
        <v>570</v>
      </c>
      <c r="D32" s="96"/>
      <c r="E32" s="96" t="s">
        <v>571</v>
      </c>
      <c r="F32" s="96" t="s">
        <v>25</v>
      </c>
      <c r="G32" s="96">
        <v>2</v>
      </c>
      <c r="H32" s="96" t="s">
        <v>60</v>
      </c>
      <c r="I32" s="96" t="s">
        <v>35</v>
      </c>
      <c r="J32" s="96" t="s">
        <v>477</v>
      </c>
      <c r="K32" s="96"/>
      <c r="L32" s="96" t="s">
        <v>35</v>
      </c>
      <c r="M32" s="96" t="s">
        <v>150</v>
      </c>
      <c r="N32" s="96"/>
      <c r="O32" s="104"/>
      <c r="P32" s="219" t="s">
        <v>168</v>
      </c>
      <c r="Q32" s="96"/>
      <c r="R32" s="96" t="s">
        <v>572</v>
      </c>
      <c r="S32" s="105" t="s">
        <v>573</v>
      </c>
      <c r="T32" s="196" t="s">
        <v>574</v>
      </c>
      <c r="U32" s="97" t="s">
        <v>575</v>
      </c>
      <c r="V32" s="97">
        <v>29825</v>
      </c>
      <c r="W32" s="105" t="s">
        <v>576</v>
      </c>
      <c r="X32" s="105" t="s">
        <v>156</v>
      </c>
      <c r="Y32" s="105" t="s">
        <v>157</v>
      </c>
      <c r="Z32" s="105" t="s">
        <v>158</v>
      </c>
      <c r="AA32" s="96">
        <v>18.5</v>
      </c>
      <c r="AB32" s="97">
        <v>40933</v>
      </c>
      <c r="AC32" s="282">
        <v>40969</v>
      </c>
      <c r="AD32" s="97"/>
      <c r="AE32" s="97" t="s">
        <v>577</v>
      </c>
      <c r="AF32" s="97" t="s">
        <v>578</v>
      </c>
      <c r="AG32" s="97"/>
      <c r="AH32" s="96">
        <f t="shared" ref="AH32:AH63" si="5">COUNTA(AE32:AG32)</f>
        <v>2</v>
      </c>
      <c r="AI32" s="97" t="s">
        <v>161</v>
      </c>
      <c r="AJ32" s="97" t="s">
        <v>202</v>
      </c>
      <c r="AK32" s="97"/>
      <c r="AL32" s="97" t="s">
        <v>150</v>
      </c>
      <c r="AM32" s="97" t="s">
        <v>163</v>
      </c>
      <c r="AN32" s="97"/>
      <c r="AO32" s="97" t="s">
        <v>164</v>
      </c>
      <c r="AP32" s="97" t="s">
        <v>579</v>
      </c>
      <c r="AQ32" s="97"/>
      <c r="AR32" s="97"/>
      <c r="AS32" s="97"/>
      <c r="AT32" s="401" t="s">
        <v>580</v>
      </c>
      <c r="AU32" s="96" t="s">
        <v>581</v>
      </c>
      <c r="AV32" s="97"/>
      <c r="AW32" s="99">
        <v>40969</v>
      </c>
      <c r="AX32" s="99">
        <v>41214</v>
      </c>
      <c r="AY32" s="99" t="s">
        <v>150</v>
      </c>
      <c r="AZ32" s="99"/>
      <c r="BA32" s="99"/>
      <c r="BB32" s="99"/>
      <c r="BC32" s="99"/>
      <c r="BD32" s="99"/>
      <c r="BE32" s="100"/>
      <c r="BF32" s="99">
        <v>41852</v>
      </c>
      <c r="BG32" s="99" t="s">
        <v>150</v>
      </c>
      <c r="BH32" s="99">
        <v>42064</v>
      </c>
      <c r="BI32" s="99" t="s">
        <v>150</v>
      </c>
      <c r="BJ32" s="97"/>
      <c r="BK32" s="97"/>
      <c r="BL32" s="97"/>
      <c r="BM32" s="101"/>
      <c r="BN32" s="106" t="s">
        <v>17</v>
      </c>
      <c r="BO32" s="220"/>
      <c r="BP32" s="96"/>
      <c r="BQ32" s="96"/>
      <c r="BR32" s="96">
        <v>1</v>
      </c>
      <c r="BS32" s="96">
        <v>9</v>
      </c>
      <c r="BT32" s="96">
        <v>0</v>
      </c>
      <c r="BU32" s="96">
        <v>1</v>
      </c>
      <c r="BV32" s="96">
        <v>0</v>
      </c>
      <c r="BW32" s="96">
        <v>0</v>
      </c>
      <c r="BX32" s="96">
        <v>0</v>
      </c>
      <c r="BY32" s="96" t="s">
        <v>163</v>
      </c>
      <c r="BZ32" s="96">
        <v>0</v>
      </c>
      <c r="CA32" s="96"/>
      <c r="CB32" s="103"/>
      <c r="CC32" s="103"/>
      <c r="CD32" s="96"/>
      <c r="CE32" s="96" t="s">
        <v>163</v>
      </c>
      <c r="CF32" s="96"/>
      <c r="CG32" s="96"/>
      <c r="CH32" s="371">
        <v>3</v>
      </c>
      <c r="CI32" s="96" t="s">
        <v>168</v>
      </c>
      <c r="CJ32" s="96"/>
      <c r="CK32" s="96" t="s">
        <v>512</v>
      </c>
    </row>
    <row r="33" spans="1:102" ht="24.95" customHeight="1">
      <c r="A33" s="96">
        <v>34</v>
      </c>
      <c r="B33" s="96" t="s">
        <v>582</v>
      </c>
      <c r="C33" s="96" t="s">
        <v>583</v>
      </c>
      <c r="D33" s="96" t="s">
        <v>584</v>
      </c>
      <c r="E33" s="96" t="s">
        <v>585</v>
      </c>
      <c r="F33" s="96" t="s">
        <v>25</v>
      </c>
      <c r="G33" s="96">
        <v>2</v>
      </c>
      <c r="H33" s="96" t="s">
        <v>53</v>
      </c>
      <c r="I33" s="96" t="s">
        <v>46</v>
      </c>
      <c r="J33" s="96" t="s">
        <v>477</v>
      </c>
      <c r="K33" s="96" t="s">
        <v>543</v>
      </c>
      <c r="L33" s="96" t="s">
        <v>44</v>
      </c>
      <c r="M33" s="96" t="s">
        <v>150</v>
      </c>
      <c r="N33" s="221"/>
      <c r="O33" s="12" t="s">
        <v>151</v>
      </c>
      <c r="P33" s="13" t="s">
        <v>151</v>
      </c>
      <c r="Q33" s="96" t="s">
        <v>151</v>
      </c>
      <c r="R33" s="96" t="s">
        <v>586</v>
      </c>
      <c r="S33" s="96" t="s">
        <v>587</v>
      </c>
      <c r="T33" s="199"/>
      <c r="U33" s="97" t="s">
        <v>588</v>
      </c>
      <c r="V33" s="97">
        <v>29122</v>
      </c>
      <c r="W33" s="105" t="s">
        <v>589</v>
      </c>
      <c r="X33" s="105" t="s">
        <v>156</v>
      </c>
      <c r="Y33" s="105" t="s">
        <v>157</v>
      </c>
      <c r="Z33" s="105" t="s">
        <v>158</v>
      </c>
      <c r="AA33" s="96">
        <v>5.5</v>
      </c>
      <c r="AB33" s="97">
        <v>40961</v>
      </c>
      <c r="AC33" s="282">
        <v>40969</v>
      </c>
      <c r="AD33" s="97"/>
      <c r="AE33" s="97" t="s">
        <v>590</v>
      </c>
      <c r="AF33" s="97" t="s">
        <v>591</v>
      </c>
      <c r="AG33" s="97" t="s">
        <v>592</v>
      </c>
      <c r="AH33" s="96">
        <f t="shared" si="5"/>
        <v>3</v>
      </c>
      <c r="AI33" s="97" t="s">
        <v>161</v>
      </c>
      <c r="AJ33" s="97" t="s">
        <v>202</v>
      </c>
      <c r="AK33" s="97"/>
      <c r="AL33" s="97" t="s">
        <v>150</v>
      </c>
      <c r="AM33" s="97" t="s">
        <v>163</v>
      </c>
      <c r="AN33" s="97"/>
      <c r="AO33" s="97"/>
      <c r="AP33" s="97" t="s">
        <v>593</v>
      </c>
      <c r="AQ33" s="97" t="s">
        <v>594</v>
      </c>
      <c r="AR33" s="97" t="s">
        <v>150</v>
      </c>
      <c r="AS33" s="97"/>
      <c r="AT33" s="401" t="s">
        <v>595</v>
      </c>
      <c r="AU33" s="96" t="s">
        <v>596</v>
      </c>
      <c r="AV33" s="97"/>
      <c r="AW33" s="99">
        <v>40969</v>
      </c>
      <c r="AX33" s="99">
        <v>41214</v>
      </c>
      <c r="AY33" s="99" t="s">
        <v>150</v>
      </c>
      <c r="AZ33" s="99"/>
      <c r="BA33" s="99"/>
      <c r="BB33" s="99"/>
      <c r="BC33" s="99"/>
      <c r="BD33" s="99"/>
      <c r="BE33" s="100" t="s">
        <v>597</v>
      </c>
      <c r="BF33" s="99">
        <v>41852</v>
      </c>
      <c r="BG33" s="99" t="s">
        <v>150</v>
      </c>
      <c r="BH33" s="99">
        <v>42064</v>
      </c>
      <c r="BI33" s="99" t="s">
        <v>150</v>
      </c>
      <c r="BJ33" s="97"/>
      <c r="BK33" s="97"/>
      <c r="BL33" s="97"/>
      <c r="BM33" s="101">
        <v>42185</v>
      </c>
      <c r="BN33" s="96" t="s">
        <v>16</v>
      </c>
      <c r="BO33" s="220">
        <f t="shared" ref="BO33:BO36" si="6">DATEDIF(AW33,BM33, "M")+1</f>
        <v>40</v>
      </c>
      <c r="BP33" s="96">
        <f t="shared" ref="BP33:BP38" si="7">DATEDIF(AX33,BM33, "M")+1</f>
        <v>32</v>
      </c>
      <c r="BQ33" s="105" t="s">
        <v>597</v>
      </c>
      <c r="BR33" s="96">
        <v>3</v>
      </c>
      <c r="BS33" s="96">
        <v>1</v>
      </c>
      <c r="BT33" s="96">
        <v>13</v>
      </c>
      <c r="BU33" s="96">
        <v>3</v>
      </c>
      <c r="BV33" s="96">
        <v>0</v>
      </c>
      <c r="BW33" s="96">
        <v>0</v>
      </c>
      <c r="BX33" s="96">
        <v>0</v>
      </c>
      <c r="BY33" s="96" t="s">
        <v>163</v>
      </c>
      <c r="BZ33" s="96">
        <v>0</v>
      </c>
      <c r="CA33" s="96"/>
      <c r="CB33" s="103"/>
      <c r="CC33" s="103"/>
      <c r="CD33" s="96"/>
      <c r="CE33" s="96" t="s">
        <v>163</v>
      </c>
      <c r="CF33" s="96"/>
      <c r="CG33" s="96"/>
      <c r="CH33" s="371">
        <v>1</v>
      </c>
      <c r="CI33" s="96">
        <v>2</v>
      </c>
      <c r="CJ33" s="96"/>
      <c r="CK33" s="96" t="s">
        <v>168</v>
      </c>
    </row>
    <row r="34" spans="1:102" ht="24.95" customHeight="1">
      <c r="A34" s="96">
        <v>35</v>
      </c>
      <c r="B34" s="96" t="s">
        <v>598</v>
      </c>
      <c r="C34" s="96" t="s">
        <v>599</v>
      </c>
      <c r="D34" s="96" t="s">
        <v>600</v>
      </c>
      <c r="E34" s="96" t="s">
        <v>601</v>
      </c>
      <c r="F34" s="96" t="s">
        <v>25</v>
      </c>
      <c r="G34" s="96">
        <v>2</v>
      </c>
      <c r="H34" s="96" t="s">
        <v>52</v>
      </c>
      <c r="I34" s="96" t="s">
        <v>38</v>
      </c>
      <c r="J34" s="96" t="s">
        <v>602</v>
      </c>
      <c r="K34" s="96" t="s">
        <v>603</v>
      </c>
      <c r="L34" s="96" t="s">
        <v>45</v>
      </c>
      <c r="M34" s="96" t="s">
        <v>163</v>
      </c>
      <c r="N34" s="221"/>
      <c r="O34" s="12" t="s">
        <v>151</v>
      </c>
      <c r="P34" s="13" t="s">
        <v>151</v>
      </c>
      <c r="Q34" s="96" t="s">
        <v>151</v>
      </c>
      <c r="R34" s="96" t="s">
        <v>604</v>
      </c>
      <c r="S34" s="107" t="s">
        <v>605</v>
      </c>
      <c r="T34" s="196" t="s">
        <v>606</v>
      </c>
      <c r="U34" s="222" t="s">
        <v>607</v>
      </c>
      <c r="V34" s="222">
        <v>29322</v>
      </c>
      <c r="W34" s="105" t="s">
        <v>608</v>
      </c>
      <c r="X34" s="105" t="s">
        <v>179</v>
      </c>
      <c r="Y34" s="105" t="s">
        <v>157</v>
      </c>
      <c r="Z34" s="105" t="s">
        <v>158</v>
      </c>
      <c r="AA34" s="96">
        <v>2</v>
      </c>
      <c r="AB34" s="97">
        <v>40987</v>
      </c>
      <c r="AC34" s="282">
        <v>40969</v>
      </c>
      <c r="AD34" s="97"/>
      <c r="AE34" s="97" t="s">
        <v>609</v>
      </c>
      <c r="AF34" s="97" t="s">
        <v>610</v>
      </c>
      <c r="AG34" s="97" t="s">
        <v>611</v>
      </c>
      <c r="AH34" s="96">
        <f t="shared" si="5"/>
        <v>3</v>
      </c>
      <c r="AI34" s="97" t="s">
        <v>161</v>
      </c>
      <c r="AJ34" s="97" t="s">
        <v>161</v>
      </c>
      <c r="AK34" s="97" t="s">
        <v>202</v>
      </c>
      <c r="AL34" s="97" t="s">
        <v>150</v>
      </c>
      <c r="AM34" s="97" t="s">
        <v>150</v>
      </c>
      <c r="AN34" s="97" t="s">
        <v>163</v>
      </c>
      <c r="AO34" s="97" t="s">
        <v>182</v>
      </c>
      <c r="AP34" s="97" t="s">
        <v>612</v>
      </c>
      <c r="AQ34" s="295" t="s">
        <v>613</v>
      </c>
      <c r="AR34" s="97" t="s">
        <v>150</v>
      </c>
      <c r="AS34" s="97"/>
      <c r="AT34" s="402" t="s">
        <v>614</v>
      </c>
      <c r="AU34" s="96" t="s">
        <v>615</v>
      </c>
      <c r="AV34" s="97"/>
      <c r="AW34" s="99">
        <v>40973</v>
      </c>
      <c r="AX34" s="99">
        <v>41225</v>
      </c>
      <c r="AY34" s="99" t="s">
        <v>150</v>
      </c>
      <c r="AZ34" s="99">
        <v>41740</v>
      </c>
      <c r="BA34" s="99"/>
      <c r="BB34" s="99">
        <v>41880</v>
      </c>
      <c r="BC34" s="99"/>
      <c r="BD34" s="99"/>
      <c r="BE34" s="100"/>
      <c r="BF34" s="99">
        <v>41852</v>
      </c>
      <c r="BG34" s="99" t="s">
        <v>150</v>
      </c>
      <c r="BH34" s="99">
        <v>42064</v>
      </c>
      <c r="BI34" s="99" t="s">
        <v>150</v>
      </c>
      <c r="BJ34" s="97">
        <v>42859</v>
      </c>
      <c r="BK34" s="97">
        <v>42859</v>
      </c>
      <c r="BL34" s="97">
        <v>43047</v>
      </c>
      <c r="BM34" s="101">
        <v>43438</v>
      </c>
      <c r="BN34" s="96" t="s">
        <v>16</v>
      </c>
      <c r="BO34" s="220">
        <f t="shared" si="6"/>
        <v>81</v>
      </c>
      <c r="BP34" s="96">
        <f t="shared" si="7"/>
        <v>73</v>
      </c>
      <c r="BQ34" s="105" t="s">
        <v>616</v>
      </c>
      <c r="BR34" s="96">
        <v>6</v>
      </c>
      <c r="BS34" s="96">
        <v>20</v>
      </c>
      <c r="BT34" s="96">
        <v>7</v>
      </c>
      <c r="BU34" s="96">
        <v>1</v>
      </c>
      <c r="BV34" s="96">
        <v>2</v>
      </c>
      <c r="BW34" s="96">
        <v>0</v>
      </c>
      <c r="BX34" s="96">
        <v>0</v>
      </c>
      <c r="BY34" s="96" t="s">
        <v>163</v>
      </c>
      <c r="BZ34" s="96">
        <v>0</v>
      </c>
      <c r="CA34" s="96"/>
      <c r="CB34" s="103"/>
      <c r="CC34" s="103"/>
      <c r="CD34" s="96"/>
      <c r="CE34" s="96" t="s">
        <v>163</v>
      </c>
      <c r="CF34" s="96"/>
      <c r="CG34" s="96"/>
      <c r="CH34" s="371">
        <v>1</v>
      </c>
      <c r="CI34" s="96">
        <v>3</v>
      </c>
      <c r="CJ34" s="96"/>
      <c r="CK34" s="96" t="s">
        <v>512</v>
      </c>
    </row>
    <row r="35" spans="1:102" ht="24.95" customHeight="1">
      <c r="A35" s="96">
        <v>36</v>
      </c>
      <c r="B35" s="96" t="s">
        <v>617</v>
      </c>
      <c r="C35" s="96" t="s">
        <v>618</v>
      </c>
      <c r="D35" s="96" t="s">
        <v>619</v>
      </c>
      <c r="E35" s="96" t="s">
        <v>620</v>
      </c>
      <c r="F35" s="96" t="s">
        <v>25</v>
      </c>
      <c r="G35" s="96">
        <v>2</v>
      </c>
      <c r="H35" s="96" t="s">
        <v>52</v>
      </c>
      <c r="I35" s="96" t="s">
        <v>42</v>
      </c>
      <c r="J35" s="96" t="s">
        <v>621</v>
      </c>
      <c r="K35" s="96" t="s">
        <v>622</v>
      </c>
      <c r="L35" s="96" t="s">
        <v>42</v>
      </c>
      <c r="M35" s="96" t="s">
        <v>150</v>
      </c>
      <c r="N35" s="221"/>
      <c r="O35" s="12"/>
      <c r="P35" s="13" t="s">
        <v>168</v>
      </c>
      <c r="Q35" s="96"/>
      <c r="R35" s="96" t="s">
        <v>623</v>
      </c>
      <c r="S35" s="96"/>
      <c r="T35" s="196" t="s">
        <v>624</v>
      </c>
      <c r="U35" s="97" t="s">
        <v>168</v>
      </c>
      <c r="V35" s="97">
        <v>26369</v>
      </c>
      <c r="W35" s="105" t="s">
        <v>625</v>
      </c>
      <c r="X35" s="105" t="s">
        <v>179</v>
      </c>
      <c r="Y35" s="105" t="s">
        <v>163</v>
      </c>
      <c r="Z35" s="105" t="s">
        <v>158</v>
      </c>
      <c r="AA35" s="96">
        <v>15</v>
      </c>
      <c r="AB35" s="97">
        <v>40959</v>
      </c>
      <c r="AC35" s="282">
        <v>40969</v>
      </c>
      <c r="AD35" s="97"/>
      <c r="AE35" s="97" t="s">
        <v>535</v>
      </c>
      <c r="AF35" s="97" t="s">
        <v>626</v>
      </c>
      <c r="AG35" s="97"/>
      <c r="AH35" s="96">
        <f t="shared" si="5"/>
        <v>2</v>
      </c>
      <c r="AI35" s="97" t="s">
        <v>161</v>
      </c>
      <c r="AJ35" s="97" t="s">
        <v>161</v>
      </c>
      <c r="AK35" s="97"/>
      <c r="AL35" s="97" t="s">
        <v>150</v>
      </c>
      <c r="AM35" s="97" t="s">
        <v>163</v>
      </c>
      <c r="AN35" s="97"/>
      <c r="AO35" s="97" t="s">
        <v>164</v>
      </c>
      <c r="AP35" s="97"/>
      <c r="AQ35" s="97"/>
      <c r="AR35" s="97"/>
      <c r="AS35" s="97"/>
      <c r="AT35" s="401" t="s">
        <v>168</v>
      </c>
      <c r="AU35" s="96" t="s">
        <v>627</v>
      </c>
      <c r="AV35" s="97"/>
      <c r="AW35" s="99">
        <v>40969</v>
      </c>
      <c r="AX35" s="99">
        <v>41214</v>
      </c>
      <c r="AY35" s="99" t="s">
        <v>150</v>
      </c>
      <c r="AZ35" s="99"/>
      <c r="BA35" s="99"/>
      <c r="BB35" s="99"/>
      <c r="BC35" s="99"/>
      <c r="BD35" s="99"/>
      <c r="BE35" s="100"/>
      <c r="BF35" s="99">
        <v>41852</v>
      </c>
      <c r="BG35" s="99" t="s">
        <v>150</v>
      </c>
      <c r="BH35" s="99">
        <v>42064</v>
      </c>
      <c r="BI35" s="99" t="s">
        <v>150</v>
      </c>
      <c r="BJ35" s="97"/>
      <c r="BK35" s="97"/>
      <c r="BL35" s="97"/>
      <c r="BM35" s="101">
        <v>42735</v>
      </c>
      <c r="BN35" s="96" t="s">
        <v>16</v>
      </c>
      <c r="BO35" s="220">
        <f t="shared" si="6"/>
        <v>58</v>
      </c>
      <c r="BP35" s="96">
        <f t="shared" si="7"/>
        <v>50</v>
      </c>
      <c r="BQ35" s="96"/>
      <c r="BR35" s="96">
        <v>1</v>
      </c>
      <c r="BS35" s="96">
        <v>6</v>
      </c>
      <c r="BT35" s="96">
        <v>6</v>
      </c>
      <c r="BU35" s="96">
        <v>0</v>
      </c>
      <c r="BV35" s="96">
        <v>0</v>
      </c>
      <c r="BW35" s="96">
        <v>0</v>
      </c>
      <c r="BX35" s="96">
        <v>0</v>
      </c>
      <c r="BY35" s="96" t="s">
        <v>163</v>
      </c>
      <c r="BZ35" s="96">
        <v>0</v>
      </c>
      <c r="CA35" s="96"/>
      <c r="CB35" s="103"/>
      <c r="CC35" s="103"/>
      <c r="CD35" s="96"/>
      <c r="CE35" s="96" t="s">
        <v>163</v>
      </c>
      <c r="CF35" s="96"/>
      <c r="CG35" s="96"/>
      <c r="CH35" s="371" t="s">
        <v>168</v>
      </c>
      <c r="CI35" s="96" t="s">
        <v>168</v>
      </c>
      <c r="CJ35" s="96"/>
      <c r="CK35" s="96" t="s">
        <v>538</v>
      </c>
    </row>
    <row r="36" spans="1:102" ht="24.95" customHeight="1">
      <c r="A36" s="96">
        <v>37</v>
      </c>
      <c r="B36" s="96" t="s">
        <v>628</v>
      </c>
      <c r="C36" s="96" t="s">
        <v>629</v>
      </c>
      <c r="D36" s="96" t="s">
        <v>630</v>
      </c>
      <c r="E36" s="96" t="s">
        <v>631</v>
      </c>
      <c r="F36" s="96" t="s">
        <v>24</v>
      </c>
      <c r="G36" s="96">
        <v>2</v>
      </c>
      <c r="H36" s="96" t="s">
        <v>54</v>
      </c>
      <c r="I36" s="96" t="s">
        <v>39</v>
      </c>
      <c r="J36" s="96" t="s">
        <v>362</v>
      </c>
      <c r="K36" s="96" t="s">
        <v>439</v>
      </c>
      <c r="L36" s="96" t="s">
        <v>39</v>
      </c>
      <c r="M36" s="96" t="s">
        <v>150</v>
      </c>
      <c r="N36" s="221"/>
      <c r="O36" s="12" t="s">
        <v>151</v>
      </c>
      <c r="P36" s="15" t="s">
        <v>151</v>
      </c>
      <c r="Q36" s="96" t="s">
        <v>151</v>
      </c>
      <c r="R36" s="318" t="s">
        <v>632</v>
      </c>
      <c r="S36" s="318" t="s">
        <v>633</v>
      </c>
      <c r="T36" s="196" t="s">
        <v>634</v>
      </c>
      <c r="U36" s="97" t="s">
        <v>430</v>
      </c>
      <c r="V36" s="97">
        <v>29380</v>
      </c>
      <c r="W36" s="105" t="s">
        <v>635</v>
      </c>
      <c r="X36" s="105" t="s">
        <v>179</v>
      </c>
      <c r="Y36" s="105" t="s">
        <v>163</v>
      </c>
      <c r="Z36" s="105" t="s">
        <v>158</v>
      </c>
      <c r="AA36" s="96">
        <v>11</v>
      </c>
      <c r="AB36" s="97">
        <v>40961</v>
      </c>
      <c r="AC36" s="282">
        <v>40969</v>
      </c>
      <c r="AD36" s="97"/>
      <c r="AE36" s="96" t="s">
        <v>636</v>
      </c>
      <c r="AF36" s="96" t="s">
        <v>637</v>
      </c>
      <c r="AG36" s="97"/>
      <c r="AH36" s="96">
        <f t="shared" si="5"/>
        <v>2</v>
      </c>
      <c r="AI36" s="97" t="s">
        <v>161</v>
      </c>
      <c r="AJ36" s="97"/>
      <c r="AK36" s="97"/>
      <c r="AL36" s="97" t="s">
        <v>150</v>
      </c>
      <c r="AM36" s="97"/>
      <c r="AN36" s="97"/>
      <c r="AO36" s="97" t="s">
        <v>164</v>
      </c>
      <c r="AP36" s="97" t="s">
        <v>445</v>
      </c>
      <c r="AQ36" s="97" t="s">
        <v>250</v>
      </c>
      <c r="AR36" s="97" t="s">
        <v>150</v>
      </c>
      <c r="AS36" s="97"/>
      <c r="AT36" s="401" t="s">
        <v>285</v>
      </c>
      <c r="AU36" s="96" t="s">
        <v>638</v>
      </c>
      <c r="AV36" s="97"/>
      <c r="AW36" s="99">
        <v>40969</v>
      </c>
      <c r="AX36" s="99">
        <v>41214</v>
      </c>
      <c r="AY36" s="99" t="s">
        <v>150</v>
      </c>
      <c r="AZ36" s="99"/>
      <c r="BA36" s="99"/>
      <c r="BB36" s="99"/>
      <c r="BC36" s="99"/>
      <c r="BD36" s="99"/>
      <c r="BE36" s="100"/>
      <c r="BF36" s="99">
        <v>41852</v>
      </c>
      <c r="BG36" s="99" t="s">
        <v>150</v>
      </c>
      <c r="BH36" s="99">
        <v>42064</v>
      </c>
      <c r="BI36" s="99" t="s">
        <v>150</v>
      </c>
      <c r="BJ36" s="97"/>
      <c r="BK36" s="97"/>
      <c r="BL36" s="97"/>
      <c r="BM36" s="101">
        <v>41729</v>
      </c>
      <c r="BN36" s="96" t="s">
        <v>16</v>
      </c>
      <c r="BO36" s="220">
        <f t="shared" si="6"/>
        <v>25</v>
      </c>
      <c r="BP36" s="96">
        <f t="shared" si="7"/>
        <v>17</v>
      </c>
      <c r="BQ36" s="96"/>
      <c r="BR36" s="96">
        <v>1</v>
      </c>
      <c r="BS36" s="96">
        <v>0</v>
      </c>
      <c r="BT36" s="96">
        <v>12</v>
      </c>
      <c r="BU36" s="96">
        <v>1</v>
      </c>
      <c r="BV36" s="96">
        <v>0</v>
      </c>
      <c r="BW36" s="96">
        <v>1</v>
      </c>
      <c r="BX36" s="96">
        <v>0</v>
      </c>
      <c r="BY36" s="96" t="s">
        <v>639</v>
      </c>
      <c r="BZ36" s="96">
        <v>0</v>
      </c>
      <c r="CA36" s="96"/>
      <c r="CB36" s="103"/>
      <c r="CC36" s="103"/>
      <c r="CD36" s="96"/>
      <c r="CE36" s="96" t="s">
        <v>163</v>
      </c>
      <c r="CF36" s="96"/>
      <c r="CG36" s="96"/>
      <c r="CH36" s="371">
        <v>2</v>
      </c>
      <c r="CI36" s="96">
        <v>3</v>
      </c>
      <c r="CJ36" s="96"/>
      <c r="CK36" s="96" t="s">
        <v>538</v>
      </c>
    </row>
    <row r="37" spans="1:102" ht="24.95" customHeight="1">
      <c r="A37" s="85">
        <v>38</v>
      </c>
      <c r="B37" s="85" t="s">
        <v>640</v>
      </c>
      <c r="C37" s="85" t="s">
        <v>641</v>
      </c>
      <c r="D37" s="85" t="s">
        <v>642</v>
      </c>
      <c r="E37" s="85" t="s">
        <v>643</v>
      </c>
      <c r="F37" s="85" t="s">
        <v>24</v>
      </c>
      <c r="G37" s="85">
        <v>2</v>
      </c>
      <c r="H37" s="85" t="s">
        <v>54</v>
      </c>
      <c r="I37" s="85" t="s">
        <v>31</v>
      </c>
      <c r="J37" s="85" t="s">
        <v>224</v>
      </c>
      <c r="K37" s="85"/>
      <c r="L37" s="85" t="s">
        <v>31</v>
      </c>
      <c r="M37" s="85" t="s">
        <v>150</v>
      </c>
      <c r="N37" s="85"/>
      <c r="O37" s="290"/>
      <c r="P37" s="85" t="s">
        <v>151</v>
      </c>
      <c r="Q37" s="85" t="s">
        <v>151</v>
      </c>
      <c r="R37" s="85" t="s">
        <v>644</v>
      </c>
      <c r="S37" s="291" t="s">
        <v>645</v>
      </c>
      <c r="T37" s="340" t="s">
        <v>646</v>
      </c>
      <c r="U37" s="86" t="s">
        <v>647</v>
      </c>
      <c r="V37" s="86">
        <v>26284</v>
      </c>
      <c r="W37" s="215" t="s">
        <v>648</v>
      </c>
      <c r="X37" s="215" t="s">
        <v>179</v>
      </c>
      <c r="Y37" s="215" t="s">
        <v>163</v>
      </c>
      <c r="Z37" s="215" t="s">
        <v>158</v>
      </c>
      <c r="AA37" s="85">
        <v>17</v>
      </c>
      <c r="AB37" s="86">
        <v>40920</v>
      </c>
      <c r="AC37" s="280">
        <v>40969</v>
      </c>
      <c r="AD37" s="86"/>
      <c r="AE37" s="86" t="s">
        <v>649</v>
      </c>
      <c r="AF37" s="86"/>
      <c r="AG37" s="86"/>
      <c r="AH37" s="85">
        <f t="shared" si="5"/>
        <v>1</v>
      </c>
      <c r="AI37" s="86" t="s">
        <v>161</v>
      </c>
      <c r="AJ37" s="86"/>
      <c r="AK37" s="86"/>
      <c r="AL37" s="86" t="s">
        <v>150</v>
      </c>
      <c r="AM37" s="86"/>
      <c r="AN37" s="86"/>
      <c r="AO37" s="86" t="s">
        <v>164</v>
      </c>
      <c r="AP37" s="86"/>
      <c r="AQ37" s="86" t="s">
        <v>203</v>
      </c>
      <c r="AR37" s="86"/>
      <c r="AS37" s="86"/>
      <c r="AT37" s="403" t="s">
        <v>31</v>
      </c>
      <c r="AU37" s="85" t="s">
        <v>650</v>
      </c>
      <c r="AV37" s="86"/>
      <c r="AW37" s="87">
        <v>40969</v>
      </c>
      <c r="AX37" s="87">
        <v>41214</v>
      </c>
      <c r="AY37" s="87" t="s">
        <v>150</v>
      </c>
      <c r="AZ37" s="87"/>
      <c r="BA37" s="87"/>
      <c r="BB37" s="87"/>
      <c r="BC37" s="87"/>
      <c r="BD37" s="87"/>
      <c r="BE37" s="88"/>
      <c r="BF37" s="87">
        <v>41852</v>
      </c>
      <c r="BG37" s="87" t="s">
        <v>150</v>
      </c>
      <c r="BH37" s="87">
        <v>42064</v>
      </c>
      <c r="BI37" s="87" t="s">
        <v>150</v>
      </c>
      <c r="BJ37" s="86"/>
      <c r="BK37" s="86"/>
      <c r="BL37" s="86"/>
      <c r="BM37" s="89">
        <v>43787</v>
      </c>
      <c r="BN37" s="85" t="s">
        <v>16</v>
      </c>
      <c r="BO37" s="216">
        <f>DATEDIF(AW37,BM37, "M")+1</f>
        <v>93</v>
      </c>
      <c r="BP37" s="85">
        <f t="shared" si="7"/>
        <v>85</v>
      </c>
      <c r="BQ37" s="85"/>
      <c r="BR37" s="85">
        <v>4</v>
      </c>
      <c r="BS37" s="85">
        <v>0</v>
      </c>
      <c r="BT37" s="85">
        <v>0</v>
      </c>
      <c r="BU37" s="85">
        <v>0</v>
      </c>
      <c r="BV37" s="85">
        <v>0</v>
      </c>
      <c r="BW37" s="85">
        <v>0</v>
      </c>
      <c r="BX37" s="85">
        <v>0</v>
      </c>
      <c r="BY37" s="85" t="s">
        <v>163</v>
      </c>
      <c r="BZ37" s="85">
        <v>0</v>
      </c>
      <c r="CA37" s="85"/>
      <c r="CB37" s="90"/>
      <c r="CC37" s="90"/>
      <c r="CD37" s="85"/>
      <c r="CE37" s="85" t="s">
        <v>163</v>
      </c>
      <c r="CF37" s="85"/>
      <c r="CG37" s="85"/>
      <c r="CH37" s="370">
        <v>3</v>
      </c>
      <c r="CI37" s="85">
        <v>3</v>
      </c>
      <c r="CJ37" s="85"/>
      <c r="CK37" s="85" t="s">
        <v>168</v>
      </c>
      <c r="CL37" s="292" t="s">
        <v>651</v>
      </c>
    </row>
    <row r="38" spans="1:102" ht="24.95" customHeight="1">
      <c r="A38" s="96">
        <v>39</v>
      </c>
      <c r="B38" s="96" t="s">
        <v>652</v>
      </c>
      <c r="C38" s="96" t="s">
        <v>388</v>
      </c>
      <c r="D38" s="96" t="s">
        <v>653</v>
      </c>
      <c r="E38" s="96" t="s">
        <v>654</v>
      </c>
      <c r="F38" s="96" t="s">
        <v>25</v>
      </c>
      <c r="G38" s="96">
        <v>2</v>
      </c>
      <c r="H38" s="96" t="s">
        <v>53</v>
      </c>
      <c r="I38" s="96" t="s">
        <v>46</v>
      </c>
      <c r="J38" s="96" t="s">
        <v>655</v>
      </c>
      <c r="K38" s="96" t="s">
        <v>656</v>
      </c>
      <c r="L38" s="96" t="s">
        <v>44</v>
      </c>
      <c r="M38" s="96" t="s">
        <v>150</v>
      </c>
      <c r="N38" s="221"/>
      <c r="O38" s="12"/>
      <c r="P38" s="16" t="s">
        <v>240</v>
      </c>
      <c r="Q38" s="96" t="s">
        <v>151</v>
      </c>
      <c r="R38" s="96" t="s">
        <v>657</v>
      </c>
      <c r="S38" s="105" t="s">
        <v>658</v>
      </c>
      <c r="T38" s="196" t="s">
        <v>659</v>
      </c>
      <c r="U38" s="97" t="s">
        <v>660</v>
      </c>
      <c r="V38" s="97">
        <v>27826</v>
      </c>
      <c r="W38" s="105" t="s">
        <v>661</v>
      </c>
      <c r="X38" s="105" t="s">
        <v>156</v>
      </c>
      <c r="Y38" s="105" t="s">
        <v>157</v>
      </c>
      <c r="Z38" s="105" t="s">
        <v>158</v>
      </c>
      <c r="AA38" s="96">
        <v>8</v>
      </c>
      <c r="AB38" s="97">
        <v>41186</v>
      </c>
      <c r="AC38" s="282">
        <v>40969</v>
      </c>
      <c r="AD38" s="97"/>
      <c r="AE38" s="97" t="s">
        <v>662</v>
      </c>
      <c r="AF38" s="97" t="s">
        <v>663</v>
      </c>
      <c r="AG38" s="97" t="s">
        <v>664</v>
      </c>
      <c r="AH38" s="96">
        <f t="shared" si="5"/>
        <v>3</v>
      </c>
      <c r="AI38" s="97" t="s">
        <v>282</v>
      </c>
      <c r="AJ38" s="97" t="s">
        <v>282</v>
      </c>
      <c r="AK38" s="97" t="s">
        <v>282</v>
      </c>
      <c r="AL38" s="97" t="s">
        <v>163</v>
      </c>
      <c r="AM38" s="97" t="s">
        <v>163</v>
      </c>
      <c r="AN38" s="97" t="s">
        <v>163</v>
      </c>
      <c r="AO38" s="97" t="s">
        <v>164</v>
      </c>
      <c r="AP38" s="97" t="s">
        <v>203</v>
      </c>
      <c r="AQ38" s="97" t="s">
        <v>203</v>
      </c>
      <c r="AR38" s="97" t="s">
        <v>163</v>
      </c>
      <c r="AS38" s="97" t="s">
        <v>665</v>
      </c>
      <c r="AT38" s="401" t="s">
        <v>298</v>
      </c>
      <c r="AU38" s="96" t="s">
        <v>666</v>
      </c>
      <c r="AV38" s="97"/>
      <c r="AW38" s="99">
        <v>40969</v>
      </c>
      <c r="AX38" s="99">
        <v>41214</v>
      </c>
      <c r="AY38" s="99" t="s">
        <v>150</v>
      </c>
      <c r="AZ38" s="99"/>
      <c r="BA38" s="99"/>
      <c r="BB38" s="99"/>
      <c r="BC38" s="99"/>
      <c r="BD38" s="99"/>
      <c r="BE38" s="100"/>
      <c r="BF38" s="99">
        <v>41852</v>
      </c>
      <c r="BG38" s="99" t="s">
        <v>150</v>
      </c>
      <c r="BH38" s="99">
        <v>42064</v>
      </c>
      <c r="BI38" s="99" t="s">
        <v>150</v>
      </c>
      <c r="BJ38" s="97"/>
      <c r="BK38" s="97"/>
      <c r="BL38" s="97"/>
      <c r="BM38" s="101">
        <v>42064</v>
      </c>
      <c r="BN38" s="96" t="s">
        <v>16</v>
      </c>
      <c r="BO38" s="220">
        <f>DATEDIF(AW38,BM38, "M")+1</f>
        <v>37</v>
      </c>
      <c r="BP38" s="96">
        <f t="shared" si="7"/>
        <v>29</v>
      </c>
      <c r="BQ38" s="96"/>
      <c r="BR38" s="96">
        <v>0</v>
      </c>
      <c r="BS38" s="96">
        <v>2</v>
      </c>
      <c r="BT38" s="96">
        <v>6</v>
      </c>
      <c r="BU38" s="96">
        <v>1</v>
      </c>
      <c r="BV38" s="96">
        <v>0</v>
      </c>
      <c r="BW38" s="96">
        <v>1</v>
      </c>
      <c r="BX38" s="96">
        <v>0</v>
      </c>
      <c r="BY38" s="96" t="s">
        <v>163</v>
      </c>
      <c r="BZ38" s="96">
        <v>0</v>
      </c>
      <c r="CA38" s="96"/>
      <c r="CB38" s="103"/>
      <c r="CC38" s="103"/>
      <c r="CD38" s="96"/>
      <c r="CE38" s="96" t="s">
        <v>163</v>
      </c>
      <c r="CF38" s="96"/>
      <c r="CG38" s="96"/>
      <c r="CH38" s="371">
        <v>5</v>
      </c>
      <c r="CI38" s="96">
        <v>6</v>
      </c>
      <c r="CJ38" s="96"/>
      <c r="CK38" s="96" t="s">
        <v>168</v>
      </c>
    </row>
    <row r="39" spans="1:102" s="114" customFormat="1" ht="24.95" customHeight="1">
      <c r="A39" s="91">
        <v>40</v>
      </c>
      <c r="B39" s="91" t="s">
        <v>667</v>
      </c>
      <c r="C39" s="91" t="s">
        <v>668</v>
      </c>
      <c r="D39" s="91" t="s">
        <v>669</v>
      </c>
      <c r="E39" s="91" t="s">
        <v>670</v>
      </c>
      <c r="F39" s="91" t="s">
        <v>24</v>
      </c>
      <c r="G39" s="91">
        <v>2</v>
      </c>
      <c r="H39" s="91" t="s">
        <v>58</v>
      </c>
      <c r="I39" s="91" t="s">
        <v>45</v>
      </c>
      <c r="J39" s="91" t="s">
        <v>671</v>
      </c>
      <c r="K39" s="91" t="s">
        <v>672</v>
      </c>
      <c r="L39" s="91" t="s">
        <v>45</v>
      </c>
      <c r="M39" s="91" t="s">
        <v>150</v>
      </c>
      <c r="N39" s="91"/>
      <c r="O39" s="249"/>
      <c r="P39" s="250" t="s">
        <v>168</v>
      </c>
      <c r="Q39" s="91"/>
      <c r="R39" s="91" t="s">
        <v>673</v>
      </c>
      <c r="S39" s="91" t="s">
        <v>674</v>
      </c>
      <c r="T39" s="341" t="s">
        <v>675</v>
      </c>
      <c r="U39" s="92" t="s">
        <v>676</v>
      </c>
      <c r="V39" s="92">
        <v>27470</v>
      </c>
      <c r="W39" s="164" t="s">
        <v>677</v>
      </c>
      <c r="X39" s="164" t="s">
        <v>179</v>
      </c>
      <c r="Y39" s="164" t="s">
        <v>163</v>
      </c>
      <c r="Z39" s="164" t="s">
        <v>158</v>
      </c>
      <c r="AA39" s="91">
        <v>15.5</v>
      </c>
      <c r="AB39" s="92">
        <v>40952</v>
      </c>
      <c r="AC39" s="281">
        <v>40969</v>
      </c>
      <c r="AD39" s="92">
        <v>45741</v>
      </c>
      <c r="AE39" s="92" t="s">
        <v>678</v>
      </c>
      <c r="AF39" s="92" t="s">
        <v>679</v>
      </c>
      <c r="AG39" s="92" t="s">
        <v>680</v>
      </c>
      <c r="AH39" s="91">
        <f t="shared" si="5"/>
        <v>3</v>
      </c>
      <c r="AI39" s="92" t="s">
        <v>282</v>
      </c>
      <c r="AJ39" s="92" t="s">
        <v>161</v>
      </c>
      <c r="AK39" s="92" t="s">
        <v>681</v>
      </c>
      <c r="AL39" s="92" t="s">
        <v>150</v>
      </c>
      <c r="AM39" s="92" t="s">
        <v>150</v>
      </c>
      <c r="AN39" s="92" t="s">
        <v>150</v>
      </c>
      <c r="AO39" s="92" t="s">
        <v>164</v>
      </c>
      <c r="AP39" s="92" t="s">
        <v>203</v>
      </c>
      <c r="AQ39" s="92"/>
      <c r="AR39" s="92"/>
      <c r="AS39" s="92"/>
      <c r="AT39" s="400" t="s">
        <v>168</v>
      </c>
      <c r="AU39" s="91" t="s">
        <v>682</v>
      </c>
      <c r="AV39" s="92"/>
      <c r="AW39" s="93">
        <v>40969</v>
      </c>
      <c r="AX39" s="93">
        <v>41214</v>
      </c>
      <c r="AY39" s="93" t="s">
        <v>150</v>
      </c>
      <c r="AZ39" s="93"/>
      <c r="BA39" s="93"/>
      <c r="BB39" s="93"/>
      <c r="BC39" s="93"/>
      <c r="BD39" s="93"/>
      <c r="BE39" s="94"/>
      <c r="BF39" s="93">
        <v>41852</v>
      </c>
      <c r="BG39" s="93" t="s">
        <v>150</v>
      </c>
      <c r="BH39" s="93">
        <v>42064</v>
      </c>
      <c r="BI39" s="93" t="s">
        <v>150</v>
      </c>
      <c r="BJ39" s="92"/>
      <c r="BK39" s="92"/>
      <c r="BL39" s="92"/>
      <c r="BM39" s="109"/>
      <c r="BN39" s="151" t="s">
        <v>18</v>
      </c>
      <c r="BO39" s="265"/>
      <c r="BP39" s="91"/>
      <c r="BQ39" s="91"/>
      <c r="BR39" s="91">
        <v>1</v>
      </c>
      <c r="BS39" s="91">
        <v>0</v>
      </c>
      <c r="BT39" s="91">
        <v>0</v>
      </c>
      <c r="BU39" s="91">
        <v>0</v>
      </c>
      <c r="BV39" s="91">
        <v>0</v>
      </c>
      <c r="BW39" s="91">
        <v>0</v>
      </c>
      <c r="BX39" s="91">
        <v>0</v>
      </c>
      <c r="BY39" s="91" t="s">
        <v>163</v>
      </c>
      <c r="BZ39" s="91">
        <v>0</v>
      </c>
      <c r="CA39" s="91"/>
      <c r="CB39" s="95"/>
      <c r="CC39" s="95"/>
      <c r="CD39" s="91"/>
      <c r="CE39" s="91" t="s">
        <v>163</v>
      </c>
      <c r="CF39" s="91"/>
      <c r="CG39" s="91"/>
      <c r="CH39" s="113">
        <v>1</v>
      </c>
      <c r="CI39" s="91" t="s">
        <v>168</v>
      </c>
      <c r="CJ39" s="91"/>
      <c r="CK39" s="91" t="s">
        <v>168</v>
      </c>
      <c r="CS39" s="364"/>
      <c r="CT39" s="364"/>
      <c r="CU39" s="364"/>
      <c r="CW39" s="364"/>
      <c r="CX39" s="364"/>
    </row>
    <row r="40" spans="1:102" ht="24.95" customHeight="1">
      <c r="A40" s="96">
        <v>41</v>
      </c>
      <c r="B40" s="96" t="s">
        <v>683</v>
      </c>
      <c r="C40" s="96" t="s">
        <v>684</v>
      </c>
      <c r="D40" s="96" t="s">
        <v>685</v>
      </c>
      <c r="E40" s="96" t="s">
        <v>686</v>
      </c>
      <c r="F40" s="96" t="s">
        <v>24</v>
      </c>
      <c r="G40" s="96">
        <v>2</v>
      </c>
      <c r="H40" s="96" t="s">
        <v>60</v>
      </c>
      <c r="I40" s="96" t="s">
        <v>35</v>
      </c>
      <c r="J40" s="96" t="s">
        <v>477</v>
      </c>
      <c r="K40" s="96" t="s">
        <v>687</v>
      </c>
      <c r="L40" s="96" t="s">
        <v>35</v>
      </c>
      <c r="M40" s="96" t="s">
        <v>150</v>
      </c>
      <c r="N40" s="221"/>
      <c r="O40" s="12" t="s">
        <v>151</v>
      </c>
      <c r="P40" s="16" t="s">
        <v>151</v>
      </c>
      <c r="Q40" s="96" t="s">
        <v>151</v>
      </c>
      <c r="R40" s="318" t="s">
        <v>688</v>
      </c>
      <c r="S40" s="96" t="s">
        <v>689</v>
      </c>
      <c r="T40" s="196" t="s">
        <v>690</v>
      </c>
      <c r="U40" s="97" t="s">
        <v>691</v>
      </c>
      <c r="V40" s="97">
        <v>28657</v>
      </c>
      <c r="W40" s="105" t="s">
        <v>692</v>
      </c>
      <c r="X40" s="105" t="s">
        <v>179</v>
      </c>
      <c r="Y40" s="105" t="s">
        <v>163</v>
      </c>
      <c r="Z40" s="105" t="s">
        <v>158</v>
      </c>
      <c r="AA40" s="96">
        <v>29</v>
      </c>
      <c r="AB40" s="97">
        <v>40867</v>
      </c>
      <c r="AC40" s="282">
        <v>40969</v>
      </c>
      <c r="AD40" s="97"/>
      <c r="AE40" s="97" t="s">
        <v>693</v>
      </c>
      <c r="AF40" s="97" t="s">
        <v>694</v>
      </c>
      <c r="AG40" s="97" t="s">
        <v>695</v>
      </c>
      <c r="AH40" s="96">
        <f t="shared" si="5"/>
        <v>3</v>
      </c>
      <c r="AI40" s="97" t="s">
        <v>161</v>
      </c>
      <c r="AJ40" s="97" t="s">
        <v>161</v>
      </c>
      <c r="AK40" s="97" t="s">
        <v>681</v>
      </c>
      <c r="AL40" s="97" t="s">
        <v>150</v>
      </c>
      <c r="AM40" s="97" t="s">
        <v>163</v>
      </c>
      <c r="AN40" s="97" t="s">
        <v>163</v>
      </c>
      <c r="AO40" s="97" t="s">
        <v>164</v>
      </c>
      <c r="AP40" s="97" t="s">
        <v>203</v>
      </c>
      <c r="AQ40" s="97" t="s">
        <v>203</v>
      </c>
      <c r="AR40" s="97" t="s">
        <v>163</v>
      </c>
      <c r="AS40" s="97"/>
      <c r="AT40" s="401" t="s">
        <v>696</v>
      </c>
      <c r="AU40" s="96" t="s">
        <v>697</v>
      </c>
      <c r="AV40" s="97"/>
      <c r="AW40" s="99">
        <v>40969</v>
      </c>
      <c r="AX40" s="99">
        <v>41214</v>
      </c>
      <c r="AY40" s="99" t="s">
        <v>150</v>
      </c>
      <c r="AZ40" s="99"/>
      <c r="BA40" s="99"/>
      <c r="BB40" s="99"/>
      <c r="BC40" s="99"/>
      <c r="BD40" s="99"/>
      <c r="BE40" s="100"/>
      <c r="BF40" s="99">
        <v>41852</v>
      </c>
      <c r="BG40" s="99" t="s">
        <v>150</v>
      </c>
      <c r="BH40" s="99">
        <v>42064</v>
      </c>
      <c r="BI40" s="99" t="s">
        <v>150</v>
      </c>
      <c r="BJ40" s="97"/>
      <c r="BK40" s="97"/>
      <c r="BL40" s="97"/>
      <c r="BM40" s="101">
        <v>43108</v>
      </c>
      <c r="BN40" s="96" t="s">
        <v>16</v>
      </c>
      <c r="BO40" s="220">
        <f t="shared" ref="BO40:BO41" si="8">DATEDIF(AW40,BM40, "M")+1</f>
        <v>71</v>
      </c>
      <c r="BP40" s="96">
        <f t="shared" ref="BP40:BP41" si="9">DATEDIF(AX40,BM40, "M")+1</f>
        <v>63</v>
      </c>
      <c r="BQ40" s="96"/>
      <c r="BR40" s="96">
        <v>6</v>
      </c>
      <c r="BS40" s="96">
        <v>20</v>
      </c>
      <c r="BT40" s="96">
        <v>18</v>
      </c>
      <c r="BU40" s="96">
        <v>5</v>
      </c>
      <c r="BV40" s="96">
        <v>0</v>
      </c>
      <c r="BW40" s="96">
        <v>0</v>
      </c>
      <c r="BX40" s="96">
        <v>0</v>
      </c>
      <c r="BY40" s="96" t="s">
        <v>698</v>
      </c>
      <c r="BZ40" s="96">
        <v>0</v>
      </c>
      <c r="CA40" s="96"/>
      <c r="CB40" s="103"/>
      <c r="CC40" s="103"/>
      <c r="CD40" s="96"/>
      <c r="CE40" s="96" t="s">
        <v>163</v>
      </c>
      <c r="CF40" s="96"/>
      <c r="CG40" s="96"/>
      <c r="CH40" s="371">
        <v>3</v>
      </c>
      <c r="CI40" s="96">
        <v>3</v>
      </c>
      <c r="CJ40" s="96"/>
      <c r="CK40" s="96" t="s">
        <v>168</v>
      </c>
    </row>
    <row r="41" spans="1:102" ht="24.95" customHeight="1">
      <c r="A41" s="96">
        <v>42</v>
      </c>
      <c r="B41" s="96" t="s">
        <v>699</v>
      </c>
      <c r="C41" s="96" t="s">
        <v>700</v>
      </c>
      <c r="D41" s="96"/>
      <c r="E41" s="96" t="s">
        <v>701</v>
      </c>
      <c r="F41" s="96" t="s">
        <v>24</v>
      </c>
      <c r="G41" s="96">
        <v>2</v>
      </c>
      <c r="H41" s="96" t="s">
        <v>60</v>
      </c>
      <c r="I41" s="96" t="s">
        <v>35</v>
      </c>
      <c r="J41" s="96" t="s">
        <v>702</v>
      </c>
      <c r="K41" s="96"/>
      <c r="L41" s="96" t="s">
        <v>35</v>
      </c>
      <c r="M41" s="96" t="s">
        <v>150</v>
      </c>
      <c r="N41" s="221"/>
      <c r="O41" s="12"/>
      <c r="P41" s="16" t="s">
        <v>168</v>
      </c>
      <c r="Q41" s="96"/>
      <c r="R41" s="318" t="s">
        <v>703</v>
      </c>
      <c r="S41" s="96" t="s">
        <v>704</v>
      </c>
      <c r="T41" s="196" t="s">
        <v>705</v>
      </c>
      <c r="U41" s="97" t="s">
        <v>706</v>
      </c>
      <c r="V41" s="97">
        <v>26892</v>
      </c>
      <c r="W41" s="105" t="s">
        <v>707</v>
      </c>
      <c r="X41" s="105" t="s">
        <v>156</v>
      </c>
      <c r="Y41" s="105" t="s">
        <v>163</v>
      </c>
      <c r="Z41" s="105" t="s">
        <v>158</v>
      </c>
      <c r="AA41" s="96">
        <v>19</v>
      </c>
      <c r="AB41" s="97">
        <v>40931</v>
      </c>
      <c r="AC41" s="282">
        <v>40969</v>
      </c>
      <c r="AD41" s="97"/>
      <c r="AE41" s="97" t="s">
        <v>708</v>
      </c>
      <c r="AF41" s="97" t="s">
        <v>709</v>
      </c>
      <c r="AG41" s="97" t="s">
        <v>693</v>
      </c>
      <c r="AH41" s="96">
        <f t="shared" si="5"/>
        <v>3</v>
      </c>
      <c r="AI41" s="97" t="s">
        <v>161</v>
      </c>
      <c r="AJ41" s="97" t="s">
        <v>161</v>
      </c>
      <c r="AK41" s="97" t="s">
        <v>681</v>
      </c>
      <c r="AL41" s="97" t="s">
        <v>150</v>
      </c>
      <c r="AM41" s="97" t="s">
        <v>163</v>
      </c>
      <c r="AN41" s="97" t="s">
        <v>150</v>
      </c>
      <c r="AO41" s="97"/>
      <c r="AP41" s="97" t="s">
        <v>203</v>
      </c>
      <c r="AQ41" s="97" t="s">
        <v>250</v>
      </c>
      <c r="AR41" s="97" t="s">
        <v>150</v>
      </c>
      <c r="AS41" s="97"/>
      <c r="AT41" s="401" t="s">
        <v>696</v>
      </c>
      <c r="AU41" s="96" t="s">
        <v>710</v>
      </c>
      <c r="AV41" s="97"/>
      <c r="AW41" s="99">
        <v>40969</v>
      </c>
      <c r="AX41" s="99">
        <v>41214</v>
      </c>
      <c r="AY41" s="99" t="s">
        <v>150</v>
      </c>
      <c r="AZ41" s="99"/>
      <c r="BA41" s="99"/>
      <c r="BB41" s="99"/>
      <c r="BC41" s="99"/>
      <c r="BD41" s="99"/>
      <c r="BE41" s="100"/>
      <c r="BF41" s="99">
        <v>41852</v>
      </c>
      <c r="BG41" s="99" t="s">
        <v>150</v>
      </c>
      <c r="BH41" s="99">
        <v>42064</v>
      </c>
      <c r="BI41" s="99" t="s">
        <v>150</v>
      </c>
      <c r="BJ41" s="97"/>
      <c r="BK41" s="97"/>
      <c r="BL41" s="97"/>
      <c r="BM41" s="101">
        <v>42766</v>
      </c>
      <c r="BN41" s="96" t="s">
        <v>16</v>
      </c>
      <c r="BO41" s="220">
        <f t="shared" si="8"/>
        <v>59</v>
      </c>
      <c r="BP41" s="96">
        <f t="shared" si="9"/>
        <v>51</v>
      </c>
      <c r="BQ41" s="96"/>
      <c r="BR41" s="96" t="s">
        <v>168</v>
      </c>
      <c r="BS41" s="96">
        <v>2</v>
      </c>
      <c r="BT41" s="96">
        <v>0</v>
      </c>
      <c r="BU41" s="96">
        <v>1</v>
      </c>
      <c r="BV41" s="96">
        <v>0</v>
      </c>
      <c r="BW41" s="96">
        <v>0</v>
      </c>
      <c r="BX41" s="96">
        <v>0</v>
      </c>
      <c r="BY41" s="96" t="s">
        <v>163</v>
      </c>
      <c r="BZ41" s="96">
        <v>0</v>
      </c>
      <c r="CA41" s="96"/>
      <c r="CB41" s="103"/>
      <c r="CC41" s="103"/>
      <c r="CD41" s="96"/>
      <c r="CE41" s="96" t="s">
        <v>163</v>
      </c>
      <c r="CF41" s="96"/>
      <c r="CG41" s="96"/>
      <c r="CH41" s="371" t="s">
        <v>168</v>
      </c>
      <c r="CI41" s="96" t="s">
        <v>168</v>
      </c>
      <c r="CJ41" s="96"/>
      <c r="CK41" s="96" t="s">
        <v>168</v>
      </c>
    </row>
    <row r="42" spans="1:102" s="114" customFormat="1" ht="24.95" customHeight="1">
      <c r="A42" s="91">
        <v>43</v>
      </c>
      <c r="B42" s="91" t="s">
        <v>711</v>
      </c>
      <c r="C42" s="91" t="s">
        <v>712</v>
      </c>
      <c r="D42" s="91"/>
      <c r="E42" s="91" t="s">
        <v>713</v>
      </c>
      <c r="F42" s="91" t="s">
        <v>25</v>
      </c>
      <c r="G42" s="91">
        <v>2</v>
      </c>
      <c r="H42" s="91" t="s">
        <v>58</v>
      </c>
      <c r="I42" s="91" t="s">
        <v>45</v>
      </c>
      <c r="J42" s="91" t="s">
        <v>477</v>
      </c>
      <c r="K42" s="91"/>
      <c r="L42" s="91" t="s">
        <v>45</v>
      </c>
      <c r="M42" s="91" t="s">
        <v>150</v>
      </c>
      <c r="N42" s="91"/>
      <c r="O42" s="249"/>
      <c r="P42" s="250" t="s">
        <v>168</v>
      </c>
      <c r="Q42" s="91"/>
      <c r="R42" s="389" t="s">
        <v>714</v>
      </c>
      <c r="S42" s="91"/>
      <c r="T42" s="341" t="s">
        <v>715</v>
      </c>
      <c r="U42" s="92" t="s">
        <v>716</v>
      </c>
      <c r="V42" s="92">
        <v>28270</v>
      </c>
      <c r="W42" s="164" t="s">
        <v>717</v>
      </c>
      <c r="X42" s="164" t="s">
        <v>156</v>
      </c>
      <c r="Y42" s="164" t="s">
        <v>163</v>
      </c>
      <c r="Z42" s="164" t="s">
        <v>158</v>
      </c>
      <c r="AA42" s="91">
        <v>1.5</v>
      </c>
      <c r="AB42" s="92">
        <v>40892</v>
      </c>
      <c r="AC42" s="281">
        <v>40969</v>
      </c>
      <c r="AD42" s="92">
        <v>45741</v>
      </c>
      <c r="AE42" s="92" t="s">
        <v>383</v>
      </c>
      <c r="AF42" s="92" t="s">
        <v>718</v>
      </c>
      <c r="AG42" s="92" t="s">
        <v>719</v>
      </c>
      <c r="AH42" s="91">
        <f t="shared" si="5"/>
        <v>3</v>
      </c>
      <c r="AI42" s="92" t="s">
        <v>161</v>
      </c>
      <c r="AJ42" s="92" t="s">
        <v>161</v>
      </c>
      <c r="AK42" s="92" t="s">
        <v>681</v>
      </c>
      <c r="AL42" s="92" t="s">
        <v>150</v>
      </c>
      <c r="AM42" s="92" t="s">
        <v>163</v>
      </c>
      <c r="AN42" s="92" t="s">
        <v>163</v>
      </c>
      <c r="AO42" s="92" t="s">
        <v>182</v>
      </c>
      <c r="AP42" s="92" t="s">
        <v>720</v>
      </c>
      <c r="AQ42" s="92"/>
      <c r="AR42" s="92"/>
      <c r="AS42" s="92"/>
      <c r="AT42" s="400" t="s">
        <v>372</v>
      </c>
      <c r="AU42" s="91" t="s">
        <v>721</v>
      </c>
      <c r="AV42" s="92"/>
      <c r="AW42" s="93">
        <v>40969</v>
      </c>
      <c r="AX42" s="93">
        <v>41214</v>
      </c>
      <c r="AY42" s="93" t="s">
        <v>150</v>
      </c>
      <c r="AZ42" s="93"/>
      <c r="BA42" s="93"/>
      <c r="BB42" s="93"/>
      <c r="BC42" s="93"/>
      <c r="BD42" s="93"/>
      <c r="BE42" s="94"/>
      <c r="BF42" s="93">
        <v>41852</v>
      </c>
      <c r="BG42" s="93" t="s">
        <v>150</v>
      </c>
      <c r="BH42" s="93" t="s">
        <v>722</v>
      </c>
      <c r="BI42" s="93" t="s">
        <v>163</v>
      </c>
      <c r="BJ42" s="92"/>
      <c r="BK42" s="92"/>
      <c r="BL42" s="92"/>
      <c r="BM42" s="109"/>
      <c r="BN42" s="193" t="s">
        <v>18</v>
      </c>
      <c r="BO42" s="265"/>
      <c r="BP42" s="91"/>
      <c r="BQ42" s="91"/>
      <c r="BR42" s="91">
        <v>1</v>
      </c>
      <c r="BS42" s="91">
        <v>31</v>
      </c>
      <c r="BT42" s="91">
        <v>0</v>
      </c>
      <c r="BU42" s="91">
        <v>7</v>
      </c>
      <c r="BV42" s="91">
        <v>3</v>
      </c>
      <c r="BW42" s="91">
        <v>0</v>
      </c>
      <c r="BX42" s="91">
        <v>0</v>
      </c>
      <c r="BY42" s="91" t="s">
        <v>163</v>
      </c>
      <c r="BZ42" s="91">
        <v>0</v>
      </c>
      <c r="CA42" s="91"/>
      <c r="CB42" s="95"/>
      <c r="CC42" s="95"/>
      <c r="CD42" s="91"/>
      <c r="CE42" s="91" t="s">
        <v>163</v>
      </c>
      <c r="CF42" s="91"/>
      <c r="CG42" s="91"/>
      <c r="CH42" s="113" t="s">
        <v>168</v>
      </c>
      <c r="CI42" s="91" t="s">
        <v>168</v>
      </c>
      <c r="CJ42" s="91"/>
      <c r="CK42" s="91" t="s">
        <v>168</v>
      </c>
      <c r="CS42" s="364"/>
      <c r="CT42" s="364"/>
      <c r="CU42" s="364"/>
      <c r="CW42" s="364"/>
      <c r="CX42" s="364"/>
    </row>
    <row r="43" spans="1:102" ht="24.95" customHeight="1">
      <c r="A43" s="91">
        <v>44</v>
      </c>
      <c r="B43" s="91" t="s">
        <v>723</v>
      </c>
      <c r="C43" s="91" t="s">
        <v>724</v>
      </c>
      <c r="D43" s="91" t="s">
        <v>725</v>
      </c>
      <c r="E43" s="91" t="s">
        <v>726</v>
      </c>
      <c r="F43" s="91" t="s">
        <v>24</v>
      </c>
      <c r="G43" s="91">
        <v>2</v>
      </c>
      <c r="H43" s="108" t="s">
        <v>52</v>
      </c>
      <c r="I43" s="91" t="s">
        <v>42</v>
      </c>
      <c r="J43" s="91"/>
      <c r="K43" s="91"/>
      <c r="L43" s="91" t="s">
        <v>45</v>
      </c>
      <c r="M43" s="91" t="s">
        <v>163</v>
      </c>
      <c r="N43" s="91" t="s">
        <v>168</v>
      </c>
      <c r="O43" s="91" t="s">
        <v>168</v>
      </c>
      <c r="P43" s="91" t="s">
        <v>168</v>
      </c>
      <c r="Q43" s="91" t="s">
        <v>168</v>
      </c>
      <c r="R43" s="91"/>
      <c r="S43" s="91"/>
      <c r="T43" s="200"/>
      <c r="U43" s="92"/>
      <c r="V43" s="92"/>
      <c r="W43" s="164"/>
      <c r="X43" s="164"/>
      <c r="Y43" s="164"/>
      <c r="Z43" s="164"/>
      <c r="AA43" s="91">
        <v>4</v>
      </c>
      <c r="AB43" s="109"/>
      <c r="AC43" s="281">
        <v>40969</v>
      </c>
      <c r="AD43" s="92">
        <v>42662</v>
      </c>
      <c r="AE43" s="110"/>
      <c r="AF43" s="92"/>
      <c r="AG43" s="92"/>
      <c r="AH43" s="91">
        <f t="shared" si="5"/>
        <v>0</v>
      </c>
      <c r="AI43" s="92"/>
      <c r="AJ43" s="92"/>
      <c r="AK43" s="92"/>
      <c r="AL43" s="92"/>
      <c r="AM43" s="92"/>
      <c r="AN43" s="92"/>
      <c r="AO43" s="92"/>
      <c r="AP43" s="110"/>
      <c r="AQ43" s="92"/>
      <c r="AR43" s="92"/>
      <c r="AS43" s="92"/>
      <c r="AT43" s="400"/>
      <c r="AU43" s="91"/>
      <c r="AV43" s="109"/>
      <c r="AW43" s="93">
        <v>40969</v>
      </c>
      <c r="AX43" s="93"/>
      <c r="AY43" s="93"/>
      <c r="AZ43" s="93"/>
      <c r="BA43" s="111"/>
      <c r="BB43" s="93"/>
      <c r="BC43" s="438"/>
      <c r="BD43" s="438"/>
      <c r="BE43" s="112"/>
      <c r="BF43" s="93"/>
      <c r="BG43" s="93"/>
      <c r="BH43" s="93"/>
      <c r="BI43" s="93"/>
      <c r="BJ43" s="92"/>
      <c r="BK43" s="92"/>
      <c r="BL43" s="92"/>
      <c r="BM43" s="92"/>
      <c r="BN43" s="91" t="s">
        <v>18</v>
      </c>
      <c r="BO43" s="218" t="s">
        <v>18</v>
      </c>
      <c r="BP43" s="218"/>
      <c r="BQ43" s="91"/>
      <c r="BR43" s="91"/>
      <c r="BS43" s="91"/>
      <c r="BT43" s="91"/>
      <c r="BU43" s="91"/>
      <c r="BV43" s="91"/>
      <c r="BW43" s="91"/>
      <c r="BX43" s="91"/>
      <c r="BY43" s="91" t="s">
        <v>163</v>
      </c>
      <c r="BZ43" s="91"/>
      <c r="CA43" s="91"/>
      <c r="CB43" s="95"/>
      <c r="CC43" s="95"/>
      <c r="CD43" s="91"/>
      <c r="CE43" s="91"/>
      <c r="CF43" s="91"/>
      <c r="CG43" s="91"/>
      <c r="CH43" s="113"/>
      <c r="CI43" s="91"/>
      <c r="CJ43" s="91"/>
      <c r="CK43" s="91" t="s">
        <v>538</v>
      </c>
    </row>
    <row r="44" spans="1:102" ht="24.95" customHeight="1">
      <c r="A44" s="91">
        <v>45</v>
      </c>
      <c r="B44" s="91" t="s">
        <v>727</v>
      </c>
      <c r="C44" s="91" t="s">
        <v>728</v>
      </c>
      <c r="D44" s="91" t="s">
        <v>729</v>
      </c>
      <c r="E44" s="91" t="s">
        <v>730</v>
      </c>
      <c r="F44" s="91" t="s">
        <v>25</v>
      </c>
      <c r="G44" s="91">
        <v>2</v>
      </c>
      <c r="H44" s="108" t="s">
        <v>59</v>
      </c>
      <c r="I44" s="91" t="s">
        <v>40</v>
      </c>
      <c r="J44" s="91"/>
      <c r="K44" s="91" t="s">
        <v>731</v>
      </c>
      <c r="L44" s="91" t="s">
        <v>41</v>
      </c>
      <c r="M44" s="91" t="s">
        <v>163</v>
      </c>
      <c r="N44" s="91" t="s">
        <v>168</v>
      </c>
      <c r="O44" s="91" t="s">
        <v>168</v>
      </c>
      <c r="P44" s="91" t="s">
        <v>168</v>
      </c>
      <c r="Q44" s="91" t="s">
        <v>168</v>
      </c>
      <c r="R44" s="91" t="s">
        <v>732</v>
      </c>
      <c r="S44" s="91" t="s">
        <v>733</v>
      </c>
      <c r="T44" s="200"/>
      <c r="U44" s="91"/>
      <c r="V44" s="91"/>
      <c r="W44" s="91"/>
      <c r="X44" s="91"/>
      <c r="Y44" s="91"/>
      <c r="Z44" s="91"/>
      <c r="AA44" s="91">
        <v>22.5</v>
      </c>
      <c r="AB44" s="113"/>
      <c r="AC44" s="281">
        <v>40969</v>
      </c>
      <c r="AD44" s="92">
        <v>42380</v>
      </c>
      <c r="AE44" s="108"/>
      <c r="AF44" s="91"/>
      <c r="AG44" s="91"/>
      <c r="AH44" s="91">
        <f t="shared" si="5"/>
        <v>0</v>
      </c>
      <c r="AI44" s="91"/>
      <c r="AJ44" s="91"/>
      <c r="AK44" s="91"/>
      <c r="AL44" s="91"/>
      <c r="AM44" s="91"/>
      <c r="AN44" s="91"/>
      <c r="AO44" s="91"/>
      <c r="AP44" s="114"/>
      <c r="AQ44" s="114"/>
      <c r="AR44" s="114"/>
      <c r="AS44" s="114"/>
      <c r="AT44" s="404"/>
      <c r="AU44" s="114"/>
      <c r="AV44" s="114"/>
      <c r="AW44" s="93">
        <v>40969</v>
      </c>
      <c r="AX44" s="91"/>
      <c r="AY44" s="91"/>
      <c r="AZ44" s="91"/>
      <c r="BA44" s="114"/>
      <c r="BB44" s="114"/>
      <c r="BC44" s="114"/>
      <c r="BD44" s="114"/>
      <c r="BE44" s="114"/>
      <c r="BF44" s="91"/>
      <c r="BG44" s="91"/>
      <c r="BH44" s="91"/>
      <c r="BI44" s="91"/>
      <c r="BJ44" s="91"/>
      <c r="BK44" s="91"/>
      <c r="BL44" s="91"/>
      <c r="BM44" s="91"/>
      <c r="BN44" s="115" t="s">
        <v>18</v>
      </c>
      <c r="BO44" s="91" t="s">
        <v>18</v>
      </c>
      <c r="BP44" s="91"/>
      <c r="BQ44" s="91"/>
      <c r="BR44" s="91"/>
      <c r="BS44" s="91"/>
      <c r="BT44" s="91"/>
      <c r="BU44" s="91"/>
      <c r="BV44" s="91"/>
      <c r="BW44" s="91"/>
      <c r="BX44" s="91"/>
      <c r="BY44" s="91" t="s">
        <v>163</v>
      </c>
      <c r="BZ44" s="91"/>
      <c r="CA44" s="91"/>
      <c r="CB44" s="95"/>
      <c r="CC44" s="95"/>
      <c r="CD44" s="91"/>
      <c r="CE44" s="91"/>
      <c r="CF44" s="91"/>
      <c r="CG44" s="91"/>
      <c r="CH44" s="113"/>
      <c r="CI44" s="91"/>
      <c r="CJ44" s="91"/>
      <c r="CK44" s="91" t="s">
        <v>168</v>
      </c>
    </row>
    <row r="45" spans="1:102" ht="24.95" customHeight="1">
      <c r="A45" s="116">
        <v>47</v>
      </c>
      <c r="B45" s="116" t="s">
        <v>734</v>
      </c>
      <c r="C45" s="116" t="s">
        <v>735</v>
      </c>
      <c r="D45" s="116" t="s">
        <v>736</v>
      </c>
      <c r="E45" s="116" t="s">
        <v>737</v>
      </c>
      <c r="F45" s="116" t="s">
        <v>24</v>
      </c>
      <c r="G45" s="116">
        <v>3</v>
      </c>
      <c r="H45" s="116" t="s">
        <v>54</v>
      </c>
      <c r="I45" s="116" t="s">
        <v>31</v>
      </c>
      <c r="J45" s="116" t="s">
        <v>738</v>
      </c>
      <c r="K45" s="116" t="s">
        <v>739</v>
      </c>
      <c r="L45" s="116" t="s">
        <v>31</v>
      </c>
      <c r="M45" s="116" t="s">
        <v>150</v>
      </c>
      <c r="N45" s="223" t="s">
        <v>740</v>
      </c>
      <c r="O45" s="18" t="s">
        <v>322</v>
      </c>
      <c r="P45" s="19" t="s">
        <v>322</v>
      </c>
      <c r="Q45" s="116" t="s">
        <v>322</v>
      </c>
      <c r="R45" s="388" t="s">
        <v>741</v>
      </c>
      <c r="S45" s="388" t="s">
        <v>742</v>
      </c>
      <c r="T45" s="342" t="s">
        <v>743</v>
      </c>
      <c r="U45" s="117" t="s">
        <v>744</v>
      </c>
      <c r="V45" s="117">
        <v>26540</v>
      </c>
      <c r="W45" s="121" t="s">
        <v>745</v>
      </c>
      <c r="X45" s="121" t="s">
        <v>156</v>
      </c>
      <c r="Y45" s="121" t="s">
        <v>163</v>
      </c>
      <c r="Z45" s="121" t="s">
        <v>158</v>
      </c>
      <c r="AA45" s="116">
        <v>17</v>
      </c>
      <c r="AB45" s="117">
        <v>41325</v>
      </c>
      <c r="AC45" s="283">
        <v>41334</v>
      </c>
      <c r="AD45" s="117"/>
      <c r="AE45" s="20" t="s">
        <v>746</v>
      </c>
      <c r="AF45" s="124" t="s">
        <v>747</v>
      </c>
      <c r="AG45" s="124"/>
      <c r="AH45" s="116">
        <f t="shared" si="5"/>
        <v>2</v>
      </c>
      <c r="AI45" s="18" t="s">
        <v>161</v>
      </c>
      <c r="AJ45" s="20"/>
      <c r="AK45" s="20"/>
      <c r="AL45" s="20" t="s">
        <v>150</v>
      </c>
      <c r="AM45" s="20"/>
      <c r="AN45" s="20"/>
      <c r="AO45" s="20" t="s">
        <v>202</v>
      </c>
      <c r="AP45" s="20" t="s">
        <v>748</v>
      </c>
      <c r="AQ45" s="20" t="s">
        <v>165</v>
      </c>
      <c r="AR45" s="20" t="s">
        <v>150</v>
      </c>
      <c r="AS45" s="20" t="s">
        <v>749</v>
      </c>
      <c r="AT45" s="405" t="s">
        <v>328</v>
      </c>
      <c r="AU45" s="116" t="s">
        <v>750</v>
      </c>
      <c r="AV45" s="117"/>
      <c r="AW45" s="118">
        <v>41334</v>
      </c>
      <c r="AX45" s="118">
        <v>41579</v>
      </c>
      <c r="AY45" s="118" t="s">
        <v>150</v>
      </c>
      <c r="AZ45" s="118">
        <v>41913</v>
      </c>
      <c r="BA45" s="118"/>
      <c r="BB45" s="118">
        <v>42153</v>
      </c>
      <c r="BC45" s="118"/>
      <c r="BD45" s="118"/>
      <c r="BE45" s="119" t="s">
        <v>751</v>
      </c>
      <c r="BF45" s="118">
        <v>42217</v>
      </c>
      <c r="BG45" s="118" t="s">
        <v>150</v>
      </c>
      <c r="BH45" s="118">
        <v>42428</v>
      </c>
      <c r="BI45" s="118" t="s">
        <v>150</v>
      </c>
      <c r="BJ45" s="117">
        <v>42976</v>
      </c>
      <c r="BK45" s="117">
        <v>43011</v>
      </c>
      <c r="BL45" s="117">
        <v>43038</v>
      </c>
      <c r="BM45" s="120">
        <v>43038</v>
      </c>
      <c r="BN45" s="116" t="s">
        <v>16</v>
      </c>
      <c r="BO45" s="224">
        <f>DATEDIF(AW45,BM45, "M")+1</f>
        <v>56</v>
      </c>
      <c r="BP45" s="116">
        <f t="shared" ref="BP45:BP52" si="10">DATEDIF(AX45,BM45, "M")+1</f>
        <v>48</v>
      </c>
      <c r="BQ45" s="121" t="s">
        <v>751</v>
      </c>
      <c r="BR45" s="116">
        <v>0</v>
      </c>
      <c r="BS45" s="116">
        <v>0</v>
      </c>
      <c r="BT45" s="116">
        <v>5</v>
      </c>
      <c r="BU45" s="116">
        <v>2</v>
      </c>
      <c r="BV45" s="116">
        <v>0</v>
      </c>
      <c r="BW45" s="116">
        <v>0</v>
      </c>
      <c r="BX45" s="116">
        <v>0</v>
      </c>
      <c r="BY45" s="116" t="s">
        <v>163</v>
      </c>
      <c r="BZ45" s="116">
        <v>0</v>
      </c>
      <c r="CA45" s="116"/>
      <c r="CB45" s="122"/>
      <c r="CC45" s="122"/>
      <c r="CD45" s="116"/>
      <c r="CE45" s="116" t="s">
        <v>163</v>
      </c>
      <c r="CF45" s="116"/>
      <c r="CG45" s="116"/>
      <c r="CH45" s="372">
        <v>1</v>
      </c>
      <c r="CI45" s="116">
        <v>1</v>
      </c>
      <c r="CJ45" s="116"/>
      <c r="CK45" s="116" t="s">
        <v>538</v>
      </c>
    </row>
    <row r="46" spans="1:102" ht="24.95" customHeight="1">
      <c r="A46" s="116">
        <v>48</v>
      </c>
      <c r="B46" s="116" t="s">
        <v>752</v>
      </c>
      <c r="C46" s="116" t="s">
        <v>753</v>
      </c>
      <c r="D46" s="116"/>
      <c r="E46" s="116" t="s">
        <v>754</v>
      </c>
      <c r="F46" s="116" t="s">
        <v>24</v>
      </c>
      <c r="G46" s="116">
        <v>3</v>
      </c>
      <c r="H46" s="116" t="s">
        <v>52</v>
      </c>
      <c r="I46" s="116" t="s">
        <v>42</v>
      </c>
      <c r="J46" s="116" t="s">
        <v>477</v>
      </c>
      <c r="K46" s="116"/>
      <c r="L46" s="116" t="s">
        <v>42</v>
      </c>
      <c r="M46" s="116" t="s">
        <v>150</v>
      </c>
      <c r="N46" s="116"/>
      <c r="O46" s="225" t="s">
        <v>151</v>
      </c>
      <c r="P46" s="226" t="s">
        <v>240</v>
      </c>
      <c r="Q46" s="116" t="s">
        <v>151</v>
      </c>
      <c r="R46" s="116" t="s">
        <v>755</v>
      </c>
      <c r="S46" s="123" t="s">
        <v>756</v>
      </c>
      <c r="T46" s="342" t="s">
        <v>757</v>
      </c>
      <c r="U46" s="117" t="s">
        <v>168</v>
      </c>
      <c r="V46" s="117">
        <v>27702</v>
      </c>
      <c r="W46" s="121" t="s">
        <v>758</v>
      </c>
      <c r="X46" s="121" t="s">
        <v>156</v>
      </c>
      <c r="Y46" s="121" t="s">
        <v>157</v>
      </c>
      <c r="Z46" s="121" t="s">
        <v>158</v>
      </c>
      <c r="AA46" s="116">
        <v>18.5</v>
      </c>
      <c r="AB46" s="117">
        <v>41329</v>
      </c>
      <c r="AC46" s="283">
        <v>41334</v>
      </c>
      <c r="AD46" s="117"/>
      <c r="AE46" s="21" t="s">
        <v>759</v>
      </c>
      <c r="AF46" s="116" t="s">
        <v>760</v>
      </c>
      <c r="AG46" s="116"/>
      <c r="AH46" s="116">
        <f t="shared" si="5"/>
        <v>2</v>
      </c>
      <c r="AI46" s="18" t="s">
        <v>161</v>
      </c>
      <c r="AJ46" s="116"/>
      <c r="AK46" s="116"/>
      <c r="AL46" s="116" t="s">
        <v>150</v>
      </c>
      <c r="AM46" s="116"/>
      <c r="AN46" s="116"/>
      <c r="AO46" s="116" t="s">
        <v>164</v>
      </c>
      <c r="AP46" s="116"/>
      <c r="AQ46" s="116" t="s">
        <v>203</v>
      </c>
      <c r="AR46" s="116" t="s">
        <v>150</v>
      </c>
      <c r="AS46" s="116"/>
      <c r="AT46" s="17" t="s">
        <v>420</v>
      </c>
      <c r="AU46" s="116" t="s">
        <v>761</v>
      </c>
      <c r="AV46" s="117"/>
      <c r="AW46" s="118">
        <v>41334</v>
      </c>
      <c r="AX46" s="118">
        <v>41579</v>
      </c>
      <c r="AY46" s="118" t="s">
        <v>150</v>
      </c>
      <c r="AZ46" s="118"/>
      <c r="BA46" s="118"/>
      <c r="BB46" s="118"/>
      <c r="BC46" s="118"/>
      <c r="BD46" s="118"/>
      <c r="BE46" s="119"/>
      <c r="BF46" s="118">
        <v>42217</v>
      </c>
      <c r="BG46" s="118" t="s">
        <v>150</v>
      </c>
      <c r="BH46" s="118">
        <v>42428</v>
      </c>
      <c r="BI46" s="118" t="s">
        <v>150</v>
      </c>
      <c r="BJ46" s="117"/>
      <c r="BK46" s="117"/>
      <c r="BL46" s="117"/>
      <c r="BM46" s="120">
        <v>43819</v>
      </c>
      <c r="BN46" s="116" t="s">
        <v>16</v>
      </c>
      <c r="BO46" s="224">
        <f t="shared" ref="BO46:BO52" si="11">DATEDIF(AW46,BM46, "M")+1</f>
        <v>82</v>
      </c>
      <c r="BP46" s="116">
        <f t="shared" si="10"/>
        <v>74</v>
      </c>
      <c r="BQ46" s="116"/>
      <c r="BR46" s="116">
        <v>2</v>
      </c>
      <c r="BS46" s="116">
        <v>1</v>
      </c>
      <c r="BT46" s="116">
        <v>1</v>
      </c>
      <c r="BU46" s="116">
        <v>0</v>
      </c>
      <c r="BV46" s="116">
        <v>0</v>
      </c>
      <c r="BW46" s="116">
        <v>0</v>
      </c>
      <c r="BX46" s="116">
        <v>0</v>
      </c>
      <c r="BY46" s="116" t="s">
        <v>163</v>
      </c>
      <c r="BZ46" s="116">
        <v>0</v>
      </c>
      <c r="CA46" s="116"/>
      <c r="CB46" s="122"/>
      <c r="CC46" s="122"/>
      <c r="CD46" s="116"/>
      <c r="CE46" s="116" t="s">
        <v>163</v>
      </c>
      <c r="CF46" s="116"/>
      <c r="CG46" s="116"/>
      <c r="CH46" s="372">
        <v>1</v>
      </c>
      <c r="CI46" s="116">
        <v>4</v>
      </c>
      <c r="CJ46" s="116"/>
      <c r="CK46" s="116" t="s">
        <v>538</v>
      </c>
    </row>
    <row r="47" spans="1:102" ht="24.95" customHeight="1">
      <c r="A47" s="116">
        <v>49</v>
      </c>
      <c r="B47" s="116" t="s">
        <v>762</v>
      </c>
      <c r="C47" s="116" t="s">
        <v>763</v>
      </c>
      <c r="D47" s="116" t="s">
        <v>764</v>
      </c>
      <c r="E47" s="116" t="s">
        <v>765</v>
      </c>
      <c r="F47" s="116" t="s">
        <v>24</v>
      </c>
      <c r="G47" s="116">
        <v>3</v>
      </c>
      <c r="H47" s="116" t="s">
        <v>52</v>
      </c>
      <c r="I47" s="116" t="s">
        <v>42</v>
      </c>
      <c r="J47" s="116" t="s">
        <v>702</v>
      </c>
      <c r="K47" s="116" t="s">
        <v>766</v>
      </c>
      <c r="L47" s="116" t="s">
        <v>42</v>
      </c>
      <c r="M47" s="116" t="s">
        <v>150</v>
      </c>
      <c r="N47" s="223" t="s">
        <v>767</v>
      </c>
      <c r="O47" s="227" t="s">
        <v>322</v>
      </c>
      <c r="P47" s="22" t="s">
        <v>322</v>
      </c>
      <c r="Q47" s="116"/>
      <c r="R47" s="388" t="s">
        <v>768</v>
      </c>
      <c r="S47" s="116" t="s">
        <v>769</v>
      </c>
      <c r="T47" s="343" t="s">
        <v>770</v>
      </c>
      <c r="U47" s="117" t="s">
        <v>771</v>
      </c>
      <c r="V47" s="117">
        <v>30620</v>
      </c>
      <c r="W47" s="121" t="s">
        <v>772</v>
      </c>
      <c r="X47" s="121" t="s">
        <v>179</v>
      </c>
      <c r="Y47" s="121" t="s">
        <v>163</v>
      </c>
      <c r="Z47" s="121" t="s">
        <v>158</v>
      </c>
      <c r="AA47" s="116">
        <v>6.5</v>
      </c>
      <c r="AB47" s="117">
        <v>41097</v>
      </c>
      <c r="AC47" s="283">
        <v>41334</v>
      </c>
      <c r="AD47" s="117"/>
      <c r="AE47" s="20" t="s">
        <v>773</v>
      </c>
      <c r="AF47" s="23" t="s">
        <v>774</v>
      </c>
      <c r="AG47" s="23" t="s">
        <v>775</v>
      </c>
      <c r="AH47" s="116">
        <f t="shared" si="5"/>
        <v>3</v>
      </c>
      <c r="AI47" s="18" t="s">
        <v>161</v>
      </c>
      <c r="AJ47" s="18" t="s">
        <v>161</v>
      </c>
      <c r="AK47" s="18" t="s">
        <v>161</v>
      </c>
      <c r="AL47" s="18" t="s">
        <v>150</v>
      </c>
      <c r="AM47" s="18" t="s">
        <v>163</v>
      </c>
      <c r="AN47" s="18" t="s">
        <v>163</v>
      </c>
      <c r="AO47" s="18" t="s">
        <v>202</v>
      </c>
      <c r="AP47" s="18" t="s">
        <v>776</v>
      </c>
      <c r="AQ47" s="18" t="s">
        <v>777</v>
      </c>
      <c r="AR47" s="18" t="s">
        <v>150</v>
      </c>
      <c r="AS47" s="18"/>
      <c r="AT47" s="406"/>
      <c r="AU47" s="116" t="s">
        <v>778</v>
      </c>
      <c r="AV47" s="117"/>
      <c r="AW47" s="118">
        <v>41334</v>
      </c>
      <c r="AX47" s="118">
        <v>41579</v>
      </c>
      <c r="AY47" s="118" t="s">
        <v>150</v>
      </c>
      <c r="AZ47" s="118"/>
      <c r="BA47" s="118"/>
      <c r="BB47" s="118"/>
      <c r="BC47" s="118"/>
      <c r="BD47" s="118"/>
      <c r="BE47" s="119" t="s">
        <v>779</v>
      </c>
      <c r="BF47" s="118">
        <v>42217</v>
      </c>
      <c r="BG47" s="118" t="s">
        <v>150</v>
      </c>
      <c r="BH47" s="118">
        <v>42428</v>
      </c>
      <c r="BI47" s="118" t="s">
        <v>150</v>
      </c>
      <c r="BJ47" s="117"/>
      <c r="BK47" s="117"/>
      <c r="BL47" s="117"/>
      <c r="BM47" s="120">
        <v>42735</v>
      </c>
      <c r="BN47" s="116" t="s">
        <v>16</v>
      </c>
      <c r="BO47" s="224">
        <f t="shared" si="11"/>
        <v>46</v>
      </c>
      <c r="BP47" s="116">
        <f t="shared" si="10"/>
        <v>38</v>
      </c>
      <c r="BQ47" s="121" t="s">
        <v>779</v>
      </c>
      <c r="BR47" s="116">
        <v>1</v>
      </c>
      <c r="BS47" s="116">
        <v>1</v>
      </c>
      <c r="BT47" s="116">
        <v>4</v>
      </c>
      <c r="BU47" s="116">
        <v>1</v>
      </c>
      <c r="BV47" s="116">
        <v>0</v>
      </c>
      <c r="BW47" s="116">
        <v>0</v>
      </c>
      <c r="BX47" s="116">
        <v>0</v>
      </c>
      <c r="BY47" s="116" t="s">
        <v>163</v>
      </c>
      <c r="BZ47" s="116">
        <v>0</v>
      </c>
      <c r="CA47" s="116"/>
      <c r="CB47" s="122"/>
      <c r="CC47" s="122"/>
      <c r="CD47" s="116"/>
      <c r="CE47" s="116" t="s">
        <v>163</v>
      </c>
      <c r="CF47" s="116"/>
      <c r="CG47" s="116"/>
      <c r="CH47" s="372">
        <v>0</v>
      </c>
      <c r="CI47" s="116">
        <v>0</v>
      </c>
      <c r="CJ47" s="116"/>
      <c r="CK47" s="116" t="s">
        <v>538</v>
      </c>
    </row>
    <row r="48" spans="1:102" ht="24.95" customHeight="1">
      <c r="A48" s="116">
        <v>50</v>
      </c>
      <c r="B48" s="116" t="s">
        <v>780</v>
      </c>
      <c r="C48" s="116" t="s">
        <v>781</v>
      </c>
      <c r="D48" s="116" t="s">
        <v>782</v>
      </c>
      <c r="E48" s="116" t="s">
        <v>783</v>
      </c>
      <c r="F48" s="116" t="s">
        <v>24</v>
      </c>
      <c r="G48" s="116">
        <v>3</v>
      </c>
      <c r="H48" s="116" t="s">
        <v>54</v>
      </c>
      <c r="I48" s="116" t="s">
        <v>31</v>
      </c>
      <c r="J48" s="116" t="s">
        <v>784</v>
      </c>
      <c r="K48" s="116" t="s">
        <v>785</v>
      </c>
      <c r="L48" s="116" t="s">
        <v>31</v>
      </c>
      <c r="M48" s="116" t="s">
        <v>150</v>
      </c>
      <c r="N48" s="223"/>
      <c r="O48" s="227" t="s">
        <v>322</v>
      </c>
      <c r="P48" s="22" t="s">
        <v>322</v>
      </c>
      <c r="Q48" s="116"/>
      <c r="R48" s="388" t="s">
        <v>786</v>
      </c>
      <c r="S48" s="116" t="s">
        <v>787</v>
      </c>
      <c r="T48" s="342" t="s">
        <v>788</v>
      </c>
      <c r="U48" s="117" t="s">
        <v>789</v>
      </c>
      <c r="V48" s="117">
        <v>26913</v>
      </c>
      <c r="W48" s="121" t="s">
        <v>790</v>
      </c>
      <c r="X48" s="121" t="s">
        <v>179</v>
      </c>
      <c r="Y48" s="121" t="s">
        <v>163</v>
      </c>
      <c r="Z48" s="121" t="s">
        <v>158</v>
      </c>
      <c r="AA48" s="116">
        <v>6.5</v>
      </c>
      <c r="AB48" s="117">
        <v>41326</v>
      </c>
      <c r="AC48" s="283">
        <v>41334</v>
      </c>
      <c r="AD48" s="117"/>
      <c r="AE48" s="20" t="s">
        <v>791</v>
      </c>
      <c r="AF48" s="124"/>
      <c r="AG48" s="124"/>
      <c r="AH48" s="116">
        <f t="shared" si="5"/>
        <v>1</v>
      </c>
      <c r="AI48" s="18" t="s">
        <v>161</v>
      </c>
      <c r="AJ48" s="20"/>
      <c r="AK48" s="20"/>
      <c r="AL48" s="20" t="s">
        <v>150</v>
      </c>
      <c r="AM48" s="20"/>
      <c r="AN48" s="20"/>
      <c r="AO48" s="20" t="s">
        <v>164</v>
      </c>
      <c r="AP48" s="20" t="s">
        <v>792</v>
      </c>
      <c r="AQ48" s="20" t="s">
        <v>484</v>
      </c>
      <c r="AR48" s="20" t="s">
        <v>163</v>
      </c>
      <c r="AS48" s="20" t="s">
        <v>793</v>
      </c>
      <c r="AT48" s="405" t="s">
        <v>328</v>
      </c>
      <c r="AU48" s="116" t="s">
        <v>794</v>
      </c>
      <c r="AV48" s="117"/>
      <c r="AW48" s="118">
        <v>41334</v>
      </c>
      <c r="AX48" s="118">
        <v>41579</v>
      </c>
      <c r="AY48" s="118" t="s">
        <v>150</v>
      </c>
      <c r="AZ48" s="118"/>
      <c r="BA48" s="118"/>
      <c r="BB48" s="118"/>
      <c r="BC48" s="118"/>
      <c r="BD48" s="118"/>
      <c r="BE48" s="119"/>
      <c r="BF48" s="118">
        <v>42217</v>
      </c>
      <c r="BG48" s="118" t="s">
        <v>150</v>
      </c>
      <c r="BH48" s="118">
        <v>42428</v>
      </c>
      <c r="BI48" s="118" t="s">
        <v>150</v>
      </c>
      <c r="BJ48" s="117"/>
      <c r="BK48" s="117"/>
      <c r="BL48" s="117"/>
      <c r="BM48" s="120">
        <v>42916</v>
      </c>
      <c r="BN48" s="116" t="s">
        <v>16</v>
      </c>
      <c r="BO48" s="224">
        <f t="shared" si="11"/>
        <v>52</v>
      </c>
      <c r="BP48" s="116">
        <f t="shared" si="10"/>
        <v>44</v>
      </c>
      <c r="BQ48" s="116"/>
      <c r="BR48" s="116">
        <v>0</v>
      </c>
      <c r="BS48" s="116">
        <v>18</v>
      </c>
      <c r="BT48" s="116">
        <v>17</v>
      </c>
      <c r="BU48" s="116">
        <v>11</v>
      </c>
      <c r="BV48" s="116">
        <v>1</v>
      </c>
      <c r="BW48" s="116">
        <v>0</v>
      </c>
      <c r="BX48" s="116">
        <v>0</v>
      </c>
      <c r="BY48" s="116" t="s">
        <v>163</v>
      </c>
      <c r="BZ48" s="116">
        <v>0</v>
      </c>
      <c r="CA48" s="116"/>
      <c r="CB48" s="122"/>
      <c r="CC48" s="122"/>
      <c r="CD48" s="116"/>
      <c r="CE48" s="116" t="s">
        <v>163</v>
      </c>
      <c r="CF48" s="116"/>
      <c r="CG48" s="116"/>
      <c r="CH48" s="372">
        <v>0</v>
      </c>
      <c r="CI48" s="116">
        <v>0</v>
      </c>
      <c r="CJ48" s="116"/>
      <c r="CK48" s="116" t="s">
        <v>568</v>
      </c>
    </row>
    <row r="49" spans="1:102" ht="24.95" customHeight="1">
      <c r="A49" s="116">
        <v>51</v>
      </c>
      <c r="B49" s="116" t="s">
        <v>795</v>
      </c>
      <c r="C49" s="116" t="s">
        <v>796</v>
      </c>
      <c r="D49" s="116" t="s">
        <v>797</v>
      </c>
      <c r="E49" s="116" t="s">
        <v>798</v>
      </c>
      <c r="F49" s="116" t="s">
        <v>25</v>
      </c>
      <c r="G49" s="116">
        <v>3</v>
      </c>
      <c r="H49" s="116" t="s">
        <v>60</v>
      </c>
      <c r="I49" s="116" t="s">
        <v>35</v>
      </c>
      <c r="J49" s="116" t="s">
        <v>799</v>
      </c>
      <c r="K49" s="116"/>
      <c r="L49" s="116" t="s">
        <v>35</v>
      </c>
      <c r="M49" s="116" t="s">
        <v>150</v>
      </c>
      <c r="N49" s="223"/>
      <c r="O49" s="228" t="s">
        <v>151</v>
      </c>
      <c r="P49" s="22" t="s">
        <v>151</v>
      </c>
      <c r="Q49" s="116" t="s">
        <v>151</v>
      </c>
      <c r="R49" s="388" t="s">
        <v>800</v>
      </c>
      <c r="S49" s="116" t="s">
        <v>801</v>
      </c>
      <c r="T49" s="342" t="s">
        <v>802</v>
      </c>
      <c r="U49" s="117" t="s">
        <v>803</v>
      </c>
      <c r="V49" s="117">
        <v>29083</v>
      </c>
      <c r="W49" s="121" t="s">
        <v>804</v>
      </c>
      <c r="X49" s="121" t="s">
        <v>805</v>
      </c>
      <c r="Y49" s="121" t="s">
        <v>157</v>
      </c>
      <c r="Z49" s="121" t="s">
        <v>158</v>
      </c>
      <c r="AA49" s="116">
        <v>18.5</v>
      </c>
      <c r="AB49" s="117">
        <v>41163</v>
      </c>
      <c r="AC49" s="283">
        <v>41334</v>
      </c>
      <c r="AD49" s="117"/>
      <c r="AE49" s="116" t="s">
        <v>806</v>
      </c>
      <c r="AF49" s="127" t="s">
        <v>807</v>
      </c>
      <c r="AG49" s="127"/>
      <c r="AH49" s="116">
        <f t="shared" si="5"/>
        <v>2</v>
      </c>
      <c r="AI49" s="18" t="s">
        <v>161</v>
      </c>
      <c r="AJ49" s="20"/>
      <c r="AK49" s="20"/>
      <c r="AL49" s="20" t="s">
        <v>150</v>
      </c>
      <c r="AM49" s="20"/>
      <c r="AN49" s="20"/>
      <c r="AO49" s="20" t="s">
        <v>164</v>
      </c>
      <c r="AP49" s="20" t="s">
        <v>181</v>
      </c>
      <c r="AQ49" s="20" t="s">
        <v>203</v>
      </c>
      <c r="AR49" s="20" t="s">
        <v>150</v>
      </c>
      <c r="AS49" s="20"/>
      <c r="AT49" s="405" t="s">
        <v>552</v>
      </c>
      <c r="AU49" s="116" t="s">
        <v>808</v>
      </c>
      <c r="AV49" s="117"/>
      <c r="AW49" s="118">
        <v>41334</v>
      </c>
      <c r="AX49" s="118">
        <v>41579</v>
      </c>
      <c r="AY49" s="118" t="s">
        <v>150</v>
      </c>
      <c r="AZ49" s="118"/>
      <c r="BA49" s="118"/>
      <c r="BB49" s="118"/>
      <c r="BC49" s="118"/>
      <c r="BD49" s="118"/>
      <c r="BE49" s="119"/>
      <c r="BF49" s="118">
        <v>42217</v>
      </c>
      <c r="BG49" s="118" t="s">
        <v>150</v>
      </c>
      <c r="BH49" s="118">
        <v>42428</v>
      </c>
      <c r="BI49" s="118" t="s">
        <v>150</v>
      </c>
      <c r="BJ49" s="117"/>
      <c r="BK49" s="117"/>
      <c r="BL49" s="117"/>
      <c r="BM49" s="120">
        <v>42460</v>
      </c>
      <c r="BN49" s="116" t="s">
        <v>16</v>
      </c>
      <c r="BO49" s="224">
        <f t="shared" si="11"/>
        <v>37</v>
      </c>
      <c r="BP49" s="116">
        <f t="shared" si="10"/>
        <v>29</v>
      </c>
      <c r="BQ49" s="116"/>
      <c r="BR49" s="116">
        <v>0</v>
      </c>
      <c r="BS49" s="116">
        <v>6</v>
      </c>
      <c r="BT49" s="116">
        <v>31</v>
      </c>
      <c r="BU49" s="116">
        <v>0</v>
      </c>
      <c r="BV49" s="116">
        <v>1</v>
      </c>
      <c r="BW49" s="116">
        <v>0</v>
      </c>
      <c r="BX49" s="116">
        <v>0</v>
      </c>
      <c r="BY49" s="116" t="s">
        <v>163</v>
      </c>
      <c r="BZ49" s="116">
        <v>0</v>
      </c>
      <c r="CA49" s="116"/>
      <c r="CB49" s="122"/>
      <c r="CC49" s="122"/>
      <c r="CD49" s="116"/>
      <c r="CE49" s="116" t="s">
        <v>163</v>
      </c>
      <c r="CF49" s="116"/>
      <c r="CG49" s="116"/>
      <c r="CH49" s="372">
        <v>1</v>
      </c>
      <c r="CI49" s="116">
        <v>2</v>
      </c>
      <c r="CJ49" s="116"/>
      <c r="CK49" s="116" t="s">
        <v>809</v>
      </c>
    </row>
    <row r="50" spans="1:102" ht="24.95" customHeight="1">
      <c r="A50" s="116">
        <v>52</v>
      </c>
      <c r="B50" s="116" t="s">
        <v>810</v>
      </c>
      <c r="C50" s="116" t="s">
        <v>811</v>
      </c>
      <c r="D50" s="116" t="s">
        <v>812</v>
      </c>
      <c r="E50" s="116" t="s">
        <v>813</v>
      </c>
      <c r="F50" s="116" t="s">
        <v>25</v>
      </c>
      <c r="G50" s="116">
        <v>3</v>
      </c>
      <c r="H50" s="116" t="s">
        <v>55</v>
      </c>
      <c r="I50" s="116" t="s">
        <v>43</v>
      </c>
      <c r="J50" s="116" t="s">
        <v>602</v>
      </c>
      <c r="K50" s="116"/>
      <c r="L50" s="116" t="s">
        <v>43</v>
      </c>
      <c r="M50" s="116" t="s">
        <v>150</v>
      </c>
      <c r="N50" s="223"/>
      <c r="O50" s="228"/>
      <c r="P50" s="22" t="s">
        <v>168</v>
      </c>
      <c r="Q50" s="116"/>
      <c r="R50" s="116" t="s">
        <v>814</v>
      </c>
      <c r="S50" s="116" t="s">
        <v>815</v>
      </c>
      <c r="T50" s="342" t="s">
        <v>816</v>
      </c>
      <c r="U50" s="117" t="s">
        <v>817</v>
      </c>
      <c r="V50" s="117">
        <v>28395</v>
      </c>
      <c r="W50" s="121" t="s">
        <v>818</v>
      </c>
      <c r="X50" s="121" t="s">
        <v>179</v>
      </c>
      <c r="Y50" s="121" t="s">
        <v>163</v>
      </c>
      <c r="Z50" s="121" t="s">
        <v>158</v>
      </c>
      <c r="AA50" s="116">
        <v>15</v>
      </c>
      <c r="AB50" s="117">
        <v>41200</v>
      </c>
      <c r="AC50" s="283">
        <v>41334</v>
      </c>
      <c r="AD50" s="117"/>
      <c r="AE50" s="20" t="s">
        <v>819</v>
      </c>
      <c r="AF50" s="124"/>
      <c r="AG50" s="124"/>
      <c r="AH50" s="116">
        <f t="shared" si="5"/>
        <v>1</v>
      </c>
      <c r="AI50" s="18" t="s">
        <v>161</v>
      </c>
      <c r="AJ50" s="20"/>
      <c r="AK50" s="20"/>
      <c r="AL50" s="20" t="s">
        <v>150</v>
      </c>
      <c r="AM50" s="20"/>
      <c r="AN50" s="20"/>
      <c r="AO50" s="20" t="s">
        <v>164</v>
      </c>
      <c r="AP50" s="20" t="s">
        <v>820</v>
      </c>
      <c r="AQ50" s="20" t="s">
        <v>820</v>
      </c>
      <c r="AR50" s="20" t="s">
        <v>163</v>
      </c>
      <c r="AS50" s="20"/>
      <c r="AT50" s="405" t="s">
        <v>298</v>
      </c>
      <c r="AU50" s="116" t="s">
        <v>821</v>
      </c>
      <c r="AV50" s="117"/>
      <c r="AW50" s="118">
        <v>41334</v>
      </c>
      <c r="AX50" s="118">
        <v>41579</v>
      </c>
      <c r="AY50" s="118" t="s">
        <v>150</v>
      </c>
      <c r="AZ50" s="118"/>
      <c r="BA50" s="118"/>
      <c r="BB50" s="118"/>
      <c r="BC50" s="118"/>
      <c r="BD50" s="118"/>
      <c r="BE50" s="119" t="s">
        <v>822</v>
      </c>
      <c r="BF50" s="118">
        <v>42217</v>
      </c>
      <c r="BG50" s="118" t="s">
        <v>150</v>
      </c>
      <c r="BH50" s="118">
        <v>42428</v>
      </c>
      <c r="BI50" s="118" t="s">
        <v>150</v>
      </c>
      <c r="BJ50" s="117"/>
      <c r="BK50" s="117"/>
      <c r="BL50" s="117"/>
      <c r="BM50" s="120">
        <v>43069</v>
      </c>
      <c r="BN50" s="116" t="s">
        <v>16</v>
      </c>
      <c r="BO50" s="224">
        <f t="shared" si="11"/>
        <v>57</v>
      </c>
      <c r="BP50" s="116">
        <f t="shared" si="10"/>
        <v>49</v>
      </c>
      <c r="BQ50" s="121" t="s">
        <v>822</v>
      </c>
      <c r="BR50" s="116">
        <v>0</v>
      </c>
      <c r="BS50" s="116">
        <v>3</v>
      </c>
      <c r="BT50" s="116">
        <v>3</v>
      </c>
      <c r="BU50" s="116">
        <v>2</v>
      </c>
      <c r="BV50" s="116">
        <v>0</v>
      </c>
      <c r="BW50" s="116">
        <v>0</v>
      </c>
      <c r="BX50" s="116">
        <v>0</v>
      </c>
      <c r="BY50" s="116" t="s">
        <v>163</v>
      </c>
      <c r="BZ50" s="116">
        <v>0</v>
      </c>
      <c r="CA50" s="116"/>
      <c r="CB50" s="122"/>
      <c r="CC50" s="122"/>
      <c r="CD50" s="116"/>
      <c r="CE50" s="116" t="s">
        <v>163</v>
      </c>
      <c r="CF50" s="116"/>
      <c r="CG50" s="116"/>
      <c r="CH50" s="372" t="s">
        <v>168</v>
      </c>
      <c r="CI50" s="116" t="s">
        <v>168</v>
      </c>
      <c r="CJ50" s="116"/>
      <c r="CK50" s="116" t="s">
        <v>538</v>
      </c>
    </row>
    <row r="51" spans="1:102" ht="24.95" customHeight="1">
      <c r="A51" s="116">
        <v>53</v>
      </c>
      <c r="B51" s="116" t="s">
        <v>823</v>
      </c>
      <c r="C51" s="116" t="s">
        <v>824</v>
      </c>
      <c r="D51" s="116" t="s">
        <v>825</v>
      </c>
      <c r="E51" s="116" t="s">
        <v>826</v>
      </c>
      <c r="F51" s="116" t="s">
        <v>25</v>
      </c>
      <c r="G51" s="116">
        <v>3</v>
      </c>
      <c r="H51" s="116" t="s">
        <v>54</v>
      </c>
      <c r="I51" s="116" t="s">
        <v>31</v>
      </c>
      <c r="J51" s="116" t="s">
        <v>827</v>
      </c>
      <c r="K51" s="116" t="s">
        <v>828</v>
      </c>
      <c r="L51" s="116" t="s">
        <v>31</v>
      </c>
      <c r="M51" s="116" t="s">
        <v>150</v>
      </c>
      <c r="N51" s="223">
        <v>95534</v>
      </c>
      <c r="O51" s="228" t="s">
        <v>151</v>
      </c>
      <c r="P51" s="22" t="s">
        <v>151</v>
      </c>
      <c r="Q51" s="116" t="s">
        <v>151</v>
      </c>
      <c r="R51" s="388" t="s">
        <v>829</v>
      </c>
      <c r="S51" s="116" t="s">
        <v>830</v>
      </c>
      <c r="T51" s="342" t="s">
        <v>831</v>
      </c>
      <c r="U51" s="117" t="s">
        <v>832</v>
      </c>
      <c r="V51" s="117">
        <v>28708</v>
      </c>
      <c r="W51" s="121" t="s">
        <v>833</v>
      </c>
      <c r="X51" s="121" t="s">
        <v>805</v>
      </c>
      <c r="Y51" s="121" t="s">
        <v>157</v>
      </c>
      <c r="Z51" s="121" t="s">
        <v>158</v>
      </c>
      <c r="AA51" s="116">
        <v>14.5</v>
      </c>
      <c r="AB51" s="117">
        <v>41004</v>
      </c>
      <c r="AC51" s="283">
        <v>41334</v>
      </c>
      <c r="AD51" s="117"/>
      <c r="AE51" s="20" t="s">
        <v>834</v>
      </c>
      <c r="AF51" s="124"/>
      <c r="AG51" s="124"/>
      <c r="AH51" s="116">
        <f t="shared" si="5"/>
        <v>1</v>
      </c>
      <c r="AI51" s="18" t="s">
        <v>161</v>
      </c>
      <c r="AJ51" s="124"/>
      <c r="AK51" s="124"/>
      <c r="AL51" s="124" t="s">
        <v>150</v>
      </c>
      <c r="AM51" s="124"/>
      <c r="AN51" s="124"/>
      <c r="AO51" s="124" t="s">
        <v>164</v>
      </c>
      <c r="AP51" s="124" t="s">
        <v>203</v>
      </c>
      <c r="AQ51" s="124" t="s">
        <v>250</v>
      </c>
      <c r="AR51" s="124" t="s">
        <v>150</v>
      </c>
      <c r="AS51" s="124"/>
      <c r="AT51" s="407" t="s">
        <v>328</v>
      </c>
      <c r="AU51" s="116" t="s">
        <v>835</v>
      </c>
      <c r="AV51" s="117"/>
      <c r="AW51" s="118">
        <v>41334</v>
      </c>
      <c r="AX51" s="118">
        <v>41579</v>
      </c>
      <c r="AY51" s="118" t="s">
        <v>150</v>
      </c>
      <c r="AZ51" s="118"/>
      <c r="BA51" s="118"/>
      <c r="BB51" s="118"/>
      <c r="BC51" s="118"/>
      <c r="BD51" s="118"/>
      <c r="BE51" s="119"/>
      <c r="BF51" s="118">
        <v>42217</v>
      </c>
      <c r="BG51" s="118" t="s">
        <v>150</v>
      </c>
      <c r="BH51" s="118">
        <v>42794</v>
      </c>
      <c r="BI51" s="118" t="s">
        <v>163</v>
      </c>
      <c r="BJ51" s="117"/>
      <c r="BK51" s="117"/>
      <c r="BL51" s="117"/>
      <c r="BM51" s="120">
        <v>42978</v>
      </c>
      <c r="BN51" s="116" t="s">
        <v>16</v>
      </c>
      <c r="BO51" s="224">
        <f t="shared" si="11"/>
        <v>54</v>
      </c>
      <c r="BP51" s="116">
        <f t="shared" si="10"/>
        <v>46</v>
      </c>
      <c r="BQ51" s="116"/>
      <c r="BR51" s="116">
        <v>0</v>
      </c>
      <c r="BS51" s="116">
        <v>3</v>
      </c>
      <c r="BT51" s="116">
        <v>4</v>
      </c>
      <c r="BU51" s="116">
        <v>2</v>
      </c>
      <c r="BV51" s="116">
        <v>0</v>
      </c>
      <c r="BW51" s="116">
        <v>0</v>
      </c>
      <c r="BX51" s="116">
        <v>0</v>
      </c>
      <c r="BY51" s="116" t="s">
        <v>163</v>
      </c>
      <c r="BZ51" s="116">
        <v>0</v>
      </c>
      <c r="CA51" s="116"/>
      <c r="CB51" s="122"/>
      <c r="CC51" s="122"/>
      <c r="CD51" s="116"/>
      <c r="CE51" s="116" t="s">
        <v>163</v>
      </c>
      <c r="CF51" s="116"/>
      <c r="CG51" s="116"/>
      <c r="CH51" s="372"/>
      <c r="CI51" s="116">
        <v>1</v>
      </c>
      <c r="CJ51" s="116"/>
      <c r="CK51" s="116" t="s">
        <v>568</v>
      </c>
    </row>
    <row r="52" spans="1:102" ht="24.95" customHeight="1">
      <c r="A52" s="116">
        <v>54</v>
      </c>
      <c r="B52" s="116" t="s">
        <v>836</v>
      </c>
      <c r="C52" s="116" t="s">
        <v>837</v>
      </c>
      <c r="D52" s="116" t="s">
        <v>838</v>
      </c>
      <c r="E52" s="116" t="s">
        <v>839</v>
      </c>
      <c r="F52" s="116" t="s">
        <v>25</v>
      </c>
      <c r="G52" s="116">
        <v>3</v>
      </c>
      <c r="H52" s="116" t="s">
        <v>53</v>
      </c>
      <c r="I52" s="116" t="s">
        <v>46</v>
      </c>
      <c r="J52" s="116" t="s">
        <v>799</v>
      </c>
      <c r="K52" s="116" t="s">
        <v>840</v>
      </c>
      <c r="L52" s="116" t="s">
        <v>44</v>
      </c>
      <c r="M52" s="116" t="s">
        <v>150</v>
      </c>
      <c r="N52" s="223"/>
      <c r="O52" s="228"/>
      <c r="P52" s="22" t="s">
        <v>151</v>
      </c>
      <c r="Q52" s="116"/>
      <c r="R52" s="388" t="s">
        <v>841</v>
      </c>
      <c r="S52" s="116" t="s">
        <v>842</v>
      </c>
      <c r="T52" s="342" t="s">
        <v>843</v>
      </c>
      <c r="U52" s="117" t="s">
        <v>844</v>
      </c>
      <c r="V52" s="117">
        <v>29697</v>
      </c>
      <c r="W52" s="121" t="s">
        <v>845</v>
      </c>
      <c r="X52" s="121" t="s">
        <v>179</v>
      </c>
      <c r="Y52" s="121" t="s">
        <v>157</v>
      </c>
      <c r="Z52" s="121" t="s">
        <v>158</v>
      </c>
      <c r="AA52" s="116">
        <v>10.5</v>
      </c>
      <c r="AB52" s="117">
        <v>40848</v>
      </c>
      <c r="AC52" s="283">
        <v>41334</v>
      </c>
      <c r="AD52" s="117"/>
      <c r="AE52" s="20" t="s">
        <v>509</v>
      </c>
      <c r="AF52" s="124"/>
      <c r="AG52" s="124"/>
      <c r="AH52" s="116">
        <f t="shared" si="5"/>
        <v>1</v>
      </c>
      <c r="AI52" s="18" t="s">
        <v>161</v>
      </c>
      <c r="AJ52" s="124"/>
      <c r="AK52" s="124"/>
      <c r="AL52" s="124" t="s">
        <v>150</v>
      </c>
      <c r="AM52" s="124"/>
      <c r="AN52" s="124"/>
      <c r="AO52" s="124" t="s">
        <v>164</v>
      </c>
      <c r="AP52" s="124" t="s">
        <v>846</v>
      </c>
      <c r="AQ52" s="124" t="s">
        <v>203</v>
      </c>
      <c r="AR52" s="124" t="s">
        <v>150</v>
      </c>
      <c r="AS52" s="124"/>
      <c r="AT52" s="407" t="s">
        <v>298</v>
      </c>
      <c r="AU52" s="116" t="s">
        <v>847</v>
      </c>
      <c r="AV52" s="117"/>
      <c r="AW52" s="118">
        <v>41334</v>
      </c>
      <c r="AX52" s="118">
        <v>41579</v>
      </c>
      <c r="AY52" s="118" t="s">
        <v>150</v>
      </c>
      <c r="AZ52" s="118"/>
      <c r="BA52" s="118"/>
      <c r="BB52" s="118"/>
      <c r="BC52" s="118"/>
      <c r="BD52" s="118"/>
      <c r="BE52" s="119"/>
      <c r="BF52" s="118">
        <v>42217</v>
      </c>
      <c r="BG52" s="118" t="s">
        <v>150</v>
      </c>
      <c r="BH52" s="118">
        <v>42428</v>
      </c>
      <c r="BI52" s="118" t="s">
        <v>150</v>
      </c>
      <c r="BJ52" s="117"/>
      <c r="BK52" s="117"/>
      <c r="BL52" s="117"/>
      <c r="BM52" s="120">
        <v>42173</v>
      </c>
      <c r="BN52" s="116" t="s">
        <v>16</v>
      </c>
      <c r="BO52" s="224">
        <f t="shared" si="11"/>
        <v>28</v>
      </c>
      <c r="BP52" s="116">
        <f t="shared" si="10"/>
        <v>20</v>
      </c>
      <c r="BQ52" s="116"/>
      <c r="BR52" s="116">
        <v>1</v>
      </c>
      <c r="BS52" s="116">
        <v>1</v>
      </c>
      <c r="BT52" s="116">
        <v>15</v>
      </c>
      <c r="BU52" s="116">
        <v>2</v>
      </c>
      <c r="BV52" s="116">
        <v>0</v>
      </c>
      <c r="BW52" s="116">
        <v>2</v>
      </c>
      <c r="BX52" s="116">
        <v>0</v>
      </c>
      <c r="BY52" s="116" t="s">
        <v>163</v>
      </c>
      <c r="BZ52" s="116">
        <v>0</v>
      </c>
      <c r="CA52" s="116"/>
      <c r="CB52" s="122"/>
      <c r="CC52" s="122"/>
      <c r="CD52" s="116"/>
      <c r="CE52" s="116" t="s">
        <v>163</v>
      </c>
      <c r="CF52" s="116"/>
      <c r="CG52" s="116"/>
      <c r="CH52" s="372" t="s">
        <v>168</v>
      </c>
      <c r="CI52" s="116" t="s">
        <v>168</v>
      </c>
      <c r="CJ52" s="116"/>
      <c r="CK52" s="116" t="s">
        <v>809</v>
      </c>
    </row>
    <row r="53" spans="1:102" ht="24.95" customHeight="1">
      <c r="A53" s="116">
        <v>55</v>
      </c>
      <c r="B53" s="116" t="s">
        <v>848</v>
      </c>
      <c r="C53" s="116" t="s">
        <v>849</v>
      </c>
      <c r="D53" s="116" t="s">
        <v>850</v>
      </c>
      <c r="E53" s="116" t="s">
        <v>851</v>
      </c>
      <c r="F53" s="116" t="s">
        <v>24</v>
      </c>
      <c r="G53" s="116">
        <v>3</v>
      </c>
      <c r="H53" s="116" t="s">
        <v>52</v>
      </c>
      <c r="I53" s="116" t="s">
        <v>37</v>
      </c>
      <c r="J53" s="116" t="s">
        <v>852</v>
      </c>
      <c r="K53" s="116" t="s">
        <v>853</v>
      </c>
      <c r="L53" s="116" t="s">
        <v>37</v>
      </c>
      <c r="M53" s="116" t="s">
        <v>150</v>
      </c>
      <c r="N53" s="116" t="s">
        <v>854</v>
      </c>
      <c r="O53" s="225" t="s">
        <v>151</v>
      </c>
      <c r="P53" s="226" t="s">
        <v>855</v>
      </c>
      <c r="Q53" s="116"/>
      <c r="R53" s="116" t="s">
        <v>856</v>
      </c>
      <c r="S53" s="116" t="s">
        <v>857</v>
      </c>
      <c r="T53" s="342" t="s">
        <v>858</v>
      </c>
      <c r="U53" s="117" t="s">
        <v>859</v>
      </c>
      <c r="V53" s="117">
        <v>26750</v>
      </c>
      <c r="W53" s="121" t="s">
        <v>860</v>
      </c>
      <c r="X53" s="121" t="s">
        <v>179</v>
      </c>
      <c r="Y53" s="121" t="s">
        <v>163</v>
      </c>
      <c r="Z53" s="121" t="s">
        <v>158</v>
      </c>
      <c r="AA53" s="116">
        <v>15</v>
      </c>
      <c r="AB53" s="117">
        <v>41153</v>
      </c>
      <c r="AC53" s="283">
        <v>41334</v>
      </c>
      <c r="AD53" s="117"/>
      <c r="AE53" s="21" t="s">
        <v>861</v>
      </c>
      <c r="AF53" s="23" t="s">
        <v>862</v>
      </c>
      <c r="AG53" s="116"/>
      <c r="AH53" s="116">
        <f t="shared" si="5"/>
        <v>2</v>
      </c>
      <c r="AI53" s="18" t="s">
        <v>161</v>
      </c>
      <c r="AJ53" s="18" t="s">
        <v>161</v>
      </c>
      <c r="AK53" s="116"/>
      <c r="AL53" s="116" t="s">
        <v>150</v>
      </c>
      <c r="AM53" s="116" t="s">
        <v>150</v>
      </c>
      <c r="AN53" s="116"/>
      <c r="AO53" s="116" t="s">
        <v>164</v>
      </c>
      <c r="AP53" s="116" t="s">
        <v>203</v>
      </c>
      <c r="AQ53" s="116"/>
      <c r="AR53" s="116"/>
      <c r="AS53" s="116"/>
      <c r="AT53" s="17" t="s">
        <v>204</v>
      </c>
      <c r="AU53" s="116" t="s">
        <v>863</v>
      </c>
      <c r="AV53" s="117"/>
      <c r="AW53" s="118">
        <v>41334</v>
      </c>
      <c r="AX53" s="118">
        <v>41579</v>
      </c>
      <c r="AY53" s="118" t="s">
        <v>150</v>
      </c>
      <c r="AZ53" s="118"/>
      <c r="BA53" s="118"/>
      <c r="BB53" s="118"/>
      <c r="BC53" s="118"/>
      <c r="BD53" s="118"/>
      <c r="BE53" s="119"/>
      <c r="BF53" s="118">
        <v>42585</v>
      </c>
      <c r="BG53" s="118" t="s">
        <v>163</v>
      </c>
      <c r="BH53" s="118">
        <v>42793</v>
      </c>
      <c r="BI53" s="118" t="s">
        <v>163</v>
      </c>
      <c r="BJ53" s="117"/>
      <c r="BK53" s="117"/>
      <c r="BL53" s="117"/>
      <c r="BM53" s="120"/>
      <c r="BN53" s="125" t="s">
        <v>17</v>
      </c>
      <c r="BO53" s="224"/>
      <c r="BP53" s="116"/>
      <c r="BQ53" s="116"/>
      <c r="BR53" s="116">
        <v>0</v>
      </c>
      <c r="BS53" s="116">
        <v>7</v>
      </c>
      <c r="BT53" s="116">
        <v>0</v>
      </c>
      <c r="BU53" s="116">
        <v>0</v>
      </c>
      <c r="BV53" s="116">
        <v>0</v>
      </c>
      <c r="BW53" s="116">
        <v>0</v>
      </c>
      <c r="BX53" s="116">
        <v>0</v>
      </c>
      <c r="BY53" s="116" t="s">
        <v>163</v>
      </c>
      <c r="BZ53" s="116">
        <v>0</v>
      </c>
      <c r="CA53" s="116"/>
      <c r="CB53" s="122"/>
      <c r="CC53" s="122"/>
      <c r="CD53" s="116"/>
      <c r="CE53" s="116" t="s">
        <v>163</v>
      </c>
      <c r="CF53" s="116"/>
      <c r="CG53" s="116"/>
      <c r="CH53" s="372">
        <v>3</v>
      </c>
      <c r="CI53" s="116" t="s">
        <v>168</v>
      </c>
      <c r="CJ53" s="116"/>
      <c r="CK53" s="116" t="s">
        <v>809</v>
      </c>
    </row>
    <row r="54" spans="1:102" ht="24.95" customHeight="1">
      <c r="A54" s="116">
        <v>56</v>
      </c>
      <c r="B54" s="116" t="s">
        <v>864</v>
      </c>
      <c r="C54" s="116" t="s">
        <v>865</v>
      </c>
      <c r="D54" s="116" t="s">
        <v>866</v>
      </c>
      <c r="E54" s="116" t="s">
        <v>867</v>
      </c>
      <c r="F54" s="116" t="s">
        <v>24</v>
      </c>
      <c r="G54" s="116">
        <v>3</v>
      </c>
      <c r="H54" s="116" t="s">
        <v>58</v>
      </c>
      <c r="I54" s="116" t="s">
        <v>45</v>
      </c>
      <c r="J54" s="116" t="s">
        <v>602</v>
      </c>
      <c r="K54" s="116" t="s">
        <v>868</v>
      </c>
      <c r="L54" s="116" t="s">
        <v>45</v>
      </c>
      <c r="M54" s="116" t="s">
        <v>150</v>
      </c>
      <c r="N54" s="223">
        <v>705854</v>
      </c>
      <c r="O54" s="228"/>
      <c r="P54" s="22" t="s">
        <v>151</v>
      </c>
      <c r="Q54" s="116"/>
      <c r="R54" s="116" t="s">
        <v>869</v>
      </c>
      <c r="S54" s="126" t="s">
        <v>870</v>
      </c>
      <c r="T54" s="343">
        <v>113585404</v>
      </c>
      <c r="U54" s="117" t="s">
        <v>871</v>
      </c>
      <c r="V54" s="117">
        <v>29258</v>
      </c>
      <c r="W54" s="121" t="s">
        <v>872</v>
      </c>
      <c r="X54" s="121" t="s">
        <v>179</v>
      </c>
      <c r="Y54" s="121" t="s">
        <v>163</v>
      </c>
      <c r="Z54" s="121" t="s">
        <v>158</v>
      </c>
      <c r="AA54" s="116">
        <v>8.5</v>
      </c>
      <c r="AB54" s="117">
        <v>41548</v>
      </c>
      <c r="AC54" s="283">
        <v>41334</v>
      </c>
      <c r="AD54" s="117"/>
      <c r="AE54" s="20" t="s">
        <v>873</v>
      </c>
      <c r="AF54" s="124"/>
      <c r="AG54" s="124"/>
      <c r="AH54" s="116">
        <f t="shared" si="5"/>
        <v>1</v>
      </c>
      <c r="AI54" s="20" t="s">
        <v>282</v>
      </c>
      <c r="AJ54" s="124"/>
      <c r="AK54" s="124"/>
      <c r="AL54" s="124" t="s">
        <v>163</v>
      </c>
      <c r="AM54" s="124"/>
      <c r="AN54" s="124"/>
      <c r="AO54" s="124" t="s">
        <v>202</v>
      </c>
      <c r="AP54" s="124" t="s">
        <v>874</v>
      </c>
      <c r="AQ54" s="124" t="s">
        <v>875</v>
      </c>
      <c r="AR54" s="124" t="s">
        <v>150</v>
      </c>
      <c r="AS54" s="124"/>
      <c r="AT54" s="407" t="s">
        <v>876</v>
      </c>
      <c r="AU54" s="116" t="s">
        <v>877</v>
      </c>
      <c r="AV54" s="117"/>
      <c r="AW54" s="118">
        <v>41334</v>
      </c>
      <c r="AX54" s="118">
        <v>41579</v>
      </c>
      <c r="AY54" s="118" t="s">
        <v>150</v>
      </c>
      <c r="AZ54" s="118"/>
      <c r="BA54" s="118"/>
      <c r="BB54" s="118"/>
      <c r="BC54" s="118"/>
      <c r="BD54" s="118"/>
      <c r="BE54" s="119" t="s">
        <v>878</v>
      </c>
      <c r="BF54" s="118">
        <v>42217</v>
      </c>
      <c r="BG54" s="118" t="s">
        <v>150</v>
      </c>
      <c r="BH54" s="118">
        <v>42428</v>
      </c>
      <c r="BI54" s="118" t="s">
        <v>150</v>
      </c>
      <c r="BJ54" s="117"/>
      <c r="BK54" s="117"/>
      <c r="BL54" s="117"/>
      <c r="BM54" s="120">
        <v>43291</v>
      </c>
      <c r="BN54" s="116" t="s">
        <v>16</v>
      </c>
      <c r="BO54" s="224">
        <f>DATEDIF(AW54,BM54, "M")+1</f>
        <v>65</v>
      </c>
      <c r="BP54" s="116">
        <f>DATEDIF(AX54,BM54, "M")+1</f>
        <v>57</v>
      </c>
      <c r="BQ54" s="121" t="s">
        <v>878</v>
      </c>
      <c r="BR54" s="116">
        <v>0</v>
      </c>
      <c r="BS54" s="116">
        <v>5</v>
      </c>
      <c r="BT54" s="116">
        <v>31</v>
      </c>
      <c r="BU54" s="116">
        <v>1</v>
      </c>
      <c r="BV54" s="116">
        <v>0</v>
      </c>
      <c r="BW54" s="116">
        <v>0</v>
      </c>
      <c r="BX54" s="116">
        <v>0</v>
      </c>
      <c r="BY54" s="116" t="s">
        <v>163</v>
      </c>
      <c r="BZ54" s="116">
        <v>0</v>
      </c>
      <c r="CA54" s="116"/>
      <c r="CB54" s="122"/>
      <c r="CC54" s="122"/>
      <c r="CD54" s="116"/>
      <c r="CE54" s="116" t="s">
        <v>163</v>
      </c>
      <c r="CF54" s="116"/>
      <c r="CG54" s="116"/>
      <c r="CH54" s="372">
        <v>1</v>
      </c>
      <c r="CI54" s="116">
        <v>2</v>
      </c>
      <c r="CJ54" s="116"/>
      <c r="CK54" s="116" t="s">
        <v>500</v>
      </c>
    </row>
    <row r="55" spans="1:102" ht="24.95" customHeight="1">
      <c r="A55" s="116">
        <v>57</v>
      </c>
      <c r="B55" s="116" t="s">
        <v>879</v>
      </c>
      <c r="C55" s="116" t="s">
        <v>825</v>
      </c>
      <c r="D55" s="116"/>
      <c r="E55" s="116" t="s">
        <v>880</v>
      </c>
      <c r="F55" s="116" t="s">
        <v>25</v>
      </c>
      <c r="G55" s="116">
        <v>3</v>
      </c>
      <c r="H55" s="116" t="s">
        <v>55</v>
      </c>
      <c r="I55" s="116" t="s">
        <v>43</v>
      </c>
      <c r="J55" s="116" t="s">
        <v>362</v>
      </c>
      <c r="K55" s="116"/>
      <c r="L55" s="116" t="s">
        <v>37</v>
      </c>
      <c r="M55" s="116" t="s">
        <v>163</v>
      </c>
      <c r="N55" s="116" t="s">
        <v>881</v>
      </c>
      <c r="O55" s="225" t="s">
        <v>151</v>
      </c>
      <c r="P55" s="226" t="s">
        <v>151</v>
      </c>
      <c r="Q55" s="116"/>
      <c r="R55" s="116" t="s">
        <v>882</v>
      </c>
      <c r="S55" s="121" t="s">
        <v>883</v>
      </c>
      <c r="T55" s="342" t="s">
        <v>884</v>
      </c>
      <c r="U55" s="117" t="s">
        <v>885</v>
      </c>
      <c r="V55" s="117">
        <v>27997</v>
      </c>
      <c r="W55" s="121" t="s">
        <v>886</v>
      </c>
      <c r="X55" s="121" t="s">
        <v>179</v>
      </c>
      <c r="Y55" s="121" t="s">
        <v>163</v>
      </c>
      <c r="Z55" s="121" t="s">
        <v>158</v>
      </c>
      <c r="AA55" s="116">
        <v>17.5</v>
      </c>
      <c r="AB55" s="117">
        <v>41360</v>
      </c>
      <c r="AC55" s="283">
        <v>41334</v>
      </c>
      <c r="AD55" s="117"/>
      <c r="AE55" s="116" t="s">
        <v>887</v>
      </c>
      <c r="AF55" s="116" t="s">
        <v>888</v>
      </c>
      <c r="AG55" s="116"/>
      <c r="AH55" s="116">
        <f t="shared" si="5"/>
        <v>2</v>
      </c>
      <c r="AI55" s="121" t="s">
        <v>162</v>
      </c>
      <c r="AJ55" s="116"/>
      <c r="AK55" s="116"/>
      <c r="AL55" s="116" t="s">
        <v>150</v>
      </c>
      <c r="AM55" s="116"/>
      <c r="AN55" s="116"/>
      <c r="AO55" s="116" t="s">
        <v>164</v>
      </c>
      <c r="AP55" s="116" t="s">
        <v>181</v>
      </c>
      <c r="AQ55" s="116" t="s">
        <v>181</v>
      </c>
      <c r="AR55" s="116" t="s">
        <v>163</v>
      </c>
      <c r="AS55" s="116"/>
      <c r="AT55" s="17" t="s">
        <v>219</v>
      </c>
      <c r="AU55" s="116"/>
      <c r="AV55" s="117"/>
      <c r="AW55" s="118">
        <v>41334</v>
      </c>
      <c r="AX55" s="118">
        <v>41579</v>
      </c>
      <c r="AY55" s="118" t="s">
        <v>150</v>
      </c>
      <c r="AZ55" s="118">
        <v>42860</v>
      </c>
      <c r="BA55" s="118">
        <v>42860</v>
      </c>
      <c r="BB55" s="118"/>
      <c r="BC55" s="118"/>
      <c r="BD55" s="118"/>
      <c r="BE55" s="119" t="s">
        <v>889</v>
      </c>
      <c r="BF55" s="118">
        <v>42948</v>
      </c>
      <c r="BG55" s="118" t="s">
        <v>163</v>
      </c>
      <c r="BH55" s="118">
        <v>43164</v>
      </c>
      <c r="BI55" s="118" t="s">
        <v>163</v>
      </c>
      <c r="BJ55" s="117"/>
      <c r="BK55" s="117"/>
      <c r="BL55" s="117"/>
      <c r="BM55" s="120"/>
      <c r="BN55" s="125" t="s">
        <v>17</v>
      </c>
      <c r="BO55" s="224"/>
      <c r="BP55" s="116"/>
      <c r="BQ55" s="116"/>
      <c r="BR55" s="116">
        <v>0</v>
      </c>
      <c r="BS55" s="116">
        <v>0</v>
      </c>
      <c r="BT55" s="116">
        <v>0</v>
      </c>
      <c r="BU55" s="116">
        <v>0</v>
      </c>
      <c r="BV55" s="116">
        <v>0</v>
      </c>
      <c r="BW55" s="116">
        <v>0</v>
      </c>
      <c r="BX55" s="116">
        <v>0</v>
      </c>
      <c r="BY55" s="116" t="s">
        <v>163</v>
      </c>
      <c r="BZ55" s="116">
        <v>0</v>
      </c>
      <c r="CA55" s="116"/>
      <c r="CB55" s="122"/>
      <c r="CC55" s="122"/>
      <c r="CD55" s="116"/>
      <c r="CE55" s="116" t="s">
        <v>163</v>
      </c>
      <c r="CF55" s="116"/>
      <c r="CG55" s="116"/>
      <c r="CH55" s="372">
        <v>4</v>
      </c>
      <c r="CI55" s="116">
        <v>5</v>
      </c>
      <c r="CJ55" s="116"/>
      <c r="CK55" s="116" t="s">
        <v>500</v>
      </c>
    </row>
    <row r="56" spans="1:102" ht="24.95" customHeight="1">
      <c r="A56" s="116">
        <v>58</v>
      </c>
      <c r="B56" s="116" t="s">
        <v>890</v>
      </c>
      <c r="C56" s="116" t="s">
        <v>891</v>
      </c>
      <c r="D56" s="116" t="s">
        <v>892</v>
      </c>
      <c r="E56" s="116" t="s">
        <v>893</v>
      </c>
      <c r="F56" s="116" t="s">
        <v>25</v>
      </c>
      <c r="G56" s="116">
        <v>3</v>
      </c>
      <c r="H56" s="116" t="s">
        <v>52</v>
      </c>
      <c r="I56" s="116" t="s">
        <v>37</v>
      </c>
      <c r="J56" s="116" t="s">
        <v>894</v>
      </c>
      <c r="K56" s="116" t="s">
        <v>530</v>
      </c>
      <c r="L56" s="116" t="s">
        <v>37</v>
      </c>
      <c r="M56" s="116" t="s">
        <v>150</v>
      </c>
      <c r="N56" s="223" t="s">
        <v>895</v>
      </c>
      <c r="O56" s="228" t="s">
        <v>151</v>
      </c>
      <c r="P56" s="22" t="s">
        <v>151</v>
      </c>
      <c r="Q56" s="116" t="s">
        <v>151</v>
      </c>
      <c r="R56" s="116" t="s">
        <v>896</v>
      </c>
      <c r="S56" s="121" t="s">
        <v>897</v>
      </c>
      <c r="T56" s="343" t="s">
        <v>898</v>
      </c>
      <c r="U56" s="229" t="s">
        <v>899</v>
      </c>
      <c r="V56" s="229">
        <v>26787</v>
      </c>
      <c r="W56" s="121" t="s">
        <v>900</v>
      </c>
      <c r="X56" s="121" t="s">
        <v>179</v>
      </c>
      <c r="Y56" s="121" t="s">
        <v>163</v>
      </c>
      <c r="Z56" s="121" t="s">
        <v>158</v>
      </c>
      <c r="AA56" s="116">
        <v>22.5</v>
      </c>
      <c r="AB56" s="117">
        <v>41130</v>
      </c>
      <c r="AC56" s="283">
        <v>41334</v>
      </c>
      <c r="AD56" s="117"/>
      <c r="AE56" s="20" t="s">
        <v>901</v>
      </c>
      <c r="AF56" s="20" t="s">
        <v>902</v>
      </c>
      <c r="AG56" s="127"/>
      <c r="AH56" s="116">
        <f t="shared" si="5"/>
        <v>2</v>
      </c>
      <c r="AI56" s="20" t="s">
        <v>161</v>
      </c>
      <c r="AJ56" s="127"/>
      <c r="AK56" s="127"/>
      <c r="AL56" s="127" t="s">
        <v>150</v>
      </c>
      <c r="AM56" s="127"/>
      <c r="AN56" s="127"/>
      <c r="AO56" s="127" t="s">
        <v>164</v>
      </c>
      <c r="AP56" s="127" t="s">
        <v>181</v>
      </c>
      <c r="AQ56" s="230" t="s">
        <v>250</v>
      </c>
      <c r="AR56" s="127" t="s">
        <v>150</v>
      </c>
      <c r="AS56" s="127"/>
      <c r="AT56" s="408" t="s">
        <v>204</v>
      </c>
      <c r="AU56" s="116" t="s">
        <v>903</v>
      </c>
      <c r="AV56" s="117"/>
      <c r="AW56" s="118">
        <v>41334</v>
      </c>
      <c r="AX56" s="118">
        <v>41579</v>
      </c>
      <c r="AY56" s="118" t="s">
        <v>150</v>
      </c>
      <c r="AZ56" s="118">
        <v>41802</v>
      </c>
      <c r="BA56" s="118"/>
      <c r="BB56" s="118">
        <v>41960</v>
      </c>
      <c r="BC56" s="118"/>
      <c r="BD56" s="118"/>
      <c r="BE56" s="119" t="s">
        <v>904</v>
      </c>
      <c r="BF56" s="118">
        <v>42217</v>
      </c>
      <c r="BG56" s="118" t="s">
        <v>150</v>
      </c>
      <c r="BH56" s="118">
        <v>42428</v>
      </c>
      <c r="BI56" s="118" t="s">
        <v>150</v>
      </c>
      <c r="BJ56" s="117">
        <v>42522</v>
      </c>
      <c r="BK56" s="117">
        <v>42660</v>
      </c>
      <c r="BL56" s="117">
        <v>42678</v>
      </c>
      <c r="BM56" s="120">
        <v>42678</v>
      </c>
      <c r="BN56" s="116" t="s">
        <v>16</v>
      </c>
      <c r="BO56" s="224">
        <f t="shared" ref="BO56:BO60" si="12">DATEDIF(AW56,BM56, "M")+1</f>
        <v>45</v>
      </c>
      <c r="BP56" s="116">
        <f t="shared" ref="BP56:BP60" si="13">DATEDIF(AX56,BM56, "M")+1</f>
        <v>37</v>
      </c>
      <c r="BQ56" s="121" t="s">
        <v>904</v>
      </c>
      <c r="BR56" s="116">
        <v>0</v>
      </c>
      <c r="BS56" s="116">
        <v>1</v>
      </c>
      <c r="BT56" s="116">
        <v>4</v>
      </c>
      <c r="BU56" s="116">
        <v>0</v>
      </c>
      <c r="BV56" s="116">
        <v>0</v>
      </c>
      <c r="BW56" s="116">
        <v>2</v>
      </c>
      <c r="BX56" s="116">
        <v>0</v>
      </c>
      <c r="BY56" s="116" t="s">
        <v>163</v>
      </c>
      <c r="BZ56" s="116">
        <v>0</v>
      </c>
      <c r="CA56" s="116"/>
      <c r="CB56" s="122"/>
      <c r="CC56" s="122"/>
      <c r="CD56" s="116"/>
      <c r="CE56" s="116" t="s">
        <v>163</v>
      </c>
      <c r="CF56" s="116"/>
      <c r="CG56" s="116"/>
      <c r="CH56" s="372">
        <v>3</v>
      </c>
      <c r="CI56" s="116">
        <v>3</v>
      </c>
      <c r="CJ56" s="116"/>
      <c r="CK56" s="116" t="s">
        <v>538</v>
      </c>
    </row>
    <row r="57" spans="1:102" ht="24.95" customHeight="1">
      <c r="A57" s="116">
        <v>59</v>
      </c>
      <c r="B57" s="116" t="s">
        <v>905</v>
      </c>
      <c r="C57" s="116" t="s">
        <v>906</v>
      </c>
      <c r="D57" s="116" t="s">
        <v>907</v>
      </c>
      <c r="E57" s="116" t="s">
        <v>908</v>
      </c>
      <c r="F57" s="116" t="s">
        <v>25</v>
      </c>
      <c r="G57" s="116">
        <v>3</v>
      </c>
      <c r="H57" s="116" t="s">
        <v>54</v>
      </c>
      <c r="I57" s="116" t="s">
        <v>39</v>
      </c>
      <c r="J57" s="116" t="s">
        <v>477</v>
      </c>
      <c r="K57" s="116"/>
      <c r="L57" s="116" t="s">
        <v>39</v>
      </c>
      <c r="M57" s="116" t="s">
        <v>150</v>
      </c>
      <c r="N57" s="223"/>
      <c r="O57" s="228" t="s">
        <v>151</v>
      </c>
      <c r="P57" s="22" t="s">
        <v>151</v>
      </c>
      <c r="Q57" s="116" t="s">
        <v>151</v>
      </c>
      <c r="R57" s="388" t="s">
        <v>909</v>
      </c>
      <c r="S57" s="116" t="s">
        <v>910</v>
      </c>
      <c r="T57" s="342" t="s">
        <v>911</v>
      </c>
      <c r="U57" s="117" t="s">
        <v>912</v>
      </c>
      <c r="V57" s="117">
        <v>26608</v>
      </c>
      <c r="W57" s="121" t="s">
        <v>913</v>
      </c>
      <c r="X57" s="121" t="s">
        <v>179</v>
      </c>
      <c r="Y57" s="121" t="s">
        <v>163</v>
      </c>
      <c r="Z57" s="121" t="s">
        <v>158</v>
      </c>
      <c r="AA57" s="116">
        <v>20</v>
      </c>
      <c r="AB57" s="117">
        <v>41178</v>
      </c>
      <c r="AC57" s="283">
        <v>41334</v>
      </c>
      <c r="AD57" s="117"/>
      <c r="AE57" s="20" t="s">
        <v>914</v>
      </c>
      <c r="AF57" s="124"/>
      <c r="AG57" s="124"/>
      <c r="AH57" s="116">
        <f t="shared" si="5"/>
        <v>1</v>
      </c>
      <c r="AI57" s="20" t="s">
        <v>161</v>
      </c>
      <c r="AJ57" s="124"/>
      <c r="AK57" s="124"/>
      <c r="AL57" s="124" t="s">
        <v>150</v>
      </c>
      <c r="AM57" s="124"/>
      <c r="AN57" s="124"/>
      <c r="AO57" s="124" t="s">
        <v>164</v>
      </c>
      <c r="AP57" s="124" t="s">
        <v>445</v>
      </c>
      <c r="AQ57" s="124" t="s">
        <v>250</v>
      </c>
      <c r="AR57" s="124" t="s">
        <v>150</v>
      </c>
      <c r="AS57" s="230" t="s">
        <v>915</v>
      </c>
      <c r="AT57" s="407" t="s">
        <v>285</v>
      </c>
      <c r="AU57" s="116" t="s">
        <v>916</v>
      </c>
      <c r="AV57" s="117"/>
      <c r="AW57" s="118">
        <v>41334</v>
      </c>
      <c r="AX57" s="118">
        <v>41579</v>
      </c>
      <c r="AY57" s="118" t="s">
        <v>150</v>
      </c>
      <c r="AZ57" s="118">
        <v>41506</v>
      </c>
      <c r="BA57" s="116"/>
      <c r="BB57" s="118">
        <v>43403</v>
      </c>
      <c r="BC57" s="118"/>
      <c r="BD57" s="118"/>
      <c r="BE57" s="119" t="s">
        <v>917</v>
      </c>
      <c r="BF57" s="118">
        <v>42217</v>
      </c>
      <c r="BG57" s="118" t="s">
        <v>150</v>
      </c>
      <c r="BH57" s="118">
        <v>42428</v>
      </c>
      <c r="BI57" s="118" t="s">
        <v>150</v>
      </c>
      <c r="BJ57" s="117">
        <v>42205</v>
      </c>
      <c r="BK57" s="117">
        <v>42231</v>
      </c>
      <c r="BL57" s="117">
        <v>42258</v>
      </c>
      <c r="BM57" s="120">
        <v>42350</v>
      </c>
      <c r="BN57" s="116" t="s">
        <v>16</v>
      </c>
      <c r="BO57" s="224">
        <f t="shared" si="12"/>
        <v>34</v>
      </c>
      <c r="BP57" s="116">
        <f t="shared" si="13"/>
        <v>26</v>
      </c>
      <c r="BQ57" s="121" t="s">
        <v>917</v>
      </c>
      <c r="BR57" s="116">
        <v>3</v>
      </c>
      <c r="BS57" s="116">
        <v>1</v>
      </c>
      <c r="BT57" s="116">
        <v>13</v>
      </c>
      <c r="BU57" s="116">
        <v>2</v>
      </c>
      <c r="BV57" s="116">
        <v>0</v>
      </c>
      <c r="BW57" s="116">
        <v>3</v>
      </c>
      <c r="BX57" s="116">
        <v>0</v>
      </c>
      <c r="BY57" s="116" t="s">
        <v>163</v>
      </c>
      <c r="BZ57" s="116">
        <v>0</v>
      </c>
      <c r="CA57" s="116"/>
      <c r="CB57" s="122"/>
      <c r="CC57" s="122"/>
      <c r="CD57" s="116"/>
      <c r="CE57" s="116" t="s">
        <v>163</v>
      </c>
      <c r="CF57" s="116"/>
      <c r="CG57" s="116"/>
      <c r="CH57" s="372">
        <v>2</v>
      </c>
      <c r="CI57" s="116">
        <v>3</v>
      </c>
      <c r="CJ57" s="116"/>
      <c r="CK57" s="116" t="s">
        <v>538</v>
      </c>
    </row>
    <row r="58" spans="1:102" ht="24.95" customHeight="1">
      <c r="A58" s="116">
        <v>60</v>
      </c>
      <c r="B58" s="116" t="s">
        <v>918</v>
      </c>
      <c r="C58" s="116" t="s">
        <v>919</v>
      </c>
      <c r="D58" s="116" t="s">
        <v>920</v>
      </c>
      <c r="E58" s="116" t="s">
        <v>921</v>
      </c>
      <c r="F58" s="116" t="s">
        <v>24</v>
      </c>
      <c r="G58" s="116">
        <v>3</v>
      </c>
      <c r="H58" s="116" t="s">
        <v>52</v>
      </c>
      <c r="I58" s="116" t="s">
        <v>37</v>
      </c>
      <c r="J58" s="116" t="s">
        <v>477</v>
      </c>
      <c r="K58" s="116" t="s">
        <v>922</v>
      </c>
      <c r="L58" s="116" t="s">
        <v>42</v>
      </c>
      <c r="M58" s="116" t="s">
        <v>163</v>
      </c>
      <c r="N58" s="223" t="s">
        <v>923</v>
      </c>
      <c r="O58" s="228" t="s">
        <v>151</v>
      </c>
      <c r="P58" s="22" t="s">
        <v>151</v>
      </c>
      <c r="Q58" s="116" t="s">
        <v>151</v>
      </c>
      <c r="R58" s="388" t="s">
        <v>924</v>
      </c>
      <c r="S58" s="116" t="s">
        <v>925</v>
      </c>
      <c r="T58" s="342" t="s">
        <v>926</v>
      </c>
      <c r="U58" s="117" t="s">
        <v>927</v>
      </c>
      <c r="V58" s="117">
        <v>28293</v>
      </c>
      <c r="W58" s="121" t="s">
        <v>928</v>
      </c>
      <c r="X58" s="121" t="s">
        <v>179</v>
      </c>
      <c r="Y58" s="121" t="s">
        <v>163</v>
      </c>
      <c r="Z58" s="121" t="s">
        <v>158</v>
      </c>
      <c r="AA58" s="116">
        <v>3.5</v>
      </c>
      <c r="AB58" s="117">
        <v>41432</v>
      </c>
      <c r="AC58" s="283">
        <v>41334</v>
      </c>
      <c r="AD58" s="117"/>
      <c r="AE58" s="20" t="s">
        <v>929</v>
      </c>
      <c r="AF58" s="124"/>
      <c r="AG58" s="124"/>
      <c r="AH58" s="116">
        <f t="shared" si="5"/>
        <v>1</v>
      </c>
      <c r="AI58" s="20" t="s">
        <v>161</v>
      </c>
      <c r="AJ58" s="124"/>
      <c r="AK58" s="124"/>
      <c r="AL58" s="124" t="s">
        <v>150</v>
      </c>
      <c r="AM58" s="124"/>
      <c r="AN58" s="124"/>
      <c r="AO58" s="124" t="s">
        <v>164</v>
      </c>
      <c r="AP58" s="124" t="s">
        <v>181</v>
      </c>
      <c r="AQ58" s="124" t="s">
        <v>203</v>
      </c>
      <c r="AR58" s="124" t="s">
        <v>150</v>
      </c>
      <c r="AS58" s="230" t="s">
        <v>930</v>
      </c>
      <c r="AT58" s="407" t="s">
        <v>204</v>
      </c>
      <c r="AU58" s="116" t="s">
        <v>931</v>
      </c>
      <c r="AV58" s="117"/>
      <c r="AW58" s="118">
        <v>41334</v>
      </c>
      <c r="AX58" s="118">
        <v>41579</v>
      </c>
      <c r="AY58" s="118" t="s">
        <v>150</v>
      </c>
      <c r="AZ58" s="118"/>
      <c r="BA58" s="118"/>
      <c r="BB58" s="118"/>
      <c r="BC58" s="118"/>
      <c r="BD58" s="118"/>
      <c r="BE58" s="119"/>
      <c r="BF58" s="118">
        <v>42217</v>
      </c>
      <c r="BG58" s="118" t="s">
        <v>150</v>
      </c>
      <c r="BH58" s="118">
        <v>42428</v>
      </c>
      <c r="BI58" s="118" t="s">
        <v>150</v>
      </c>
      <c r="BJ58" s="117"/>
      <c r="BK58" s="117"/>
      <c r="BL58" s="117"/>
      <c r="BM58" s="120">
        <v>42855</v>
      </c>
      <c r="BN58" s="116" t="s">
        <v>16</v>
      </c>
      <c r="BO58" s="224">
        <f t="shared" si="12"/>
        <v>50</v>
      </c>
      <c r="BP58" s="116">
        <f t="shared" si="13"/>
        <v>42</v>
      </c>
      <c r="BQ58" s="116"/>
      <c r="BR58" s="116">
        <v>3</v>
      </c>
      <c r="BS58" s="116">
        <v>3</v>
      </c>
      <c r="BT58" s="116">
        <v>10</v>
      </c>
      <c r="BU58" s="116">
        <v>4</v>
      </c>
      <c r="BV58" s="116">
        <v>1</v>
      </c>
      <c r="BW58" s="116">
        <v>0</v>
      </c>
      <c r="BX58" s="116">
        <v>0</v>
      </c>
      <c r="BY58" s="116" t="s">
        <v>163</v>
      </c>
      <c r="BZ58" s="116">
        <v>0</v>
      </c>
      <c r="CA58" s="116"/>
      <c r="CB58" s="122"/>
      <c r="CC58" s="122"/>
      <c r="CD58" s="116"/>
      <c r="CE58" s="116" t="s">
        <v>163</v>
      </c>
      <c r="CF58" s="116"/>
      <c r="CG58" s="116"/>
      <c r="CH58" s="372">
        <v>3</v>
      </c>
      <c r="CI58" s="116">
        <v>3</v>
      </c>
      <c r="CJ58" s="116"/>
      <c r="CK58" s="116" t="s">
        <v>809</v>
      </c>
    </row>
    <row r="59" spans="1:102" ht="24.95" customHeight="1">
      <c r="A59" s="116">
        <v>61</v>
      </c>
      <c r="B59" s="116" t="s">
        <v>932</v>
      </c>
      <c r="C59" s="116" t="s">
        <v>933</v>
      </c>
      <c r="D59" s="116" t="s">
        <v>934</v>
      </c>
      <c r="E59" s="116" t="s">
        <v>935</v>
      </c>
      <c r="F59" s="116" t="s">
        <v>25</v>
      </c>
      <c r="G59" s="116">
        <v>3</v>
      </c>
      <c r="H59" s="116" t="s">
        <v>54</v>
      </c>
      <c r="I59" s="116" t="s">
        <v>39</v>
      </c>
      <c r="J59" s="116" t="s">
        <v>936</v>
      </c>
      <c r="K59" s="116" t="s">
        <v>936</v>
      </c>
      <c r="L59" s="116" t="s">
        <v>45</v>
      </c>
      <c r="M59" s="116" t="s">
        <v>163</v>
      </c>
      <c r="N59" s="223">
        <v>671975</v>
      </c>
      <c r="O59" s="228" t="s">
        <v>151</v>
      </c>
      <c r="P59" s="22" t="s">
        <v>151</v>
      </c>
      <c r="Q59" s="116" t="s">
        <v>151</v>
      </c>
      <c r="R59" s="388" t="s">
        <v>937</v>
      </c>
      <c r="S59" s="121" t="s">
        <v>938</v>
      </c>
      <c r="T59" s="342" t="s">
        <v>939</v>
      </c>
      <c r="U59" s="117" t="s">
        <v>940</v>
      </c>
      <c r="V59" s="117">
        <v>27857</v>
      </c>
      <c r="W59" s="121" t="s">
        <v>941</v>
      </c>
      <c r="X59" s="121" t="s">
        <v>179</v>
      </c>
      <c r="Y59" s="121" t="s">
        <v>163</v>
      </c>
      <c r="Z59" s="121" t="s">
        <v>158</v>
      </c>
      <c r="AA59" s="116">
        <v>11.5</v>
      </c>
      <c r="AB59" s="117">
        <v>41330</v>
      </c>
      <c r="AC59" s="283">
        <v>41334</v>
      </c>
      <c r="AD59" s="117"/>
      <c r="AE59" s="20" t="s">
        <v>942</v>
      </c>
      <c r="AF59" s="127"/>
      <c r="AG59" s="127"/>
      <c r="AH59" s="116">
        <f t="shared" si="5"/>
        <v>1</v>
      </c>
      <c r="AI59" s="20" t="s">
        <v>162</v>
      </c>
      <c r="AJ59" s="127"/>
      <c r="AK59" s="127"/>
      <c r="AL59" s="127" t="s">
        <v>163</v>
      </c>
      <c r="AM59" s="127"/>
      <c r="AN59" s="127"/>
      <c r="AO59" s="127" t="s">
        <v>164</v>
      </c>
      <c r="AP59" s="127" t="s">
        <v>445</v>
      </c>
      <c r="AQ59" s="127" t="s">
        <v>943</v>
      </c>
      <c r="AR59" s="127" t="s">
        <v>150</v>
      </c>
      <c r="AS59" s="230" t="s">
        <v>944</v>
      </c>
      <c r="AT59" s="408" t="s">
        <v>285</v>
      </c>
      <c r="AU59" s="116" t="s">
        <v>945</v>
      </c>
      <c r="AV59" s="117"/>
      <c r="AW59" s="118">
        <v>41337</v>
      </c>
      <c r="AX59" s="118">
        <v>41579</v>
      </c>
      <c r="AY59" s="118" t="s">
        <v>150</v>
      </c>
      <c r="AZ59" s="118">
        <v>41485</v>
      </c>
      <c r="BA59" s="118"/>
      <c r="BB59" s="118">
        <v>41607</v>
      </c>
      <c r="BC59" s="118"/>
      <c r="BD59" s="118"/>
      <c r="BE59" s="119"/>
      <c r="BF59" s="118">
        <v>42227</v>
      </c>
      <c r="BG59" s="118" t="s">
        <v>150</v>
      </c>
      <c r="BH59" s="118">
        <v>42429</v>
      </c>
      <c r="BI59" s="118" t="s">
        <v>150</v>
      </c>
      <c r="BJ59" s="117">
        <v>42429</v>
      </c>
      <c r="BK59" s="117">
        <v>42559</v>
      </c>
      <c r="BL59" s="117">
        <v>42618</v>
      </c>
      <c r="BM59" s="120">
        <v>42620</v>
      </c>
      <c r="BN59" s="116" t="s">
        <v>16</v>
      </c>
      <c r="BO59" s="224">
        <f t="shared" si="12"/>
        <v>43</v>
      </c>
      <c r="BP59" s="116">
        <f t="shared" si="13"/>
        <v>35</v>
      </c>
      <c r="BQ59" s="121" t="s">
        <v>946</v>
      </c>
      <c r="BR59" s="116">
        <v>9</v>
      </c>
      <c r="BS59" s="116">
        <v>5</v>
      </c>
      <c r="BT59" s="116">
        <v>10</v>
      </c>
      <c r="BU59" s="116">
        <v>4</v>
      </c>
      <c r="BV59" s="116">
        <v>2</v>
      </c>
      <c r="BW59" s="116">
        <v>2</v>
      </c>
      <c r="BX59" s="116">
        <v>1</v>
      </c>
      <c r="BY59" s="116" t="s">
        <v>163</v>
      </c>
      <c r="BZ59" s="116">
        <v>0</v>
      </c>
      <c r="CA59" s="116"/>
      <c r="CB59" s="122"/>
      <c r="CC59" s="122"/>
      <c r="CD59" s="116"/>
      <c r="CE59" s="116" t="s">
        <v>163</v>
      </c>
      <c r="CF59" s="116"/>
      <c r="CG59" s="116"/>
      <c r="CH59" s="372">
        <v>1</v>
      </c>
      <c r="CI59" s="116">
        <v>3</v>
      </c>
      <c r="CJ59" s="116"/>
      <c r="CK59" s="116" t="s">
        <v>500</v>
      </c>
    </row>
    <row r="60" spans="1:102" ht="24.95" customHeight="1">
      <c r="A60" s="116">
        <v>62</v>
      </c>
      <c r="B60" s="116" t="s">
        <v>947</v>
      </c>
      <c r="C60" s="116" t="s">
        <v>948</v>
      </c>
      <c r="D60" s="116" t="s">
        <v>949</v>
      </c>
      <c r="E60" s="116" t="s">
        <v>950</v>
      </c>
      <c r="F60" s="116" t="s">
        <v>24</v>
      </c>
      <c r="G60" s="116">
        <v>3</v>
      </c>
      <c r="H60" s="116" t="s">
        <v>60</v>
      </c>
      <c r="I60" s="116" t="s">
        <v>35</v>
      </c>
      <c r="J60" s="116" t="s">
        <v>602</v>
      </c>
      <c r="K60" s="116" t="s">
        <v>951</v>
      </c>
      <c r="L60" s="116" t="s">
        <v>35</v>
      </c>
      <c r="M60" s="116" t="s">
        <v>150</v>
      </c>
      <c r="N60" s="116"/>
      <c r="O60" s="225" t="s">
        <v>151</v>
      </c>
      <c r="P60" s="226" t="s">
        <v>151</v>
      </c>
      <c r="Q60" s="116" t="s">
        <v>151</v>
      </c>
      <c r="R60" s="116" t="s">
        <v>952</v>
      </c>
      <c r="S60" s="121" t="s">
        <v>953</v>
      </c>
      <c r="T60" s="342" t="s">
        <v>954</v>
      </c>
      <c r="U60" s="117" t="s">
        <v>955</v>
      </c>
      <c r="V60" s="117">
        <v>28469</v>
      </c>
      <c r="W60" s="121" t="s">
        <v>956</v>
      </c>
      <c r="X60" s="121" t="s">
        <v>179</v>
      </c>
      <c r="Y60" s="121" t="s">
        <v>163</v>
      </c>
      <c r="Z60" s="121" t="s">
        <v>158</v>
      </c>
      <c r="AA60" s="116">
        <v>20.5</v>
      </c>
      <c r="AB60" s="117">
        <v>41325</v>
      </c>
      <c r="AC60" s="283">
        <v>41334</v>
      </c>
      <c r="AD60" s="116"/>
      <c r="AE60" s="20" t="s">
        <v>957</v>
      </c>
      <c r="AF60" s="127" t="s">
        <v>958</v>
      </c>
      <c r="AG60" s="116"/>
      <c r="AH60" s="116">
        <f t="shared" si="5"/>
        <v>2</v>
      </c>
      <c r="AI60" s="121" t="s">
        <v>282</v>
      </c>
      <c r="AJ60" s="116" t="s">
        <v>161</v>
      </c>
      <c r="AK60" s="116"/>
      <c r="AL60" s="116" t="s">
        <v>163</v>
      </c>
      <c r="AM60" s="116"/>
      <c r="AN60" s="116"/>
      <c r="AO60" s="116" t="s">
        <v>959</v>
      </c>
      <c r="AP60" s="116" t="s">
        <v>181</v>
      </c>
      <c r="AQ60" s="116"/>
      <c r="AR60" s="116"/>
      <c r="AS60" s="116"/>
      <c r="AT60" s="17" t="s">
        <v>580</v>
      </c>
      <c r="AU60" s="116"/>
      <c r="AV60" s="117"/>
      <c r="AW60" s="118">
        <v>41334</v>
      </c>
      <c r="AX60" s="118">
        <v>41579</v>
      </c>
      <c r="AY60" s="118" t="s">
        <v>150</v>
      </c>
      <c r="AZ60" s="118"/>
      <c r="BA60" s="118"/>
      <c r="BB60" s="118"/>
      <c r="BC60" s="118"/>
      <c r="BD60" s="118"/>
      <c r="BE60" s="119"/>
      <c r="BF60" s="118">
        <v>42217</v>
      </c>
      <c r="BG60" s="118" t="s">
        <v>150</v>
      </c>
      <c r="BH60" s="118">
        <v>42428</v>
      </c>
      <c r="BI60" s="118" t="s">
        <v>150</v>
      </c>
      <c r="BJ60" s="117"/>
      <c r="BK60" s="117">
        <v>44578</v>
      </c>
      <c r="BL60" s="117"/>
      <c r="BM60" s="120">
        <v>44578</v>
      </c>
      <c r="BN60" s="116" t="s">
        <v>16</v>
      </c>
      <c r="BO60" s="224">
        <f t="shared" si="12"/>
        <v>107</v>
      </c>
      <c r="BP60" s="116">
        <f t="shared" si="13"/>
        <v>99</v>
      </c>
      <c r="BQ60" s="116" t="s">
        <v>960</v>
      </c>
      <c r="BR60" s="116">
        <v>0</v>
      </c>
      <c r="BS60" s="116">
        <v>0</v>
      </c>
      <c r="BT60" s="116">
        <v>0</v>
      </c>
      <c r="BU60" s="116">
        <v>0</v>
      </c>
      <c r="BV60" s="116">
        <v>0</v>
      </c>
      <c r="BW60" s="116">
        <v>0</v>
      </c>
      <c r="BX60" s="116">
        <v>0</v>
      </c>
      <c r="BY60" s="116" t="s">
        <v>163</v>
      </c>
      <c r="BZ60" s="116">
        <v>0</v>
      </c>
      <c r="CA60" s="116"/>
      <c r="CB60" s="122"/>
      <c r="CC60" s="122"/>
      <c r="CD60" s="116"/>
      <c r="CE60" s="116" t="s">
        <v>163</v>
      </c>
      <c r="CF60" s="116"/>
      <c r="CG60" s="116"/>
      <c r="CH60" s="372">
        <v>2</v>
      </c>
      <c r="CI60" s="116">
        <v>2</v>
      </c>
      <c r="CJ60" s="116"/>
      <c r="CK60" s="116" t="s">
        <v>538</v>
      </c>
    </row>
    <row r="61" spans="1:102" s="114" customFormat="1" ht="24.95" customHeight="1">
      <c r="A61" s="91">
        <v>63</v>
      </c>
      <c r="B61" s="91" t="s">
        <v>961</v>
      </c>
      <c r="C61" s="91" t="s">
        <v>962</v>
      </c>
      <c r="D61" s="91" t="s">
        <v>963</v>
      </c>
      <c r="E61" s="91" t="s">
        <v>964</v>
      </c>
      <c r="F61" s="91" t="s">
        <v>24</v>
      </c>
      <c r="G61" s="91">
        <v>3</v>
      </c>
      <c r="H61" s="91" t="s">
        <v>58</v>
      </c>
      <c r="I61" s="91" t="s">
        <v>45</v>
      </c>
      <c r="J61" s="91" t="s">
        <v>602</v>
      </c>
      <c r="K61" s="91"/>
      <c r="L61" s="91" t="s">
        <v>45</v>
      </c>
      <c r="M61" s="91" t="s">
        <v>150</v>
      </c>
      <c r="N61" s="91"/>
      <c r="O61" s="249"/>
      <c r="P61" s="250" t="s">
        <v>168</v>
      </c>
      <c r="Q61" s="91"/>
      <c r="R61" s="91" t="s">
        <v>965</v>
      </c>
      <c r="S61" s="91" t="s">
        <v>966</v>
      </c>
      <c r="T61" s="341" t="s">
        <v>967</v>
      </c>
      <c r="U61" s="92" t="s">
        <v>968</v>
      </c>
      <c r="V61" s="92">
        <v>29865</v>
      </c>
      <c r="W61" s="164" t="s">
        <v>969</v>
      </c>
      <c r="X61" s="164" t="s">
        <v>179</v>
      </c>
      <c r="Y61" s="164" t="s">
        <v>163</v>
      </c>
      <c r="Z61" s="164" t="s">
        <v>158</v>
      </c>
      <c r="AA61" s="91">
        <v>4</v>
      </c>
      <c r="AB61" s="92">
        <v>41345</v>
      </c>
      <c r="AC61" s="281">
        <v>41334</v>
      </c>
      <c r="AD61" s="92">
        <v>45741</v>
      </c>
      <c r="AE61" s="365" t="s">
        <v>970</v>
      </c>
      <c r="AF61" s="50" t="s">
        <v>971</v>
      </c>
      <c r="AG61" s="91"/>
      <c r="AH61" s="91">
        <f t="shared" si="5"/>
        <v>2</v>
      </c>
      <c r="AI61" s="366" t="s">
        <v>161</v>
      </c>
      <c r="AJ61" s="91" t="s">
        <v>202</v>
      </c>
      <c r="AK61" s="91"/>
      <c r="AL61" s="91" t="s">
        <v>150</v>
      </c>
      <c r="AM61" s="91" t="s">
        <v>163</v>
      </c>
      <c r="AN61" s="91"/>
      <c r="AO61" s="91" t="s">
        <v>164</v>
      </c>
      <c r="AP61" s="91" t="s">
        <v>182</v>
      </c>
      <c r="AQ61" s="91"/>
      <c r="AR61" s="91"/>
      <c r="AS61" s="91"/>
      <c r="AT61" s="10" t="s">
        <v>372</v>
      </c>
      <c r="AU61" s="91" t="s">
        <v>972</v>
      </c>
      <c r="AV61" s="92"/>
      <c r="AW61" s="93">
        <v>41334</v>
      </c>
      <c r="AX61" s="93">
        <v>41579</v>
      </c>
      <c r="AY61" s="93" t="s">
        <v>150</v>
      </c>
      <c r="AZ61" s="93"/>
      <c r="BA61" s="93"/>
      <c r="BB61" s="93"/>
      <c r="BC61" s="93"/>
      <c r="BD61" s="93"/>
      <c r="BE61" s="94"/>
      <c r="BF61" s="93">
        <v>42217</v>
      </c>
      <c r="BG61" s="93" t="s">
        <v>150</v>
      </c>
      <c r="BH61" s="93">
        <v>42428</v>
      </c>
      <c r="BI61" s="93" t="s">
        <v>150</v>
      </c>
      <c r="BJ61" s="92"/>
      <c r="BK61" s="92"/>
      <c r="BL61" s="92"/>
      <c r="BM61" s="109"/>
      <c r="BN61" s="151" t="s">
        <v>18</v>
      </c>
      <c r="BO61" s="265"/>
      <c r="BP61" s="91"/>
      <c r="BQ61" s="91"/>
      <c r="BR61" s="91">
        <v>1</v>
      </c>
      <c r="BS61" s="91">
        <v>13</v>
      </c>
      <c r="BT61" s="91">
        <v>0</v>
      </c>
      <c r="BU61" s="91">
        <v>0</v>
      </c>
      <c r="BV61" s="91">
        <v>0</v>
      </c>
      <c r="BW61" s="91">
        <v>0</v>
      </c>
      <c r="BX61" s="91">
        <v>0</v>
      </c>
      <c r="BY61" s="91" t="s">
        <v>163</v>
      </c>
      <c r="BZ61" s="91">
        <v>0</v>
      </c>
      <c r="CA61" s="91"/>
      <c r="CB61" s="95"/>
      <c r="CC61" s="95"/>
      <c r="CD61" s="91"/>
      <c r="CE61" s="91" t="s">
        <v>163</v>
      </c>
      <c r="CF61" s="91"/>
      <c r="CG61" s="91"/>
      <c r="CH61" s="113" t="s">
        <v>168</v>
      </c>
      <c r="CI61" s="91" t="s">
        <v>168</v>
      </c>
      <c r="CJ61" s="91"/>
      <c r="CK61" s="91" t="s">
        <v>168</v>
      </c>
      <c r="CS61" s="364"/>
      <c r="CT61" s="364"/>
      <c r="CU61" s="364"/>
      <c r="CW61" s="364"/>
      <c r="CX61" s="364"/>
    </row>
    <row r="62" spans="1:102" ht="24.95" customHeight="1">
      <c r="A62" s="116">
        <v>64</v>
      </c>
      <c r="B62" s="116" t="s">
        <v>973</v>
      </c>
      <c r="C62" s="116" t="s">
        <v>974</v>
      </c>
      <c r="D62" s="116" t="s">
        <v>975</v>
      </c>
      <c r="E62" s="116" t="s">
        <v>976</v>
      </c>
      <c r="F62" s="116" t="s">
        <v>24</v>
      </c>
      <c r="G62" s="116">
        <v>3</v>
      </c>
      <c r="H62" s="116" t="s">
        <v>54</v>
      </c>
      <c r="I62" s="116" t="s">
        <v>39</v>
      </c>
      <c r="J62" s="116" t="s">
        <v>362</v>
      </c>
      <c r="K62" s="116" t="s">
        <v>977</v>
      </c>
      <c r="L62" s="116" t="s">
        <v>39</v>
      </c>
      <c r="M62" s="116" t="s">
        <v>150</v>
      </c>
      <c r="N62" s="223" t="s">
        <v>978</v>
      </c>
      <c r="O62" s="228" t="s">
        <v>151</v>
      </c>
      <c r="P62" s="22" t="s">
        <v>151</v>
      </c>
      <c r="Q62" s="116" t="s">
        <v>151</v>
      </c>
      <c r="R62" s="388" t="s">
        <v>979</v>
      </c>
      <c r="S62" s="116" t="s">
        <v>980</v>
      </c>
      <c r="T62" s="342" t="s">
        <v>981</v>
      </c>
      <c r="U62" s="117" t="s">
        <v>982</v>
      </c>
      <c r="V62" s="117">
        <v>27926</v>
      </c>
      <c r="W62" s="121" t="s">
        <v>983</v>
      </c>
      <c r="X62" s="121" t="s">
        <v>179</v>
      </c>
      <c r="Y62" s="121" t="s">
        <v>163</v>
      </c>
      <c r="Z62" s="121" t="s">
        <v>309</v>
      </c>
      <c r="AA62" s="116">
        <v>19.5</v>
      </c>
      <c r="AB62" s="117">
        <v>41304</v>
      </c>
      <c r="AC62" s="283">
        <v>41334</v>
      </c>
      <c r="AD62" s="117"/>
      <c r="AE62" s="20" t="s">
        <v>984</v>
      </c>
      <c r="AF62" s="23" t="s">
        <v>985</v>
      </c>
      <c r="AG62" s="124"/>
      <c r="AH62" s="116">
        <f t="shared" si="5"/>
        <v>2</v>
      </c>
      <c r="AI62" s="20" t="s">
        <v>161</v>
      </c>
      <c r="AJ62" s="20" t="s">
        <v>161</v>
      </c>
      <c r="AK62" s="124"/>
      <c r="AL62" s="124" t="s">
        <v>150</v>
      </c>
      <c r="AM62" s="124" t="s">
        <v>150</v>
      </c>
      <c r="AN62" s="124"/>
      <c r="AO62" s="124" t="s">
        <v>164</v>
      </c>
      <c r="AP62" s="124" t="s">
        <v>445</v>
      </c>
      <c r="AQ62" s="128" t="s">
        <v>943</v>
      </c>
      <c r="AR62" s="124" t="s">
        <v>150</v>
      </c>
      <c r="AS62" s="230" t="s">
        <v>986</v>
      </c>
      <c r="AT62" s="407" t="s">
        <v>285</v>
      </c>
      <c r="AU62" s="116" t="s">
        <v>987</v>
      </c>
      <c r="AV62" s="117"/>
      <c r="AW62" s="118">
        <v>41334</v>
      </c>
      <c r="AX62" s="118">
        <v>41579</v>
      </c>
      <c r="AY62" s="118" t="s">
        <v>150</v>
      </c>
      <c r="AZ62" s="118"/>
      <c r="BA62" s="118"/>
      <c r="BB62" s="118"/>
      <c r="BC62" s="118"/>
      <c r="BD62" s="118"/>
      <c r="BE62" s="119"/>
      <c r="BF62" s="118">
        <v>42217</v>
      </c>
      <c r="BG62" s="118" t="s">
        <v>150</v>
      </c>
      <c r="BH62" s="118">
        <v>42428</v>
      </c>
      <c r="BI62" s="118" t="s">
        <v>150</v>
      </c>
      <c r="BJ62" s="117"/>
      <c r="BK62" s="117"/>
      <c r="BL62" s="117"/>
      <c r="BM62" s="120">
        <v>42151</v>
      </c>
      <c r="BN62" s="116" t="s">
        <v>16</v>
      </c>
      <c r="BO62" s="224">
        <f t="shared" ref="BO62:BO64" si="14">DATEDIF(AW62,BM62, "M")+1</f>
        <v>27</v>
      </c>
      <c r="BP62" s="116">
        <f t="shared" ref="BP62:BP64" si="15">DATEDIF(AX62,BM62, "M")+1</f>
        <v>19</v>
      </c>
      <c r="BQ62" s="116"/>
      <c r="BR62" s="116">
        <v>1</v>
      </c>
      <c r="BS62" s="116">
        <v>0</v>
      </c>
      <c r="BT62" s="116">
        <v>12</v>
      </c>
      <c r="BU62" s="116">
        <v>0</v>
      </c>
      <c r="BV62" s="116">
        <v>0</v>
      </c>
      <c r="BW62" s="116">
        <v>1</v>
      </c>
      <c r="BX62" s="116">
        <v>1</v>
      </c>
      <c r="BY62" s="116" t="s">
        <v>988</v>
      </c>
      <c r="BZ62" s="116">
        <v>0</v>
      </c>
      <c r="CA62" s="116"/>
      <c r="CB62" s="122"/>
      <c r="CC62" s="122"/>
      <c r="CD62" s="116"/>
      <c r="CE62" s="116" t="s">
        <v>163</v>
      </c>
      <c r="CF62" s="116"/>
      <c r="CG62" s="116"/>
      <c r="CH62" s="372">
        <v>5</v>
      </c>
      <c r="CI62" s="116">
        <v>5</v>
      </c>
      <c r="CJ62" s="116"/>
      <c r="CK62" s="116" t="s">
        <v>538</v>
      </c>
    </row>
    <row r="63" spans="1:102" ht="24.95" customHeight="1">
      <c r="A63" s="116">
        <v>65</v>
      </c>
      <c r="B63" s="116" t="s">
        <v>989</v>
      </c>
      <c r="C63" s="116" t="s">
        <v>990</v>
      </c>
      <c r="D63" s="116" t="s">
        <v>991</v>
      </c>
      <c r="E63" s="116" t="s">
        <v>992</v>
      </c>
      <c r="F63" s="116" t="s">
        <v>24</v>
      </c>
      <c r="G63" s="116">
        <v>3</v>
      </c>
      <c r="H63" s="116" t="s">
        <v>54</v>
      </c>
      <c r="I63" s="116" t="s">
        <v>31</v>
      </c>
      <c r="J63" s="116" t="s">
        <v>602</v>
      </c>
      <c r="K63" s="116"/>
      <c r="L63" s="116" t="s">
        <v>31</v>
      </c>
      <c r="M63" s="116" t="s">
        <v>150</v>
      </c>
      <c r="N63" s="223"/>
      <c r="O63" s="228" t="s">
        <v>151</v>
      </c>
      <c r="P63" s="22" t="s">
        <v>151</v>
      </c>
      <c r="Q63" s="116" t="s">
        <v>151</v>
      </c>
      <c r="R63" s="116" t="s">
        <v>993</v>
      </c>
      <c r="S63" s="116" t="s">
        <v>994</v>
      </c>
      <c r="T63" s="342" t="s">
        <v>995</v>
      </c>
      <c r="U63" s="117" t="s">
        <v>996</v>
      </c>
      <c r="V63" s="117">
        <v>28167</v>
      </c>
      <c r="W63" s="121" t="s">
        <v>997</v>
      </c>
      <c r="X63" s="121" t="s">
        <v>179</v>
      </c>
      <c r="Y63" s="121" t="s">
        <v>163</v>
      </c>
      <c r="Z63" s="121" t="s">
        <v>158</v>
      </c>
      <c r="AA63" s="116">
        <v>15</v>
      </c>
      <c r="AB63" s="117">
        <v>41178</v>
      </c>
      <c r="AC63" s="283">
        <v>41334</v>
      </c>
      <c r="AD63" s="117"/>
      <c r="AE63" s="20" t="s">
        <v>998</v>
      </c>
      <c r="AF63" s="124"/>
      <c r="AG63" s="124"/>
      <c r="AH63" s="116">
        <f t="shared" si="5"/>
        <v>1</v>
      </c>
      <c r="AI63" s="20" t="s">
        <v>161</v>
      </c>
      <c r="AJ63" s="124"/>
      <c r="AK63" s="124"/>
      <c r="AL63" s="124" t="s">
        <v>150</v>
      </c>
      <c r="AM63" s="124"/>
      <c r="AN63" s="124"/>
      <c r="AO63" s="124" t="s">
        <v>164</v>
      </c>
      <c r="AP63" s="124" t="s">
        <v>999</v>
      </c>
      <c r="AQ63" s="128" t="s">
        <v>1000</v>
      </c>
      <c r="AR63" s="124" t="s">
        <v>150</v>
      </c>
      <c r="AS63" s="124"/>
      <c r="AT63" s="409" t="s">
        <v>1001</v>
      </c>
      <c r="AU63" s="116" t="s">
        <v>1002</v>
      </c>
      <c r="AV63" s="117"/>
      <c r="AW63" s="118">
        <v>41337</v>
      </c>
      <c r="AX63" s="118">
        <v>41596</v>
      </c>
      <c r="AY63" s="118" t="s">
        <v>150</v>
      </c>
      <c r="AZ63" s="118">
        <v>41883</v>
      </c>
      <c r="BA63" s="118"/>
      <c r="BB63" s="118">
        <v>42040</v>
      </c>
      <c r="BC63" s="118"/>
      <c r="BD63" s="118"/>
      <c r="BE63" s="119"/>
      <c r="BF63" s="118">
        <v>42217</v>
      </c>
      <c r="BG63" s="118" t="s">
        <v>150</v>
      </c>
      <c r="BH63" s="118">
        <v>42429</v>
      </c>
      <c r="BI63" s="118" t="s">
        <v>150</v>
      </c>
      <c r="BJ63" s="117"/>
      <c r="BK63" s="117" t="s">
        <v>1003</v>
      </c>
      <c r="BL63" s="117">
        <v>42957</v>
      </c>
      <c r="BM63" s="120">
        <v>42825</v>
      </c>
      <c r="BN63" s="116" t="s">
        <v>16</v>
      </c>
      <c r="BO63" s="224">
        <f t="shared" si="14"/>
        <v>49</v>
      </c>
      <c r="BP63" s="116">
        <f t="shared" si="15"/>
        <v>41</v>
      </c>
      <c r="BQ63" s="121" t="s">
        <v>1004</v>
      </c>
      <c r="BR63" s="116">
        <v>1</v>
      </c>
      <c r="BS63" s="116">
        <v>3</v>
      </c>
      <c r="BT63" s="116">
        <v>6</v>
      </c>
      <c r="BU63" s="116">
        <v>3</v>
      </c>
      <c r="BV63" s="116">
        <v>0</v>
      </c>
      <c r="BW63" s="116">
        <v>0</v>
      </c>
      <c r="BX63" s="116">
        <v>0</v>
      </c>
      <c r="BY63" s="116" t="s">
        <v>163</v>
      </c>
      <c r="BZ63" s="116">
        <v>0</v>
      </c>
      <c r="CA63" s="116"/>
      <c r="CB63" s="122"/>
      <c r="CC63" s="122"/>
      <c r="CD63" s="116"/>
      <c r="CE63" s="116" t="s">
        <v>163</v>
      </c>
      <c r="CF63" s="116"/>
      <c r="CG63" s="116"/>
      <c r="CH63" s="372">
        <v>3</v>
      </c>
      <c r="CI63" s="116">
        <v>3</v>
      </c>
      <c r="CJ63" s="116"/>
      <c r="CK63" s="116" t="s">
        <v>809</v>
      </c>
    </row>
    <row r="64" spans="1:102" ht="24.95" customHeight="1">
      <c r="A64" s="116">
        <v>66</v>
      </c>
      <c r="B64" s="116" t="s">
        <v>1005</v>
      </c>
      <c r="C64" s="116" t="s">
        <v>1006</v>
      </c>
      <c r="D64" s="116" t="s">
        <v>20</v>
      </c>
      <c r="E64" s="116" t="s">
        <v>1007</v>
      </c>
      <c r="F64" s="116" t="s">
        <v>24</v>
      </c>
      <c r="G64" s="116">
        <v>3</v>
      </c>
      <c r="H64" s="116" t="s">
        <v>59</v>
      </c>
      <c r="I64" s="116" t="s">
        <v>41</v>
      </c>
      <c r="J64" s="116" t="s">
        <v>1008</v>
      </c>
      <c r="K64" s="116" t="s">
        <v>1009</v>
      </c>
      <c r="L64" s="116" t="s">
        <v>41</v>
      </c>
      <c r="M64" s="116" t="s">
        <v>150</v>
      </c>
      <c r="N64" s="223" t="s">
        <v>1010</v>
      </c>
      <c r="O64" s="228" t="s">
        <v>151</v>
      </c>
      <c r="P64" s="22" t="s">
        <v>151</v>
      </c>
      <c r="Q64" s="116" t="s">
        <v>151</v>
      </c>
      <c r="R64" s="116" t="s">
        <v>1011</v>
      </c>
      <c r="S64" s="116" t="s">
        <v>1012</v>
      </c>
      <c r="T64" s="342" t="s">
        <v>1013</v>
      </c>
      <c r="U64" s="117" t="s">
        <v>1014</v>
      </c>
      <c r="V64" s="117">
        <v>29476</v>
      </c>
      <c r="W64" s="121" t="s">
        <v>1015</v>
      </c>
      <c r="X64" s="121" t="s">
        <v>805</v>
      </c>
      <c r="Y64" s="121" t="s">
        <v>157</v>
      </c>
      <c r="Z64" s="121" t="s">
        <v>158</v>
      </c>
      <c r="AA64" s="116">
        <v>19.5</v>
      </c>
      <c r="AB64" s="117">
        <v>41205</v>
      </c>
      <c r="AC64" s="283">
        <v>40969</v>
      </c>
      <c r="AD64" s="117"/>
      <c r="AE64" s="20" t="s">
        <v>1016</v>
      </c>
      <c r="AF64" s="23" t="s">
        <v>1017</v>
      </c>
      <c r="AG64" s="124"/>
      <c r="AH64" s="116">
        <f t="shared" ref="AH64:AH94" si="16">COUNTA(AE64:AG64)</f>
        <v>2</v>
      </c>
      <c r="AI64" s="20" t="s">
        <v>161</v>
      </c>
      <c r="AJ64" s="20" t="s">
        <v>161</v>
      </c>
      <c r="AK64" s="124"/>
      <c r="AL64" s="124" t="s">
        <v>150</v>
      </c>
      <c r="AM64" s="124" t="s">
        <v>163</v>
      </c>
      <c r="AN64" s="124"/>
      <c r="AO64" s="124" t="s">
        <v>164</v>
      </c>
      <c r="AP64" s="124" t="s">
        <v>181</v>
      </c>
      <c r="AQ64" s="124" t="s">
        <v>250</v>
      </c>
      <c r="AR64" s="124" t="s">
        <v>150</v>
      </c>
      <c r="AS64" s="124"/>
      <c r="AT64" s="407" t="s">
        <v>537</v>
      </c>
      <c r="AU64" s="116" t="s">
        <v>1018</v>
      </c>
      <c r="AV64" s="117"/>
      <c r="AW64" s="118">
        <v>41334</v>
      </c>
      <c r="AX64" s="118">
        <v>41579</v>
      </c>
      <c r="AY64" s="118" t="s">
        <v>150</v>
      </c>
      <c r="AZ64" s="118">
        <v>41432</v>
      </c>
      <c r="BA64" s="118"/>
      <c r="BB64" s="118">
        <v>41590</v>
      </c>
      <c r="BC64" s="118"/>
      <c r="BD64" s="118"/>
      <c r="BE64" s="119" t="s">
        <v>1019</v>
      </c>
      <c r="BF64" s="118">
        <v>42217</v>
      </c>
      <c r="BG64" s="118" t="s">
        <v>150</v>
      </c>
      <c r="BH64" s="118">
        <v>42428</v>
      </c>
      <c r="BI64" s="118" t="s">
        <v>150</v>
      </c>
      <c r="BJ64" s="117">
        <v>42260</v>
      </c>
      <c r="BK64" s="117">
        <v>42565</v>
      </c>
      <c r="BL64" s="117">
        <v>42612</v>
      </c>
      <c r="BM64" s="120">
        <v>42612</v>
      </c>
      <c r="BN64" s="116" t="s">
        <v>16</v>
      </c>
      <c r="BO64" s="224">
        <f t="shared" si="14"/>
        <v>42</v>
      </c>
      <c r="BP64" s="116">
        <f t="shared" si="15"/>
        <v>34</v>
      </c>
      <c r="BQ64" s="121" t="s">
        <v>1019</v>
      </c>
      <c r="BR64" s="116">
        <v>0</v>
      </c>
      <c r="BS64" s="116">
        <v>0</v>
      </c>
      <c r="BT64" s="116">
        <v>8</v>
      </c>
      <c r="BU64" s="116">
        <v>2</v>
      </c>
      <c r="BV64" s="116">
        <v>0</v>
      </c>
      <c r="BW64" s="116">
        <v>0</v>
      </c>
      <c r="BX64" s="116">
        <v>0</v>
      </c>
      <c r="BY64" s="116" t="s">
        <v>163</v>
      </c>
      <c r="BZ64" s="116">
        <v>0</v>
      </c>
      <c r="CA64" s="116"/>
      <c r="CB64" s="122"/>
      <c r="CC64" s="122"/>
      <c r="CD64" s="116"/>
      <c r="CE64" s="116" t="s">
        <v>163</v>
      </c>
      <c r="CF64" s="116"/>
      <c r="CG64" s="116"/>
      <c r="CH64" s="372">
        <v>2</v>
      </c>
      <c r="CI64" s="116">
        <v>2</v>
      </c>
      <c r="CJ64" s="116" t="s">
        <v>1020</v>
      </c>
      <c r="CK64" s="116" t="s">
        <v>538</v>
      </c>
    </row>
    <row r="65" spans="1:89" ht="24.95" customHeight="1">
      <c r="A65" s="116">
        <v>67</v>
      </c>
      <c r="B65" s="116" t="s">
        <v>1021</v>
      </c>
      <c r="C65" s="116" t="s">
        <v>1022</v>
      </c>
      <c r="D65" s="116" t="s">
        <v>1023</v>
      </c>
      <c r="E65" s="116" t="s">
        <v>1024</v>
      </c>
      <c r="F65" s="116" t="s">
        <v>24</v>
      </c>
      <c r="G65" s="116">
        <v>3</v>
      </c>
      <c r="H65" s="116" t="s">
        <v>52</v>
      </c>
      <c r="I65" s="116" t="s">
        <v>37</v>
      </c>
      <c r="J65" s="116" t="s">
        <v>1025</v>
      </c>
      <c r="K65" s="116" t="s">
        <v>1026</v>
      </c>
      <c r="L65" s="116" t="s">
        <v>37</v>
      </c>
      <c r="M65" s="116" t="s">
        <v>150</v>
      </c>
      <c r="N65" s="116" t="s">
        <v>1027</v>
      </c>
      <c r="O65" s="225"/>
      <c r="P65" s="226" t="s">
        <v>151</v>
      </c>
      <c r="Q65" s="116"/>
      <c r="R65" s="116" t="s">
        <v>1028</v>
      </c>
      <c r="S65" s="116" t="s">
        <v>1029</v>
      </c>
      <c r="T65" s="342" t="s">
        <v>1030</v>
      </c>
      <c r="U65" s="117" t="s">
        <v>1031</v>
      </c>
      <c r="V65" s="117">
        <v>28857</v>
      </c>
      <c r="W65" s="121" t="s">
        <v>1032</v>
      </c>
      <c r="X65" s="121" t="s">
        <v>179</v>
      </c>
      <c r="Y65" s="121" t="s">
        <v>163</v>
      </c>
      <c r="Z65" s="121" t="s">
        <v>158</v>
      </c>
      <c r="AA65" s="116">
        <v>5</v>
      </c>
      <c r="AB65" s="117">
        <v>41153</v>
      </c>
      <c r="AC65" s="283">
        <v>41334</v>
      </c>
      <c r="AD65" s="117"/>
      <c r="AE65" s="21" t="s">
        <v>1033</v>
      </c>
      <c r="AF65" s="23" t="s">
        <v>1034</v>
      </c>
      <c r="AG65" s="116"/>
      <c r="AH65" s="116">
        <f t="shared" si="16"/>
        <v>2</v>
      </c>
      <c r="AI65" s="20" t="s">
        <v>161</v>
      </c>
      <c r="AJ65" s="116" t="s">
        <v>202</v>
      </c>
      <c r="AK65" s="116"/>
      <c r="AL65" s="116">
        <v>2013</v>
      </c>
      <c r="AM65" s="116"/>
      <c r="AN65" s="116"/>
      <c r="AO65" s="116"/>
      <c r="AP65" s="116" t="s">
        <v>181</v>
      </c>
      <c r="AQ65" s="116"/>
      <c r="AR65" s="116"/>
      <c r="AS65" s="116"/>
      <c r="AT65" s="17" t="s">
        <v>204</v>
      </c>
      <c r="AU65" s="116" t="s">
        <v>1035</v>
      </c>
      <c r="AV65" s="117"/>
      <c r="AW65" s="118">
        <v>41334</v>
      </c>
      <c r="AX65" s="118">
        <v>41579</v>
      </c>
      <c r="AY65" s="118" t="s">
        <v>150</v>
      </c>
      <c r="AZ65" s="118"/>
      <c r="BA65" s="118"/>
      <c r="BB65" s="118"/>
      <c r="BC65" s="118"/>
      <c r="BD65" s="118"/>
      <c r="BE65" s="119"/>
      <c r="BF65" s="118">
        <v>42583</v>
      </c>
      <c r="BG65" s="118" t="s">
        <v>163</v>
      </c>
      <c r="BH65" s="118">
        <v>42793</v>
      </c>
      <c r="BI65" s="118" t="s">
        <v>163</v>
      </c>
      <c r="BJ65" s="117"/>
      <c r="BK65" s="117"/>
      <c r="BL65" s="117"/>
      <c r="BM65" s="120"/>
      <c r="BN65" s="125" t="s">
        <v>17</v>
      </c>
      <c r="BO65" s="224"/>
      <c r="BP65" s="116"/>
      <c r="BQ65" s="116"/>
      <c r="BR65" s="116">
        <v>0</v>
      </c>
      <c r="BS65" s="116">
        <v>0</v>
      </c>
      <c r="BT65" s="116">
        <v>0</v>
      </c>
      <c r="BU65" s="116">
        <v>0</v>
      </c>
      <c r="BV65" s="116">
        <v>0</v>
      </c>
      <c r="BW65" s="116">
        <v>0</v>
      </c>
      <c r="BX65" s="116">
        <v>0</v>
      </c>
      <c r="BY65" s="116" t="s">
        <v>1036</v>
      </c>
      <c r="BZ65" s="116">
        <v>0</v>
      </c>
      <c r="CA65" s="116"/>
      <c r="CB65" s="122"/>
      <c r="CC65" s="122"/>
      <c r="CD65" s="116"/>
      <c r="CE65" s="116" t="s">
        <v>163</v>
      </c>
      <c r="CF65" s="116"/>
      <c r="CG65" s="116"/>
      <c r="CH65" s="372" t="s">
        <v>168</v>
      </c>
      <c r="CI65" s="116" t="s">
        <v>168</v>
      </c>
      <c r="CJ65" s="116"/>
      <c r="CK65" s="116" t="s">
        <v>809</v>
      </c>
    </row>
    <row r="66" spans="1:89" ht="24.95" customHeight="1">
      <c r="A66" s="116">
        <v>68</v>
      </c>
      <c r="B66" s="116" t="s">
        <v>1037</v>
      </c>
      <c r="C66" s="116" t="s">
        <v>1038</v>
      </c>
      <c r="D66" s="116"/>
      <c r="E66" s="116" t="s">
        <v>1039</v>
      </c>
      <c r="F66" s="116" t="s">
        <v>25</v>
      </c>
      <c r="G66" s="116">
        <v>3</v>
      </c>
      <c r="H66" s="116" t="s">
        <v>53</v>
      </c>
      <c r="I66" s="116" t="s">
        <v>46</v>
      </c>
      <c r="J66" s="116" t="s">
        <v>602</v>
      </c>
      <c r="K66" s="116" t="s">
        <v>602</v>
      </c>
      <c r="L66" s="116" t="s">
        <v>44</v>
      </c>
      <c r="M66" s="116" t="s">
        <v>150</v>
      </c>
      <c r="N66" s="231" t="s">
        <v>1040</v>
      </c>
      <c r="O66" s="228"/>
      <c r="P66" s="22" t="s">
        <v>151</v>
      </c>
      <c r="Q66" s="116" t="s">
        <v>151</v>
      </c>
      <c r="R66" s="126" t="s">
        <v>1041</v>
      </c>
      <c r="S66" s="116" t="s">
        <v>1042</v>
      </c>
      <c r="T66" s="342" t="s">
        <v>1043</v>
      </c>
      <c r="U66" s="117" t="s">
        <v>817</v>
      </c>
      <c r="V66" s="117">
        <v>28167</v>
      </c>
      <c r="W66" s="121" t="s">
        <v>1044</v>
      </c>
      <c r="X66" s="121" t="s">
        <v>179</v>
      </c>
      <c r="Y66" s="121" t="s">
        <v>157</v>
      </c>
      <c r="Z66" s="121" t="s">
        <v>158</v>
      </c>
      <c r="AA66" s="116">
        <v>8.5</v>
      </c>
      <c r="AB66" s="117">
        <v>41579</v>
      </c>
      <c r="AC66" s="283">
        <v>41334</v>
      </c>
      <c r="AD66" s="117"/>
      <c r="AE66" s="20" t="s">
        <v>1045</v>
      </c>
      <c r="AF66" s="20" t="s">
        <v>1046</v>
      </c>
      <c r="AG66" s="20"/>
      <c r="AH66" s="116">
        <f t="shared" si="16"/>
        <v>2</v>
      </c>
      <c r="AI66" s="20" t="s">
        <v>161</v>
      </c>
      <c r="AJ66" s="20" t="s">
        <v>161</v>
      </c>
      <c r="AK66" s="20"/>
      <c r="AL66" s="20" t="s">
        <v>163</v>
      </c>
      <c r="AM66" s="20" t="s">
        <v>163</v>
      </c>
      <c r="AN66" s="20"/>
      <c r="AO66" s="20" t="s">
        <v>164</v>
      </c>
      <c r="AP66" s="20" t="s">
        <v>203</v>
      </c>
      <c r="AQ66" s="20" t="s">
        <v>217</v>
      </c>
      <c r="AR66" s="20" t="s">
        <v>150</v>
      </c>
      <c r="AS66" s="20"/>
      <c r="AT66" s="405" t="s">
        <v>298</v>
      </c>
      <c r="AU66" s="116" t="s">
        <v>1047</v>
      </c>
      <c r="AV66" s="117"/>
      <c r="AW66" s="118">
        <v>41334</v>
      </c>
      <c r="AX66" s="118">
        <v>41579</v>
      </c>
      <c r="AY66" s="118" t="s">
        <v>150</v>
      </c>
      <c r="AZ66" s="118">
        <v>41415</v>
      </c>
      <c r="BA66" s="118">
        <v>41700</v>
      </c>
      <c r="BB66" s="118"/>
      <c r="BC66" s="118"/>
      <c r="BD66" s="118"/>
      <c r="BE66" s="119" t="s">
        <v>1048</v>
      </c>
      <c r="BF66" s="118">
        <v>42217</v>
      </c>
      <c r="BG66" s="118" t="s">
        <v>150</v>
      </c>
      <c r="BH66" s="118">
        <v>42428</v>
      </c>
      <c r="BI66" s="118" t="s">
        <v>150</v>
      </c>
      <c r="BJ66" s="117"/>
      <c r="BK66" s="117"/>
      <c r="BL66" s="117"/>
      <c r="BM66" s="120">
        <v>43568</v>
      </c>
      <c r="BN66" s="116" t="s">
        <v>16</v>
      </c>
      <c r="BO66" s="224">
        <f>DATEDIF(AW66,BM66, "M")+1</f>
        <v>74</v>
      </c>
      <c r="BP66" s="116">
        <f>DATEDIF(AX66,BM66, "M")+1</f>
        <v>66</v>
      </c>
      <c r="BQ66" s="116"/>
      <c r="BR66" s="116">
        <v>1</v>
      </c>
      <c r="BS66" s="116">
        <v>16</v>
      </c>
      <c r="BT66" s="116">
        <v>5</v>
      </c>
      <c r="BU66" s="116">
        <v>5</v>
      </c>
      <c r="BV66" s="116">
        <v>1</v>
      </c>
      <c r="BW66" s="116">
        <v>0</v>
      </c>
      <c r="BX66" s="116">
        <v>0</v>
      </c>
      <c r="BY66" s="116" t="s">
        <v>163</v>
      </c>
      <c r="BZ66" s="116">
        <v>0</v>
      </c>
      <c r="CA66" s="116"/>
      <c r="CB66" s="122"/>
      <c r="CC66" s="122"/>
      <c r="CD66" s="116"/>
      <c r="CE66" s="116" t="s">
        <v>163</v>
      </c>
      <c r="CF66" s="116"/>
      <c r="CG66" s="116"/>
      <c r="CH66" s="372">
        <v>1</v>
      </c>
      <c r="CI66" s="116">
        <v>3</v>
      </c>
      <c r="CJ66" s="116"/>
      <c r="CK66" s="116" t="s">
        <v>809</v>
      </c>
    </row>
    <row r="67" spans="1:89" ht="24.95" customHeight="1">
      <c r="A67" s="91">
        <v>70</v>
      </c>
      <c r="B67" s="91" t="s">
        <v>1049</v>
      </c>
      <c r="C67" s="91" t="s">
        <v>1050</v>
      </c>
      <c r="D67" s="91"/>
      <c r="E67" s="91" t="s">
        <v>1051</v>
      </c>
      <c r="F67" s="91" t="s">
        <v>25</v>
      </c>
      <c r="G67" s="91">
        <v>3</v>
      </c>
      <c r="H67" s="91" t="s">
        <v>58</v>
      </c>
      <c r="I67" s="91" t="s">
        <v>45</v>
      </c>
      <c r="J67" s="91"/>
      <c r="K67" s="91"/>
      <c r="L67" s="91" t="s">
        <v>45</v>
      </c>
      <c r="M67" s="91" t="s">
        <v>163</v>
      </c>
      <c r="N67" s="91" t="s">
        <v>168</v>
      </c>
      <c r="O67" s="91" t="s">
        <v>168</v>
      </c>
      <c r="P67" s="91" t="s">
        <v>168</v>
      </c>
      <c r="Q67" s="91" t="s">
        <v>168</v>
      </c>
      <c r="R67" s="91"/>
      <c r="S67" s="91"/>
      <c r="T67" s="341"/>
      <c r="U67" s="92"/>
      <c r="V67" s="92"/>
      <c r="W67" s="164"/>
      <c r="X67" s="164"/>
      <c r="Y67" s="164"/>
      <c r="Z67" s="164"/>
      <c r="AA67" s="91"/>
      <c r="AB67" s="92"/>
      <c r="AC67" s="281">
        <v>41334</v>
      </c>
      <c r="AD67" s="92">
        <v>42004</v>
      </c>
      <c r="AE67" s="92"/>
      <c r="AF67" s="92"/>
      <c r="AG67" s="92"/>
      <c r="AH67" s="91">
        <f t="shared" si="16"/>
        <v>0</v>
      </c>
      <c r="AI67" s="92"/>
      <c r="AJ67" s="92"/>
      <c r="AK67" s="92"/>
      <c r="AL67" s="92"/>
      <c r="AM67" s="92"/>
      <c r="AN67" s="92"/>
      <c r="AO67" s="92"/>
      <c r="AP67" s="92"/>
      <c r="AQ67" s="92"/>
      <c r="AR67" s="92"/>
      <c r="AS67" s="92"/>
      <c r="AT67" s="400"/>
      <c r="AU67" s="91"/>
      <c r="AV67" s="92"/>
      <c r="AW67" s="93">
        <v>41334</v>
      </c>
      <c r="AX67" s="93"/>
      <c r="AY67" s="93"/>
      <c r="AZ67" s="93"/>
      <c r="BA67" s="93"/>
      <c r="BB67" s="93"/>
      <c r="BC67" s="93"/>
      <c r="BD67" s="93"/>
      <c r="BE67" s="94"/>
      <c r="BF67" s="93"/>
      <c r="BG67" s="93"/>
      <c r="BH67" s="93"/>
      <c r="BI67" s="93"/>
      <c r="BJ67" s="92"/>
      <c r="BK67" s="92"/>
      <c r="BL67" s="92"/>
      <c r="BM67" s="92"/>
      <c r="BN67" s="115" t="s">
        <v>18</v>
      </c>
      <c r="BO67" s="218" t="s">
        <v>18</v>
      </c>
      <c r="BP67" s="218"/>
      <c r="BQ67" s="91"/>
      <c r="BR67" s="91"/>
      <c r="BS67" s="91"/>
      <c r="BT67" s="91"/>
      <c r="BU67" s="91"/>
      <c r="BV67" s="91"/>
      <c r="BW67" s="91"/>
      <c r="BX67" s="91"/>
      <c r="BY67" s="91" t="s">
        <v>163</v>
      </c>
      <c r="BZ67" s="91"/>
      <c r="CA67" s="91"/>
      <c r="CB67" s="95"/>
      <c r="CC67" s="95"/>
      <c r="CD67" s="91"/>
      <c r="CE67" s="91"/>
      <c r="CF67" s="91"/>
      <c r="CG67" s="91"/>
      <c r="CH67" s="113"/>
      <c r="CI67" s="91"/>
      <c r="CJ67" s="91"/>
      <c r="CK67" s="91" t="s">
        <v>168</v>
      </c>
    </row>
    <row r="68" spans="1:89" ht="24.95" customHeight="1">
      <c r="A68" s="129">
        <v>71</v>
      </c>
      <c r="B68" s="129" t="s">
        <v>1052</v>
      </c>
      <c r="C68" s="129" t="s">
        <v>1053</v>
      </c>
      <c r="D68" s="129" t="s">
        <v>619</v>
      </c>
      <c r="E68" s="129" t="s">
        <v>1054</v>
      </c>
      <c r="F68" s="129" t="s">
        <v>25</v>
      </c>
      <c r="G68" s="129">
        <v>4</v>
      </c>
      <c r="H68" s="129" t="s">
        <v>54</v>
      </c>
      <c r="I68" s="129" t="s">
        <v>31</v>
      </c>
      <c r="J68" s="129" t="s">
        <v>1055</v>
      </c>
      <c r="K68" s="129" t="s">
        <v>1056</v>
      </c>
      <c r="L68" s="129" t="s">
        <v>42</v>
      </c>
      <c r="M68" s="129" t="s">
        <v>163</v>
      </c>
      <c r="N68" s="232" t="s">
        <v>1057</v>
      </c>
      <c r="O68" s="48" t="s">
        <v>151</v>
      </c>
      <c r="P68" s="48" t="s">
        <v>151</v>
      </c>
      <c r="Q68" s="129"/>
      <c r="R68" s="129" t="s">
        <v>1058</v>
      </c>
      <c r="S68" s="130" t="s">
        <v>1059</v>
      </c>
      <c r="T68" s="344" t="s">
        <v>1060</v>
      </c>
      <c r="U68" s="131" t="s">
        <v>1061</v>
      </c>
      <c r="V68" s="131">
        <v>27906</v>
      </c>
      <c r="W68" s="233" t="s">
        <v>1062</v>
      </c>
      <c r="X68" s="233" t="s">
        <v>179</v>
      </c>
      <c r="Y68" s="233" t="s">
        <v>163</v>
      </c>
      <c r="Z68" s="233" t="s">
        <v>158</v>
      </c>
      <c r="AA68" s="129">
        <v>33</v>
      </c>
      <c r="AB68" s="131">
        <v>42277</v>
      </c>
      <c r="AC68" s="284">
        <v>41699</v>
      </c>
      <c r="AD68" s="131"/>
      <c r="AE68" s="129" t="s">
        <v>1063</v>
      </c>
      <c r="AF68" s="132" t="s">
        <v>1064</v>
      </c>
      <c r="AG68" s="132"/>
      <c r="AH68" s="129">
        <f t="shared" si="16"/>
        <v>2</v>
      </c>
      <c r="AI68" s="234" t="s">
        <v>162</v>
      </c>
      <c r="AJ68" s="132"/>
      <c r="AK68" s="132"/>
      <c r="AL68" s="132" t="s">
        <v>150</v>
      </c>
      <c r="AM68" s="132"/>
      <c r="AN68" s="132"/>
      <c r="AO68" s="132" t="s">
        <v>164</v>
      </c>
      <c r="AP68" s="132" t="s">
        <v>999</v>
      </c>
      <c r="AQ68" s="132" t="s">
        <v>445</v>
      </c>
      <c r="AR68" s="132" t="s">
        <v>150</v>
      </c>
      <c r="AS68" s="132"/>
      <c r="AT68" s="410" t="s">
        <v>328</v>
      </c>
      <c r="AU68" s="129" t="s">
        <v>1065</v>
      </c>
      <c r="AV68" s="131"/>
      <c r="AW68" s="133">
        <v>41700</v>
      </c>
      <c r="AX68" s="133">
        <v>41946</v>
      </c>
      <c r="AY68" s="133" t="s">
        <v>150</v>
      </c>
      <c r="AZ68" s="133"/>
      <c r="BA68" s="133"/>
      <c r="BB68" s="133"/>
      <c r="BC68" s="133"/>
      <c r="BD68" s="133"/>
      <c r="BE68" s="134" t="s">
        <v>1066</v>
      </c>
      <c r="BF68" s="133">
        <v>42585</v>
      </c>
      <c r="BG68" s="133" t="s">
        <v>150</v>
      </c>
      <c r="BH68" s="133">
        <v>42793</v>
      </c>
      <c r="BI68" s="133" t="s">
        <v>150</v>
      </c>
      <c r="BJ68" s="131">
        <v>42951</v>
      </c>
      <c r="BK68" s="131"/>
      <c r="BL68" s="131"/>
      <c r="BM68" s="135">
        <v>43089</v>
      </c>
      <c r="BN68" s="136" t="s">
        <v>16</v>
      </c>
      <c r="BO68" s="235">
        <f>DATEDIF(AW68,BM68, "M")+1</f>
        <v>46</v>
      </c>
      <c r="BP68" s="136">
        <f t="shared" ref="BP68:BP82" si="17">DATEDIF(AX68,BM68, "M")+1</f>
        <v>38</v>
      </c>
      <c r="BQ68" s="129"/>
      <c r="BR68" s="129">
        <v>2</v>
      </c>
      <c r="BS68" s="129">
        <v>0</v>
      </c>
      <c r="BT68" s="129">
        <v>2</v>
      </c>
      <c r="BU68" s="129">
        <v>3</v>
      </c>
      <c r="BV68" s="129">
        <v>1</v>
      </c>
      <c r="BW68" s="129">
        <v>0</v>
      </c>
      <c r="BX68" s="129">
        <v>1</v>
      </c>
      <c r="BY68" s="129" t="s">
        <v>163</v>
      </c>
      <c r="BZ68" s="129">
        <v>0</v>
      </c>
      <c r="CA68" s="129"/>
      <c r="CB68" s="137"/>
      <c r="CC68" s="137"/>
      <c r="CD68" s="129"/>
      <c r="CE68" s="129" t="s">
        <v>163</v>
      </c>
      <c r="CF68" s="129"/>
      <c r="CG68" s="129"/>
      <c r="CH68" s="373">
        <v>2</v>
      </c>
      <c r="CI68" s="136">
        <v>3</v>
      </c>
      <c r="CJ68" s="136">
        <v>2</v>
      </c>
      <c r="CK68" s="136" t="s">
        <v>500</v>
      </c>
    </row>
    <row r="69" spans="1:89" ht="24.95" customHeight="1">
      <c r="A69" s="136">
        <v>72</v>
      </c>
      <c r="B69" s="136" t="s">
        <v>1067</v>
      </c>
      <c r="C69" s="136" t="s">
        <v>1068</v>
      </c>
      <c r="D69" s="136" t="s">
        <v>1069</v>
      </c>
      <c r="E69" s="136" t="s">
        <v>1070</v>
      </c>
      <c r="F69" s="136" t="s">
        <v>25</v>
      </c>
      <c r="G69" s="136">
        <v>4</v>
      </c>
      <c r="H69" s="129" t="s">
        <v>58</v>
      </c>
      <c r="I69" s="129" t="s">
        <v>45</v>
      </c>
      <c r="J69" s="129" t="s">
        <v>1071</v>
      </c>
      <c r="K69" s="129" t="s">
        <v>1072</v>
      </c>
      <c r="L69" s="129" t="s">
        <v>45</v>
      </c>
      <c r="M69" s="129" t="s">
        <v>150</v>
      </c>
      <c r="N69" s="136">
        <v>769258</v>
      </c>
      <c r="O69" s="236" t="s">
        <v>151</v>
      </c>
      <c r="P69" s="237" t="s">
        <v>151</v>
      </c>
      <c r="Q69" s="136" t="s">
        <v>151</v>
      </c>
      <c r="R69" s="136" t="s">
        <v>1073</v>
      </c>
      <c r="S69" s="136" t="s">
        <v>1074</v>
      </c>
      <c r="T69" s="345" t="s">
        <v>1075</v>
      </c>
      <c r="U69" s="139" t="s">
        <v>817</v>
      </c>
      <c r="V69" s="139">
        <v>29840</v>
      </c>
      <c r="W69" s="147" t="s">
        <v>1076</v>
      </c>
      <c r="X69" s="147" t="s">
        <v>156</v>
      </c>
      <c r="Y69" s="147" t="s">
        <v>157</v>
      </c>
      <c r="Z69" s="147" t="s">
        <v>158</v>
      </c>
      <c r="AA69" s="136">
        <v>6</v>
      </c>
      <c r="AB69" s="139">
        <v>42809</v>
      </c>
      <c r="AC69" s="285">
        <v>41699</v>
      </c>
      <c r="AD69" s="139"/>
      <c r="AE69" s="28" t="s">
        <v>1077</v>
      </c>
      <c r="AF69" s="136"/>
      <c r="AG69" s="136"/>
      <c r="AH69" s="136">
        <f t="shared" si="16"/>
        <v>1</v>
      </c>
      <c r="AI69" s="27" t="s">
        <v>161</v>
      </c>
      <c r="AJ69" s="136"/>
      <c r="AK69" s="136"/>
      <c r="AL69" s="136" t="s">
        <v>150</v>
      </c>
      <c r="AM69" s="136"/>
      <c r="AN69" s="136"/>
      <c r="AO69" s="136" t="s">
        <v>182</v>
      </c>
      <c r="AP69" s="136" t="s">
        <v>182</v>
      </c>
      <c r="AQ69" s="136" t="s">
        <v>1078</v>
      </c>
      <c r="AR69" s="136" t="s">
        <v>150</v>
      </c>
      <c r="AS69" s="136"/>
      <c r="AT69" s="26" t="s">
        <v>372</v>
      </c>
      <c r="AU69" s="136" t="s">
        <v>1079</v>
      </c>
      <c r="AV69" s="139"/>
      <c r="AW69" s="141">
        <v>41700</v>
      </c>
      <c r="AX69" s="141">
        <v>41946</v>
      </c>
      <c r="AY69" s="141" t="s">
        <v>150</v>
      </c>
      <c r="AZ69" s="141">
        <v>42341</v>
      </c>
      <c r="BA69" s="141">
        <v>42579</v>
      </c>
      <c r="BB69" s="141"/>
      <c r="BC69" s="141"/>
      <c r="BD69" s="141"/>
      <c r="BE69" s="142" t="s">
        <v>1080</v>
      </c>
      <c r="BF69" s="141">
        <v>42950</v>
      </c>
      <c r="BG69" s="141" t="s">
        <v>163</v>
      </c>
      <c r="BH69" s="141">
        <v>43164</v>
      </c>
      <c r="BI69" s="141" t="s">
        <v>163</v>
      </c>
      <c r="BJ69" s="139"/>
      <c r="BK69" s="139"/>
      <c r="BL69" s="139"/>
      <c r="BM69" s="143">
        <v>43799</v>
      </c>
      <c r="BN69" s="136" t="s">
        <v>16</v>
      </c>
      <c r="BO69" s="235">
        <f t="shared" ref="BO69:BO76" si="18">DATEDIF(AW69,BM69, "M")+1</f>
        <v>69</v>
      </c>
      <c r="BP69" s="136">
        <f t="shared" si="17"/>
        <v>61</v>
      </c>
      <c r="BQ69" s="136"/>
      <c r="BR69" s="136">
        <v>1</v>
      </c>
      <c r="BS69" s="136">
        <v>17</v>
      </c>
      <c r="BT69" s="136">
        <v>11</v>
      </c>
      <c r="BU69" s="136">
        <v>4</v>
      </c>
      <c r="BV69" s="136">
        <v>0</v>
      </c>
      <c r="BW69" s="136">
        <v>0</v>
      </c>
      <c r="BX69" s="136">
        <v>0</v>
      </c>
      <c r="BY69" s="136" t="s">
        <v>163</v>
      </c>
      <c r="BZ69" s="136">
        <v>0</v>
      </c>
      <c r="CA69" s="136"/>
      <c r="CB69" s="144"/>
      <c r="CC69" s="144"/>
      <c r="CD69" s="136"/>
      <c r="CE69" s="136" t="s">
        <v>163</v>
      </c>
      <c r="CF69" s="136"/>
      <c r="CG69" s="136"/>
      <c r="CH69" s="374">
        <v>1</v>
      </c>
      <c r="CI69" s="136" t="s">
        <v>168</v>
      </c>
      <c r="CJ69" s="136"/>
      <c r="CK69" s="136" t="s">
        <v>809</v>
      </c>
    </row>
    <row r="70" spans="1:89" ht="24.95" customHeight="1">
      <c r="A70" s="136">
        <v>73</v>
      </c>
      <c r="B70" s="136" t="s">
        <v>1081</v>
      </c>
      <c r="C70" s="136" t="s">
        <v>1082</v>
      </c>
      <c r="D70" s="136" t="s">
        <v>20</v>
      </c>
      <c r="E70" s="136" t="s">
        <v>1083</v>
      </c>
      <c r="F70" s="136" t="s">
        <v>25</v>
      </c>
      <c r="G70" s="136">
        <v>4</v>
      </c>
      <c r="H70" s="129" t="s">
        <v>60</v>
      </c>
      <c r="I70" s="129" t="s">
        <v>35</v>
      </c>
      <c r="J70" s="129" t="s">
        <v>602</v>
      </c>
      <c r="K70" s="129" t="s">
        <v>1084</v>
      </c>
      <c r="L70" s="129" t="s">
        <v>35</v>
      </c>
      <c r="M70" s="129" t="s">
        <v>150</v>
      </c>
      <c r="N70" s="195" t="s">
        <v>1085</v>
      </c>
      <c r="O70" s="239" t="s">
        <v>151</v>
      </c>
      <c r="P70" s="25" t="s">
        <v>151</v>
      </c>
      <c r="Q70" s="136" t="s">
        <v>151</v>
      </c>
      <c r="R70" s="136" t="s">
        <v>1086</v>
      </c>
      <c r="S70" s="145" t="s">
        <v>1087</v>
      </c>
      <c r="T70" s="345" t="s">
        <v>1088</v>
      </c>
      <c r="U70" s="139" t="s">
        <v>817</v>
      </c>
      <c r="V70" s="139">
        <v>28400</v>
      </c>
      <c r="W70" s="147" t="s">
        <v>1089</v>
      </c>
      <c r="X70" s="147" t="s">
        <v>805</v>
      </c>
      <c r="Y70" s="147" t="s">
        <v>157</v>
      </c>
      <c r="Z70" s="147" t="s">
        <v>158</v>
      </c>
      <c r="AA70" s="136">
        <v>25.5</v>
      </c>
      <c r="AB70" s="139">
        <v>41710</v>
      </c>
      <c r="AC70" s="285">
        <v>41699</v>
      </c>
      <c r="AD70" s="139"/>
      <c r="AE70" s="27" t="s">
        <v>1090</v>
      </c>
      <c r="AF70" s="27" t="s">
        <v>1091</v>
      </c>
      <c r="AG70" s="27" t="s">
        <v>1092</v>
      </c>
      <c r="AH70" s="136">
        <f t="shared" si="16"/>
        <v>3</v>
      </c>
      <c r="AI70" s="27" t="s">
        <v>161</v>
      </c>
      <c r="AJ70" s="146"/>
      <c r="AK70" s="146"/>
      <c r="AL70" s="146" t="s">
        <v>163</v>
      </c>
      <c r="AM70" s="146"/>
      <c r="AN70" s="146"/>
      <c r="AO70" s="146" t="s">
        <v>164</v>
      </c>
      <c r="AP70" s="146" t="s">
        <v>181</v>
      </c>
      <c r="AQ70" s="146" t="s">
        <v>203</v>
      </c>
      <c r="AR70" s="146" t="s">
        <v>163</v>
      </c>
      <c r="AS70" s="146"/>
      <c r="AT70" s="411" t="s">
        <v>552</v>
      </c>
      <c r="AU70" s="136" t="s">
        <v>1093</v>
      </c>
      <c r="AV70" s="139"/>
      <c r="AW70" s="141">
        <v>41700</v>
      </c>
      <c r="AX70" s="141">
        <v>41946</v>
      </c>
      <c r="AY70" s="141" t="s">
        <v>150</v>
      </c>
      <c r="AZ70" s="141"/>
      <c r="BA70" s="141"/>
      <c r="BB70" s="141"/>
      <c r="BC70" s="141"/>
      <c r="BD70" s="141"/>
      <c r="BE70" s="142"/>
      <c r="BF70" s="141">
        <v>42585</v>
      </c>
      <c r="BG70" s="141" t="s">
        <v>150</v>
      </c>
      <c r="BH70" s="141">
        <v>42793</v>
      </c>
      <c r="BI70" s="141" t="s">
        <v>150</v>
      </c>
      <c r="BJ70" s="139"/>
      <c r="BK70" s="139"/>
      <c r="BL70" s="139"/>
      <c r="BM70" s="143">
        <v>42824</v>
      </c>
      <c r="BN70" s="136" t="s">
        <v>16</v>
      </c>
      <c r="BO70" s="235">
        <f t="shared" si="18"/>
        <v>37</v>
      </c>
      <c r="BP70" s="136">
        <f t="shared" si="17"/>
        <v>29</v>
      </c>
      <c r="BQ70" s="136"/>
      <c r="BR70" s="136">
        <v>1</v>
      </c>
      <c r="BS70" s="136">
        <v>4</v>
      </c>
      <c r="BT70" s="136">
        <v>8</v>
      </c>
      <c r="BU70" s="136">
        <v>1</v>
      </c>
      <c r="BV70" s="136">
        <v>0</v>
      </c>
      <c r="BW70" s="136">
        <v>0</v>
      </c>
      <c r="BX70" s="136">
        <v>0</v>
      </c>
      <c r="BY70" s="136" t="s">
        <v>163</v>
      </c>
      <c r="BZ70" s="136">
        <v>0</v>
      </c>
      <c r="CA70" s="136"/>
      <c r="CB70" s="144"/>
      <c r="CC70" s="144"/>
      <c r="CD70" s="136"/>
      <c r="CE70" s="136" t="s">
        <v>163</v>
      </c>
      <c r="CF70" s="136"/>
      <c r="CG70" s="136"/>
      <c r="CH70" s="374">
        <v>3</v>
      </c>
      <c r="CI70" s="136">
        <v>4</v>
      </c>
      <c r="CJ70" s="136"/>
      <c r="CK70" s="136" t="s">
        <v>809</v>
      </c>
    </row>
    <row r="71" spans="1:89" ht="24.95" customHeight="1">
      <c r="A71" s="136">
        <v>74</v>
      </c>
      <c r="B71" s="136" t="s">
        <v>1094</v>
      </c>
      <c r="C71" s="136" t="s">
        <v>1095</v>
      </c>
      <c r="D71" s="136" t="s">
        <v>1096</v>
      </c>
      <c r="E71" s="136" t="s">
        <v>1097</v>
      </c>
      <c r="F71" s="136" t="s">
        <v>24</v>
      </c>
      <c r="G71" s="136">
        <v>4</v>
      </c>
      <c r="H71" s="129" t="s">
        <v>54</v>
      </c>
      <c r="I71" s="129" t="s">
        <v>39</v>
      </c>
      <c r="J71" s="129" t="s">
        <v>1098</v>
      </c>
      <c r="K71" s="129" t="s">
        <v>1099</v>
      </c>
      <c r="L71" s="129" t="s">
        <v>39</v>
      </c>
      <c r="M71" s="129" t="s">
        <v>150</v>
      </c>
      <c r="N71" s="195" t="s">
        <v>1100</v>
      </c>
      <c r="O71" s="239" t="s">
        <v>151</v>
      </c>
      <c r="P71" s="25" t="s">
        <v>151</v>
      </c>
      <c r="Q71" s="136" t="s">
        <v>151</v>
      </c>
      <c r="R71" s="136" t="s">
        <v>1101</v>
      </c>
      <c r="S71" s="136" t="s">
        <v>1102</v>
      </c>
      <c r="T71" s="345" t="s">
        <v>1103</v>
      </c>
      <c r="U71" s="139" t="s">
        <v>1104</v>
      </c>
      <c r="V71" s="139">
        <v>27152</v>
      </c>
      <c r="W71" s="147" t="s">
        <v>1105</v>
      </c>
      <c r="X71" s="147" t="s">
        <v>156</v>
      </c>
      <c r="Y71" s="147" t="s">
        <v>163</v>
      </c>
      <c r="Z71" s="147" t="s">
        <v>158</v>
      </c>
      <c r="AA71" s="136">
        <v>14</v>
      </c>
      <c r="AB71" s="139">
        <v>41348</v>
      </c>
      <c r="AC71" s="285">
        <v>41699</v>
      </c>
      <c r="AD71" s="139"/>
      <c r="AE71" s="136" t="s">
        <v>1106</v>
      </c>
      <c r="AF71" s="136" t="s">
        <v>1107</v>
      </c>
      <c r="AG71" s="146"/>
      <c r="AH71" s="136">
        <f t="shared" si="16"/>
        <v>2</v>
      </c>
      <c r="AI71" s="27" t="s">
        <v>161</v>
      </c>
      <c r="AJ71" s="146"/>
      <c r="AK71" s="146"/>
      <c r="AL71" s="146" t="s">
        <v>150</v>
      </c>
      <c r="AM71" s="146"/>
      <c r="AN71" s="146"/>
      <c r="AO71" s="146" t="s">
        <v>164</v>
      </c>
      <c r="AP71" s="146" t="s">
        <v>203</v>
      </c>
      <c r="AQ71" s="293" t="s">
        <v>217</v>
      </c>
      <c r="AR71" s="146" t="s">
        <v>150</v>
      </c>
      <c r="AS71" s="293" t="s">
        <v>1108</v>
      </c>
      <c r="AT71" s="411" t="s">
        <v>285</v>
      </c>
      <c r="AU71" s="136" t="s">
        <v>1109</v>
      </c>
      <c r="AV71" s="139"/>
      <c r="AW71" s="141">
        <v>41700</v>
      </c>
      <c r="AX71" s="141">
        <v>41946</v>
      </c>
      <c r="AY71" s="141" t="s">
        <v>150</v>
      </c>
      <c r="AZ71" s="141"/>
      <c r="BA71" s="141"/>
      <c r="BB71" s="141"/>
      <c r="BC71" s="141"/>
      <c r="BD71" s="141"/>
      <c r="BE71" s="142" t="s">
        <v>1110</v>
      </c>
      <c r="BF71" s="141">
        <v>42585</v>
      </c>
      <c r="BG71" s="141" t="s">
        <v>150</v>
      </c>
      <c r="BH71" s="141">
        <v>42793</v>
      </c>
      <c r="BI71" s="141" t="s">
        <v>150</v>
      </c>
      <c r="BJ71" s="139"/>
      <c r="BK71" s="139"/>
      <c r="BL71" s="139"/>
      <c r="BM71" s="143">
        <v>42825</v>
      </c>
      <c r="BN71" s="136" t="s">
        <v>16</v>
      </c>
      <c r="BO71" s="235">
        <f t="shared" si="18"/>
        <v>37</v>
      </c>
      <c r="BP71" s="136">
        <f t="shared" si="17"/>
        <v>29</v>
      </c>
      <c r="BQ71" s="147" t="s">
        <v>1110</v>
      </c>
      <c r="BR71" s="136">
        <v>9</v>
      </c>
      <c r="BS71" s="136">
        <v>6</v>
      </c>
      <c r="BT71" s="136">
        <v>15</v>
      </c>
      <c r="BU71" s="136">
        <v>0</v>
      </c>
      <c r="BV71" s="136">
        <v>1</v>
      </c>
      <c r="BW71" s="136">
        <v>0</v>
      </c>
      <c r="BX71" s="136">
        <v>0</v>
      </c>
      <c r="BY71" s="136" t="s">
        <v>163</v>
      </c>
      <c r="BZ71" s="136">
        <v>0</v>
      </c>
      <c r="CA71" s="136"/>
      <c r="CB71" s="144"/>
      <c r="CC71" s="144"/>
      <c r="CD71" s="136"/>
      <c r="CE71" s="136" t="s">
        <v>163</v>
      </c>
      <c r="CF71" s="136"/>
      <c r="CG71" s="136"/>
      <c r="CH71" s="374">
        <v>3</v>
      </c>
      <c r="CI71" s="136">
        <v>3</v>
      </c>
      <c r="CJ71" s="136"/>
      <c r="CK71" s="136" t="s">
        <v>809</v>
      </c>
    </row>
    <row r="72" spans="1:89" ht="24.95" customHeight="1">
      <c r="A72" s="136">
        <v>75</v>
      </c>
      <c r="B72" s="136" t="s">
        <v>1111</v>
      </c>
      <c r="C72" s="136" t="s">
        <v>1112</v>
      </c>
      <c r="D72" s="136" t="s">
        <v>1113</v>
      </c>
      <c r="E72" s="136" t="s">
        <v>1114</v>
      </c>
      <c r="F72" s="136" t="s">
        <v>25</v>
      </c>
      <c r="G72" s="136">
        <v>4</v>
      </c>
      <c r="H72" s="129" t="s">
        <v>54</v>
      </c>
      <c r="I72" s="129" t="s">
        <v>31</v>
      </c>
      <c r="J72" s="129" t="s">
        <v>1115</v>
      </c>
      <c r="K72" s="129" t="s">
        <v>149</v>
      </c>
      <c r="L72" s="129" t="s">
        <v>31</v>
      </c>
      <c r="M72" s="129" t="s">
        <v>150</v>
      </c>
      <c r="N72" s="136">
        <v>65466</v>
      </c>
      <c r="O72" s="236" t="s">
        <v>151</v>
      </c>
      <c r="P72" s="237" t="s">
        <v>151</v>
      </c>
      <c r="Q72" s="136" t="s">
        <v>151</v>
      </c>
      <c r="R72" s="387" t="s">
        <v>1116</v>
      </c>
      <c r="S72" s="136" t="s">
        <v>1117</v>
      </c>
      <c r="T72" s="345" t="s">
        <v>1118</v>
      </c>
      <c r="U72" s="139" t="s">
        <v>154</v>
      </c>
      <c r="V72" s="139">
        <v>27687</v>
      </c>
      <c r="W72" s="147" t="s">
        <v>1119</v>
      </c>
      <c r="X72" s="147" t="s">
        <v>179</v>
      </c>
      <c r="Y72" s="147" t="s">
        <v>163</v>
      </c>
      <c r="Z72" s="147" t="s">
        <v>158</v>
      </c>
      <c r="AA72" s="136">
        <v>3</v>
      </c>
      <c r="AB72" s="139">
        <v>41830</v>
      </c>
      <c r="AC72" s="285">
        <v>41699</v>
      </c>
      <c r="AD72" s="139"/>
      <c r="AE72" s="28" t="s">
        <v>1120</v>
      </c>
      <c r="AF72" s="28" t="s">
        <v>1121</v>
      </c>
      <c r="AG72" s="136"/>
      <c r="AH72" s="136">
        <f t="shared" si="16"/>
        <v>2</v>
      </c>
      <c r="AI72" s="27" t="s">
        <v>161</v>
      </c>
      <c r="AJ72" s="136"/>
      <c r="AK72" s="136"/>
      <c r="AL72" s="136" t="s">
        <v>150</v>
      </c>
      <c r="AM72" s="136"/>
      <c r="AN72" s="136"/>
      <c r="AO72" s="136" t="s">
        <v>164</v>
      </c>
      <c r="AP72" s="136" t="s">
        <v>203</v>
      </c>
      <c r="AQ72" s="147" t="s">
        <v>1122</v>
      </c>
      <c r="AR72" s="136" t="s">
        <v>150</v>
      </c>
      <c r="AS72" s="136"/>
      <c r="AT72" s="26" t="s">
        <v>328</v>
      </c>
      <c r="AU72" s="136" t="s">
        <v>1123</v>
      </c>
      <c r="AV72" s="139"/>
      <c r="AW72" s="141">
        <v>41700</v>
      </c>
      <c r="AX72" s="141">
        <v>41946</v>
      </c>
      <c r="AY72" s="141" t="s">
        <v>150</v>
      </c>
      <c r="AZ72" s="141">
        <v>42866</v>
      </c>
      <c r="BA72" s="141">
        <v>42829</v>
      </c>
      <c r="BB72" s="141">
        <v>42863</v>
      </c>
      <c r="BC72" s="141"/>
      <c r="BD72" s="141"/>
      <c r="BE72" s="142" t="s">
        <v>1124</v>
      </c>
      <c r="BF72" s="141">
        <v>42950</v>
      </c>
      <c r="BG72" s="141" t="s">
        <v>163</v>
      </c>
      <c r="BH72" s="141">
        <v>43164</v>
      </c>
      <c r="BI72" s="141" t="s">
        <v>163</v>
      </c>
      <c r="BJ72" s="139"/>
      <c r="BK72" s="139"/>
      <c r="BL72" s="139"/>
      <c r="BM72" s="143">
        <v>44260</v>
      </c>
      <c r="BN72" s="136" t="s">
        <v>16</v>
      </c>
      <c r="BO72" s="235">
        <f t="shared" si="18"/>
        <v>85</v>
      </c>
      <c r="BP72" s="136">
        <f t="shared" si="17"/>
        <v>77</v>
      </c>
      <c r="BQ72" s="136"/>
      <c r="BR72" s="136">
        <v>14</v>
      </c>
      <c r="BS72" s="136">
        <v>17</v>
      </c>
      <c r="BT72" s="136">
        <v>2</v>
      </c>
      <c r="BU72" s="136">
        <v>5</v>
      </c>
      <c r="BV72" s="136">
        <v>5</v>
      </c>
      <c r="BW72" s="136">
        <v>0</v>
      </c>
      <c r="BX72" s="136">
        <v>0</v>
      </c>
      <c r="BY72" s="136" t="s">
        <v>163</v>
      </c>
      <c r="BZ72" s="136">
        <v>0</v>
      </c>
      <c r="CA72" s="136"/>
      <c r="CB72" s="144"/>
      <c r="CC72" s="144"/>
      <c r="CD72" s="136"/>
      <c r="CE72" s="136" t="s">
        <v>163</v>
      </c>
      <c r="CF72" s="136"/>
      <c r="CG72" s="136"/>
      <c r="CH72" s="374">
        <v>2</v>
      </c>
      <c r="CI72" s="136">
        <v>2</v>
      </c>
      <c r="CJ72" s="136"/>
      <c r="CK72" s="136" t="s">
        <v>538</v>
      </c>
    </row>
    <row r="73" spans="1:89" ht="24.95" customHeight="1">
      <c r="A73" s="136">
        <v>76</v>
      </c>
      <c r="B73" s="136" t="s">
        <v>1125</v>
      </c>
      <c r="C73" s="136" t="s">
        <v>1126</v>
      </c>
      <c r="D73" s="136" t="s">
        <v>20</v>
      </c>
      <c r="E73" s="136" t="s">
        <v>1127</v>
      </c>
      <c r="F73" s="136" t="s">
        <v>25</v>
      </c>
      <c r="G73" s="136">
        <v>4</v>
      </c>
      <c r="H73" s="129" t="s">
        <v>60</v>
      </c>
      <c r="I73" s="129" t="s">
        <v>35</v>
      </c>
      <c r="J73" s="129" t="s">
        <v>1128</v>
      </c>
      <c r="K73" s="129" t="s">
        <v>1129</v>
      </c>
      <c r="L73" s="129" t="s">
        <v>45</v>
      </c>
      <c r="M73" s="129" t="s">
        <v>163</v>
      </c>
      <c r="N73" s="136">
        <v>1018550</v>
      </c>
      <c r="O73" s="236" t="s">
        <v>151</v>
      </c>
      <c r="P73" s="237" t="s">
        <v>151</v>
      </c>
      <c r="Q73" s="136" t="s">
        <v>151</v>
      </c>
      <c r="R73" s="136" t="s">
        <v>1130</v>
      </c>
      <c r="S73" s="136" t="s">
        <v>1131</v>
      </c>
      <c r="T73" s="345" t="s">
        <v>1132</v>
      </c>
      <c r="U73" s="139" t="s">
        <v>1133</v>
      </c>
      <c r="V73" s="139">
        <v>29807</v>
      </c>
      <c r="W73" s="147" t="s">
        <v>1134</v>
      </c>
      <c r="X73" s="147" t="s">
        <v>179</v>
      </c>
      <c r="Y73" s="147" t="s">
        <v>163</v>
      </c>
      <c r="Z73" s="147" t="s">
        <v>158</v>
      </c>
      <c r="AA73" s="136">
        <v>13.5</v>
      </c>
      <c r="AB73" s="139">
        <v>42005</v>
      </c>
      <c r="AC73" s="285">
        <v>41699</v>
      </c>
      <c r="AD73" s="139"/>
      <c r="AE73" s="28" t="s">
        <v>1135</v>
      </c>
      <c r="AF73" s="136" t="s">
        <v>1136</v>
      </c>
      <c r="AG73" s="136" t="s">
        <v>1137</v>
      </c>
      <c r="AH73" s="136">
        <f t="shared" si="16"/>
        <v>3</v>
      </c>
      <c r="AI73" s="27" t="s">
        <v>162</v>
      </c>
      <c r="AJ73" s="136"/>
      <c r="AK73" s="136"/>
      <c r="AL73" s="136" t="s">
        <v>150</v>
      </c>
      <c r="AM73" s="136"/>
      <c r="AN73" s="136"/>
      <c r="AO73" s="136" t="s">
        <v>164</v>
      </c>
      <c r="AP73" s="136" t="s">
        <v>181</v>
      </c>
      <c r="AQ73" s="136" t="s">
        <v>181</v>
      </c>
      <c r="AR73" s="136" t="s">
        <v>163</v>
      </c>
      <c r="AS73" s="136"/>
      <c r="AT73" s="26" t="s">
        <v>580</v>
      </c>
      <c r="AU73" s="136" t="s">
        <v>1138</v>
      </c>
      <c r="AV73" s="139"/>
      <c r="AW73" s="141">
        <v>41700</v>
      </c>
      <c r="AX73" s="141">
        <v>41946</v>
      </c>
      <c r="AY73" s="141" t="s">
        <v>150</v>
      </c>
      <c r="AZ73" s="141">
        <v>42104</v>
      </c>
      <c r="BA73" s="141">
        <v>42109</v>
      </c>
      <c r="BB73" s="141"/>
      <c r="BC73" s="141"/>
      <c r="BD73" s="141"/>
      <c r="BE73" s="142"/>
      <c r="BF73" s="141">
        <v>42585</v>
      </c>
      <c r="BG73" s="141" t="s">
        <v>150</v>
      </c>
      <c r="BH73" s="141">
        <v>42793</v>
      </c>
      <c r="BI73" s="141" t="s">
        <v>150</v>
      </c>
      <c r="BJ73" s="139"/>
      <c r="BK73" s="139"/>
      <c r="BL73" s="139"/>
      <c r="BM73" s="143">
        <v>44365</v>
      </c>
      <c r="BN73" s="136" t="s">
        <v>16</v>
      </c>
      <c r="BO73" s="235">
        <f t="shared" si="18"/>
        <v>88</v>
      </c>
      <c r="BP73" s="136">
        <f t="shared" si="17"/>
        <v>80</v>
      </c>
      <c r="BQ73" s="136" t="s">
        <v>1139</v>
      </c>
      <c r="BR73" s="136">
        <v>1</v>
      </c>
      <c r="BS73" s="136">
        <v>11</v>
      </c>
      <c r="BT73" s="136">
        <v>3</v>
      </c>
      <c r="BU73" s="136">
        <v>2</v>
      </c>
      <c r="BV73" s="136">
        <v>0</v>
      </c>
      <c r="BW73" s="136">
        <v>0</v>
      </c>
      <c r="BX73" s="136">
        <v>0</v>
      </c>
      <c r="BY73" s="136" t="s">
        <v>163</v>
      </c>
      <c r="BZ73" s="136">
        <v>0</v>
      </c>
      <c r="CA73" s="136"/>
      <c r="CB73" s="144"/>
      <c r="CC73" s="144"/>
      <c r="CD73" s="136"/>
      <c r="CE73" s="136" t="s">
        <v>163</v>
      </c>
      <c r="CF73" s="136"/>
      <c r="CG73" s="136"/>
      <c r="CH73" s="374">
        <v>1</v>
      </c>
      <c r="CI73" s="136">
        <v>2</v>
      </c>
      <c r="CJ73" s="136"/>
      <c r="CK73" s="136" t="s">
        <v>809</v>
      </c>
    </row>
    <row r="74" spans="1:89" ht="24.95" customHeight="1">
      <c r="A74" s="136">
        <v>77</v>
      </c>
      <c r="B74" s="136" t="s">
        <v>1140</v>
      </c>
      <c r="C74" s="136" t="s">
        <v>187</v>
      </c>
      <c r="D74" s="136" t="s">
        <v>1141</v>
      </c>
      <c r="E74" s="136" t="s">
        <v>1142</v>
      </c>
      <c r="F74" s="136" t="s">
        <v>24</v>
      </c>
      <c r="G74" s="136">
        <v>4</v>
      </c>
      <c r="H74" s="129" t="s">
        <v>52</v>
      </c>
      <c r="I74" s="129" t="s">
        <v>37</v>
      </c>
      <c r="J74" s="129" t="s">
        <v>1143</v>
      </c>
      <c r="K74" s="129" t="s">
        <v>1144</v>
      </c>
      <c r="L74" s="129" t="s">
        <v>42</v>
      </c>
      <c r="M74" s="129" t="s">
        <v>163</v>
      </c>
      <c r="N74" s="136" t="s">
        <v>1145</v>
      </c>
      <c r="O74" s="236" t="s">
        <v>151</v>
      </c>
      <c r="P74" s="237" t="s">
        <v>151</v>
      </c>
      <c r="Q74" s="237"/>
      <c r="R74" s="136" t="s">
        <v>1146</v>
      </c>
      <c r="S74" s="136" t="s">
        <v>1147</v>
      </c>
      <c r="T74" s="345" t="s">
        <v>1148</v>
      </c>
      <c r="U74" s="139" t="s">
        <v>817</v>
      </c>
      <c r="V74" s="139">
        <v>29345</v>
      </c>
      <c r="W74" s="147" t="s">
        <v>1149</v>
      </c>
      <c r="X74" s="147" t="s">
        <v>179</v>
      </c>
      <c r="Y74" s="147" t="s">
        <v>163</v>
      </c>
      <c r="Z74" s="147" t="s">
        <v>158</v>
      </c>
      <c r="AA74" s="136">
        <v>17</v>
      </c>
      <c r="AB74" s="139">
        <v>41730</v>
      </c>
      <c r="AC74" s="285">
        <v>41699</v>
      </c>
      <c r="AD74" s="139"/>
      <c r="AE74" s="136" t="s">
        <v>1150</v>
      </c>
      <c r="AF74" s="136" t="s">
        <v>1151</v>
      </c>
      <c r="AG74" s="136" t="s">
        <v>1152</v>
      </c>
      <c r="AH74" s="136">
        <f>COUNTA(AF74:AG74)</f>
        <v>2</v>
      </c>
      <c r="AI74" s="27" t="s">
        <v>162</v>
      </c>
      <c r="AJ74" s="136"/>
      <c r="AK74" s="136"/>
      <c r="AL74" s="136" t="s">
        <v>150</v>
      </c>
      <c r="AM74" s="136"/>
      <c r="AN74" s="136"/>
      <c r="AO74" s="136" t="s">
        <v>164</v>
      </c>
      <c r="AP74" s="136" t="s">
        <v>1153</v>
      </c>
      <c r="AQ74" s="136" t="s">
        <v>203</v>
      </c>
      <c r="AR74" s="136" t="s">
        <v>150</v>
      </c>
      <c r="AS74" s="136"/>
      <c r="AT74" s="26" t="s">
        <v>204</v>
      </c>
      <c r="AU74" s="136" t="s">
        <v>1154</v>
      </c>
      <c r="AV74" s="139"/>
      <c r="AW74" s="141">
        <v>41700</v>
      </c>
      <c r="AX74" s="141">
        <v>41946</v>
      </c>
      <c r="AY74" s="141" t="s">
        <v>150</v>
      </c>
      <c r="AZ74" s="141">
        <v>42047</v>
      </c>
      <c r="BA74" s="141">
        <v>42073</v>
      </c>
      <c r="BB74" s="141"/>
      <c r="BC74" s="141"/>
      <c r="BD74" s="141"/>
      <c r="BE74" s="142" t="s">
        <v>1155</v>
      </c>
      <c r="BF74" s="141">
        <v>42585</v>
      </c>
      <c r="BG74" s="141" t="s">
        <v>150</v>
      </c>
      <c r="BH74" s="141">
        <v>42793</v>
      </c>
      <c r="BI74" s="141" t="s">
        <v>150</v>
      </c>
      <c r="BJ74" s="139"/>
      <c r="BK74" s="139"/>
      <c r="BL74" s="139"/>
      <c r="BM74" s="143">
        <v>44442</v>
      </c>
      <c r="BN74" s="136" t="s">
        <v>16</v>
      </c>
      <c r="BO74" s="235">
        <f t="shared" si="18"/>
        <v>91</v>
      </c>
      <c r="BP74" s="136">
        <f t="shared" si="17"/>
        <v>83</v>
      </c>
      <c r="BQ74" s="136"/>
      <c r="BR74" s="136">
        <v>0</v>
      </c>
      <c r="BS74" s="136">
        <v>0</v>
      </c>
      <c r="BT74" s="136">
        <v>0</v>
      </c>
      <c r="BU74" s="136">
        <v>0</v>
      </c>
      <c r="BV74" s="136">
        <v>0</v>
      </c>
      <c r="BW74" s="136">
        <v>0</v>
      </c>
      <c r="BX74" s="136">
        <v>0</v>
      </c>
      <c r="BY74" s="136" t="s">
        <v>1156</v>
      </c>
      <c r="BZ74" s="136">
        <v>0</v>
      </c>
      <c r="CA74" s="136"/>
      <c r="CB74" s="144"/>
      <c r="CC74" s="144"/>
      <c r="CD74" s="136"/>
      <c r="CE74" s="136" t="s">
        <v>163</v>
      </c>
      <c r="CF74" s="136"/>
      <c r="CG74" s="136"/>
      <c r="CH74" s="374">
        <v>1</v>
      </c>
      <c r="CI74" s="136">
        <v>2</v>
      </c>
      <c r="CJ74" s="136"/>
      <c r="CK74" s="136" t="s">
        <v>809</v>
      </c>
    </row>
    <row r="75" spans="1:89" ht="24.95" customHeight="1">
      <c r="A75" s="136">
        <v>78</v>
      </c>
      <c r="B75" s="136" t="s">
        <v>1157</v>
      </c>
      <c r="C75" s="136" t="s">
        <v>1158</v>
      </c>
      <c r="D75" s="136"/>
      <c r="E75" s="136" t="s">
        <v>1159</v>
      </c>
      <c r="F75" s="136" t="s">
        <v>25</v>
      </c>
      <c r="G75" s="136">
        <v>4</v>
      </c>
      <c r="H75" s="129" t="s">
        <v>58</v>
      </c>
      <c r="I75" s="129" t="s">
        <v>45</v>
      </c>
      <c r="J75" s="129" t="s">
        <v>1160</v>
      </c>
      <c r="K75" s="129" t="s">
        <v>1161</v>
      </c>
      <c r="L75" s="129" t="s">
        <v>45</v>
      </c>
      <c r="M75" s="129" t="s">
        <v>150</v>
      </c>
      <c r="N75" s="136"/>
      <c r="O75" s="236" t="s">
        <v>151</v>
      </c>
      <c r="P75" s="236" t="s">
        <v>151</v>
      </c>
      <c r="Q75" s="136" t="s">
        <v>151</v>
      </c>
      <c r="R75" s="136" t="s">
        <v>1162</v>
      </c>
      <c r="S75" s="136" t="s">
        <v>1163</v>
      </c>
      <c r="T75" s="346">
        <v>27716861252</v>
      </c>
      <c r="U75" s="139" t="s">
        <v>1164</v>
      </c>
      <c r="V75" s="139">
        <v>29781</v>
      </c>
      <c r="W75" s="147" t="s">
        <v>1165</v>
      </c>
      <c r="X75" s="147" t="s">
        <v>156</v>
      </c>
      <c r="Y75" s="147" t="s">
        <v>163</v>
      </c>
      <c r="Z75" s="147" t="s">
        <v>158</v>
      </c>
      <c r="AA75" s="136">
        <v>12</v>
      </c>
      <c r="AB75" s="139">
        <v>41617</v>
      </c>
      <c r="AC75" s="285">
        <v>41699</v>
      </c>
      <c r="AD75" s="139"/>
      <c r="AE75" s="28" t="s">
        <v>1166</v>
      </c>
      <c r="AF75" s="136"/>
      <c r="AG75" s="136"/>
      <c r="AH75" s="136">
        <f t="shared" si="16"/>
        <v>1</v>
      </c>
      <c r="AI75" s="27" t="s">
        <v>161</v>
      </c>
      <c r="AJ75" s="136"/>
      <c r="AK75" s="136"/>
      <c r="AL75" s="136" t="s">
        <v>163</v>
      </c>
      <c r="AM75" s="136"/>
      <c r="AN75" s="136"/>
      <c r="AO75" s="136" t="s">
        <v>164</v>
      </c>
      <c r="AP75" s="136" t="s">
        <v>203</v>
      </c>
      <c r="AQ75" s="136"/>
      <c r="AR75" s="136"/>
      <c r="AS75" s="136"/>
      <c r="AT75" s="26" t="s">
        <v>372</v>
      </c>
      <c r="AU75" s="136" t="s">
        <v>1167</v>
      </c>
      <c r="AV75" s="139"/>
      <c r="AW75" s="141">
        <v>41700</v>
      </c>
      <c r="AX75" s="141">
        <v>41946</v>
      </c>
      <c r="AY75" s="141" t="s">
        <v>150</v>
      </c>
      <c r="AZ75" s="141">
        <v>42846</v>
      </c>
      <c r="BA75" s="141">
        <v>42509</v>
      </c>
      <c r="BB75" s="141"/>
      <c r="BC75" s="141"/>
      <c r="BD75" s="141"/>
      <c r="BE75" s="142" t="s">
        <v>1168</v>
      </c>
      <c r="BF75" s="141">
        <v>43315</v>
      </c>
      <c r="BG75" s="141" t="s">
        <v>163</v>
      </c>
      <c r="BH75" s="141">
        <v>43528</v>
      </c>
      <c r="BI75" s="141" t="s">
        <v>163</v>
      </c>
      <c r="BJ75" s="139"/>
      <c r="BK75" s="139"/>
      <c r="BL75" s="139"/>
      <c r="BM75" s="143">
        <v>44658</v>
      </c>
      <c r="BN75" s="129" t="s">
        <v>16</v>
      </c>
      <c r="BO75" s="235">
        <f t="shared" si="18"/>
        <v>98</v>
      </c>
      <c r="BP75" s="136">
        <f t="shared" si="17"/>
        <v>90</v>
      </c>
      <c r="BQ75" s="136" t="s">
        <v>1169</v>
      </c>
      <c r="BR75" s="136">
        <v>4</v>
      </c>
      <c r="BS75" s="136">
        <v>5</v>
      </c>
      <c r="BT75" s="136">
        <v>0</v>
      </c>
      <c r="BU75" s="136">
        <v>2</v>
      </c>
      <c r="BV75" s="136">
        <v>3</v>
      </c>
      <c r="BW75" s="136">
        <v>0</v>
      </c>
      <c r="BX75" s="136">
        <v>0</v>
      </c>
      <c r="BY75" s="136" t="s">
        <v>163</v>
      </c>
      <c r="BZ75" s="136">
        <v>0</v>
      </c>
      <c r="CA75" s="136"/>
      <c r="CB75" s="144"/>
      <c r="CC75" s="144"/>
      <c r="CD75" s="136"/>
      <c r="CE75" s="136" t="s">
        <v>163</v>
      </c>
      <c r="CF75" s="136"/>
      <c r="CG75" s="136"/>
      <c r="CH75" s="374">
        <v>0</v>
      </c>
      <c r="CI75" s="136">
        <v>1</v>
      </c>
      <c r="CJ75" s="136"/>
      <c r="CK75" s="136" t="s">
        <v>809</v>
      </c>
    </row>
    <row r="76" spans="1:89" ht="24.95" customHeight="1">
      <c r="A76" s="136">
        <v>79</v>
      </c>
      <c r="B76" s="136" t="s">
        <v>1170</v>
      </c>
      <c r="C76" s="136" t="s">
        <v>1171</v>
      </c>
      <c r="D76" s="136" t="s">
        <v>1172</v>
      </c>
      <c r="E76" s="136" t="s">
        <v>1173</v>
      </c>
      <c r="F76" s="136" t="s">
        <v>24</v>
      </c>
      <c r="G76" s="136">
        <v>4</v>
      </c>
      <c r="H76" s="129" t="s">
        <v>52</v>
      </c>
      <c r="I76" s="129" t="s">
        <v>42</v>
      </c>
      <c r="J76" s="129" t="s">
        <v>1174</v>
      </c>
      <c r="K76" s="129" t="s">
        <v>1175</v>
      </c>
      <c r="L76" s="129" t="s">
        <v>42</v>
      </c>
      <c r="M76" s="129" t="s">
        <v>150</v>
      </c>
      <c r="N76" s="136" t="s">
        <v>1176</v>
      </c>
      <c r="O76" s="236" t="s">
        <v>151</v>
      </c>
      <c r="P76" s="237" t="s">
        <v>855</v>
      </c>
      <c r="Q76" s="136" t="s">
        <v>855</v>
      </c>
      <c r="R76" s="136" t="s">
        <v>1177</v>
      </c>
      <c r="S76" s="136" t="s">
        <v>1178</v>
      </c>
      <c r="T76" s="345" t="s">
        <v>1179</v>
      </c>
      <c r="U76" s="139" t="s">
        <v>1180</v>
      </c>
      <c r="V76" s="139">
        <v>29842</v>
      </c>
      <c r="W76" s="147" t="s">
        <v>1181</v>
      </c>
      <c r="X76" s="147" t="s">
        <v>156</v>
      </c>
      <c r="Y76" s="147" t="s">
        <v>157</v>
      </c>
      <c r="Z76" s="147" t="s">
        <v>158</v>
      </c>
      <c r="AA76" s="136">
        <v>37</v>
      </c>
      <c r="AB76" s="139">
        <v>42078</v>
      </c>
      <c r="AC76" s="285">
        <v>41699</v>
      </c>
      <c r="AD76" s="139"/>
      <c r="AE76" s="28" t="s">
        <v>1182</v>
      </c>
      <c r="AF76" s="136"/>
      <c r="AG76" s="136"/>
      <c r="AH76" s="136">
        <f t="shared" si="16"/>
        <v>1</v>
      </c>
      <c r="AI76" s="27" t="s">
        <v>161</v>
      </c>
      <c r="AJ76" s="136"/>
      <c r="AK76" s="136"/>
      <c r="AL76" s="136" t="s">
        <v>150</v>
      </c>
      <c r="AM76" s="136"/>
      <c r="AN76" s="136"/>
      <c r="AO76" s="136" t="s">
        <v>164</v>
      </c>
      <c r="AP76" s="136" t="s">
        <v>1183</v>
      </c>
      <c r="AQ76" s="136" t="s">
        <v>1183</v>
      </c>
      <c r="AR76" s="136"/>
      <c r="AS76" s="136"/>
      <c r="AT76" s="26" t="s">
        <v>420</v>
      </c>
      <c r="AU76" s="136" t="s">
        <v>1184</v>
      </c>
      <c r="AV76" s="139"/>
      <c r="AW76" s="141">
        <v>41700</v>
      </c>
      <c r="AX76" s="141">
        <v>41946</v>
      </c>
      <c r="AY76" s="141" t="s">
        <v>150</v>
      </c>
      <c r="AZ76" s="141">
        <v>43699</v>
      </c>
      <c r="BA76" s="141">
        <v>42238</v>
      </c>
      <c r="BB76" s="141"/>
      <c r="BC76" s="141"/>
      <c r="BD76" s="141"/>
      <c r="BE76" s="142"/>
      <c r="BF76" s="141">
        <v>42585</v>
      </c>
      <c r="BG76" s="141" t="s">
        <v>150</v>
      </c>
      <c r="BH76" s="141">
        <v>42793</v>
      </c>
      <c r="BI76" s="141" t="s">
        <v>150</v>
      </c>
      <c r="BJ76" s="139"/>
      <c r="BK76" s="139"/>
      <c r="BL76" s="139"/>
      <c r="BM76" s="143">
        <v>45191</v>
      </c>
      <c r="BN76" s="148" t="s">
        <v>16</v>
      </c>
      <c r="BO76" s="238">
        <f t="shared" si="18"/>
        <v>115</v>
      </c>
      <c r="BP76" s="136">
        <f t="shared" si="17"/>
        <v>107</v>
      </c>
      <c r="BQ76" s="136" t="s">
        <v>1185</v>
      </c>
      <c r="BR76" s="136">
        <v>0</v>
      </c>
      <c r="BS76" s="136">
        <v>5</v>
      </c>
      <c r="BT76" s="136">
        <v>0</v>
      </c>
      <c r="BU76" s="136">
        <v>1</v>
      </c>
      <c r="BV76" s="136">
        <v>0</v>
      </c>
      <c r="BW76" s="136">
        <v>0</v>
      </c>
      <c r="BX76" s="136">
        <v>0</v>
      </c>
      <c r="BY76" s="136" t="s">
        <v>1156</v>
      </c>
      <c r="BZ76" s="136">
        <v>0</v>
      </c>
      <c r="CA76" s="136"/>
      <c r="CB76" s="144"/>
      <c r="CC76" s="144"/>
      <c r="CD76" s="136"/>
      <c r="CE76" s="136" t="s">
        <v>163</v>
      </c>
      <c r="CF76" s="136"/>
      <c r="CG76" s="136"/>
      <c r="CH76" s="374">
        <v>1</v>
      </c>
      <c r="CI76" s="136">
        <v>3</v>
      </c>
      <c r="CJ76" s="136"/>
      <c r="CK76" s="136" t="s">
        <v>809</v>
      </c>
    </row>
    <row r="77" spans="1:89" ht="24.95" customHeight="1">
      <c r="A77" s="136">
        <v>80</v>
      </c>
      <c r="B77" s="136" t="s">
        <v>1186</v>
      </c>
      <c r="C77" s="136" t="s">
        <v>1187</v>
      </c>
      <c r="D77" s="136" t="s">
        <v>1188</v>
      </c>
      <c r="E77" s="136" t="s">
        <v>1189</v>
      </c>
      <c r="F77" s="136" t="s">
        <v>24</v>
      </c>
      <c r="G77" s="136">
        <v>4</v>
      </c>
      <c r="H77" s="129" t="s">
        <v>53</v>
      </c>
      <c r="I77" s="129" t="s">
        <v>46</v>
      </c>
      <c r="J77" s="129" t="s">
        <v>1190</v>
      </c>
      <c r="K77" s="129" t="s">
        <v>1191</v>
      </c>
      <c r="L77" s="129" t="s">
        <v>44</v>
      </c>
      <c r="M77" s="129" t="s">
        <v>150</v>
      </c>
      <c r="N77" s="138" t="s">
        <v>1192</v>
      </c>
      <c r="O77" s="236" t="s">
        <v>322</v>
      </c>
      <c r="P77" s="237" t="s">
        <v>151</v>
      </c>
      <c r="Q77" s="136" t="s">
        <v>151</v>
      </c>
      <c r="R77" s="136" t="s">
        <v>1193</v>
      </c>
      <c r="S77" s="136" t="s">
        <v>1194</v>
      </c>
      <c r="T77" s="345" t="s">
        <v>1195</v>
      </c>
      <c r="U77" s="139" t="s">
        <v>1196</v>
      </c>
      <c r="V77" s="139">
        <v>30933</v>
      </c>
      <c r="W77" s="147" t="s">
        <v>1197</v>
      </c>
      <c r="X77" s="147" t="s">
        <v>179</v>
      </c>
      <c r="Y77" s="147" t="s">
        <v>163</v>
      </c>
      <c r="Z77" s="147" t="s">
        <v>158</v>
      </c>
      <c r="AA77" s="136">
        <v>36</v>
      </c>
      <c r="AB77" s="139">
        <v>41729</v>
      </c>
      <c r="AC77" s="285">
        <v>41699</v>
      </c>
      <c r="AD77" s="139"/>
      <c r="AE77" s="29" t="s">
        <v>1198</v>
      </c>
      <c r="AF77" s="136" t="s">
        <v>1199</v>
      </c>
      <c r="AG77" s="136" t="s">
        <v>1200</v>
      </c>
      <c r="AH77" s="136">
        <f t="shared" si="16"/>
        <v>3</v>
      </c>
      <c r="AI77" s="27" t="s">
        <v>161</v>
      </c>
      <c r="AJ77" s="136"/>
      <c r="AK77" s="136"/>
      <c r="AL77" s="136" t="s">
        <v>150</v>
      </c>
      <c r="AM77" s="136"/>
      <c r="AN77" s="136"/>
      <c r="AO77" s="136" t="s">
        <v>182</v>
      </c>
      <c r="AP77" s="136" t="s">
        <v>1201</v>
      </c>
      <c r="AQ77" s="136" t="s">
        <v>1202</v>
      </c>
      <c r="AR77" s="136" t="s">
        <v>150</v>
      </c>
      <c r="AS77" s="136"/>
      <c r="AT77" s="26" t="s">
        <v>1203</v>
      </c>
      <c r="AU77" s="136" t="s">
        <v>1204</v>
      </c>
      <c r="AV77" s="139"/>
      <c r="AW77" s="141">
        <v>41700</v>
      </c>
      <c r="AX77" s="141">
        <v>41946</v>
      </c>
      <c r="AY77" s="141" t="s">
        <v>150</v>
      </c>
      <c r="AZ77" s="141"/>
      <c r="BA77" s="141"/>
      <c r="BB77" s="141"/>
      <c r="BC77" s="141"/>
      <c r="BD77" s="141"/>
      <c r="BE77" s="142"/>
      <c r="BF77" s="141">
        <v>42585</v>
      </c>
      <c r="BG77" s="141" t="s">
        <v>150</v>
      </c>
      <c r="BH77" s="141">
        <v>42793</v>
      </c>
      <c r="BI77" s="141" t="s">
        <v>150</v>
      </c>
      <c r="BJ77" s="139"/>
      <c r="BK77" s="139">
        <v>44176</v>
      </c>
      <c r="BL77" s="139"/>
      <c r="BM77" s="143">
        <v>44539</v>
      </c>
      <c r="BN77" s="136" t="s">
        <v>16</v>
      </c>
      <c r="BO77" s="136">
        <f t="shared" ref="BO77" si="19">DATEDIF(AW77,BM77, "M")+1</f>
        <v>94</v>
      </c>
      <c r="BP77" s="136">
        <f t="shared" si="17"/>
        <v>86</v>
      </c>
      <c r="BQ77" s="136"/>
      <c r="BR77" s="136">
        <v>0</v>
      </c>
      <c r="BS77" s="136">
        <v>6</v>
      </c>
      <c r="BT77" s="136">
        <v>0</v>
      </c>
      <c r="BU77" s="136">
        <v>1</v>
      </c>
      <c r="BV77" s="136">
        <v>0</v>
      </c>
      <c r="BW77" s="136">
        <v>0</v>
      </c>
      <c r="BX77" s="136">
        <v>0</v>
      </c>
      <c r="BY77" s="136" t="s">
        <v>163</v>
      </c>
      <c r="BZ77" s="136">
        <v>0</v>
      </c>
      <c r="CA77" s="136"/>
      <c r="CB77" s="144"/>
      <c r="CC77" s="144"/>
      <c r="CD77" s="136"/>
      <c r="CE77" s="136" t="s">
        <v>163</v>
      </c>
      <c r="CF77" s="136"/>
      <c r="CG77" s="136"/>
      <c r="CH77" s="374">
        <v>0</v>
      </c>
      <c r="CI77" s="136">
        <v>1</v>
      </c>
      <c r="CJ77" s="136"/>
      <c r="CK77" s="136" t="s">
        <v>500</v>
      </c>
    </row>
    <row r="78" spans="1:89" ht="24.95" customHeight="1">
      <c r="A78" s="136">
        <v>81</v>
      </c>
      <c r="B78" s="136" t="s">
        <v>1205</v>
      </c>
      <c r="C78" s="136" t="s">
        <v>1206</v>
      </c>
      <c r="D78" s="136" t="s">
        <v>1207</v>
      </c>
      <c r="E78" s="136" t="s">
        <v>1208</v>
      </c>
      <c r="F78" s="136" t="s">
        <v>24</v>
      </c>
      <c r="G78" s="136">
        <v>4</v>
      </c>
      <c r="H78" s="129" t="s">
        <v>60</v>
      </c>
      <c r="I78" s="129" t="s">
        <v>35</v>
      </c>
      <c r="J78" s="129" t="s">
        <v>1209</v>
      </c>
      <c r="K78" s="129" t="s">
        <v>1209</v>
      </c>
      <c r="L78" s="129" t="s">
        <v>45</v>
      </c>
      <c r="M78" s="129" t="s">
        <v>163</v>
      </c>
      <c r="N78" s="136">
        <v>1060654</v>
      </c>
      <c r="O78" s="236" t="s">
        <v>151</v>
      </c>
      <c r="P78" s="237" t="s">
        <v>151</v>
      </c>
      <c r="Q78" s="136" t="s">
        <v>151</v>
      </c>
      <c r="R78" s="136" t="s">
        <v>1210</v>
      </c>
      <c r="S78" s="145" t="s">
        <v>1211</v>
      </c>
      <c r="T78" s="345" t="s">
        <v>1212</v>
      </c>
      <c r="U78" s="139" t="s">
        <v>1213</v>
      </c>
      <c r="V78" s="139">
        <v>28080</v>
      </c>
      <c r="W78" s="147" t="s">
        <v>1214</v>
      </c>
      <c r="X78" s="147" t="s">
        <v>156</v>
      </c>
      <c r="Y78" s="147" t="s">
        <v>157</v>
      </c>
      <c r="Z78" s="147" t="s">
        <v>158</v>
      </c>
      <c r="AA78" s="136">
        <v>15.5</v>
      </c>
      <c r="AB78" s="139">
        <v>42886</v>
      </c>
      <c r="AC78" s="285">
        <v>41699</v>
      </c>
      <c r="AD78" s="139"/>
      <c r="AE78" s="28" t="s">
        <v>1215</v>
      </c>
      <c r="AF78" s="136"/>
      <c r="AG78" s="136"/>
      <c r="AH78" s="136">
        <f t="shared" si="16"/>
        <v>1</v>
      </c>
      <c r="AI78" s="147" t="s">
        <v>162</v>
      </c>
      <c r="AJ78" s="136"/>
      <c r="AK78" s="136"/>
      <c r="AL78" s="136" t="s">
        <v>150</v>
      </c>
      <c r="AM78" s="136"/>
      <c r="AN78" s="136"/>
      <c r="AO78" s="136" t="s">
        <v>182</v>
      </c>
      <c r="AP78" s="136" t="s">
        <v>182</v>
      </c>
      <c r="AQ78" s="136" t="s">
        <v>1216</v>
      </c>
      <c r="AR78" s="136" t="s">
        <v>150</v>
      </c>
      <c r="AS78" s="136"/>
      <c r="AT78" s="26" t="s">
        <v>580</v>
      </c>
      <c r="AU78" s="136" t="s">
        <v>1217</v>
      </c>
      <c r="AV78" s="139"/>
      <c r="AW78" s="141">
        <v>41700</v>
      </c>
      <c r="AX78" s="141">
        <v>41946</v>
      </c>
      <c r="AY78" s="141" t="s">
        <v>150</v>
      </c>
      <c r="AZ78" s="141">
        <v>42207</v>
      </c>
      <c r="BA78" s="141">
        <v>43503</v>
      </c>
      <c r="BB78" s="141"/>
      <c r="BC78" s="141"/>
      <c r="BD78" s="141"/>
      <c r="BE78" s="142" t="s">
        <v>1218</v>
      </c>
      <c r="BF78" s="141">
        <v>42585</v>
      </c>
      <c r="BG78" s="141" t="s">
        <v>150</v>
      </c>
      <c r="BH78" s="141">
        <v>42793</v>
      </c>
      <c r="BI78" s="141" t="s">
        <v>150</v>
      </c>
      <c r="BJ78" s="139"/>
      <c r="BK78" s="139"/>
      <c r="BL78" s="139"/>
      <c r="BM78" s="143">
        <v>44508</v>
      </c>
      <c r="BN78" s="136" t="s">
        <v>16</v>
      </c>
      <c r="BO78" s="235">
        <f t="shared" ref="BO78:BO82" si="20">DATEDIF(AW78,BM78, "M")+1</f>
        <v>93</v>
      </c>
      <c r="BP78" s="136">
        <f t="shared" si="17"/>
        <v>85</v>
      </c>
      <c r="BQ78" s="136"/>
      <c r="BR78" s="136">
        <v>1</v>
      </c>
      <c r="BS78" s="136">
        <v>15</v>
      </c>
      <c r="BT78" s="136">
        <v>6</v>
      </c>
      <c r="BU78" s="136">
        <v>1</v>
      </c>
      <c r="BV78" s="136">
        <v>1</v>
      </c>
      <c r="BW78" s="136">
        <v>0</v>
      </c>
      <c r="BX78" s="136">
        <v>0</v>
      </c>
      <c r="BY78" s="136" t="s">
        <v>163</v>
      </c>
      <c r="BZ78" s="136">
        <v>0</v>
      </c>
      <c r="CA78" s="136"/>
      <c r="CB78" s="144"/>
      <c r="CC78" s="144"/>
      <c r="CD78" s="136"/>
      <c r="CE78" s="136" t="s">
        <v>163</v>
      </c>
      <c r="CF78" s="136"/>
      <c r="CG78" s="136"/>
      <c r="CH78" s="374" t="s">
        <v>168</v>
      </c>
      <c r="CI78" s="136" t="s">
        <v>168</v>
      </c>
      <c r="CJ78" s="136"/>
      <c r="CK78" s="136" t="s">
        <v>538</v>
      </c>
    </row>
    <row r="79" spans="1:89" ht="24.95" customHeight="1">
      <c r="A79" s="136">
        <v>82</v>
      </c>
      <c r="B79" s="136" t="s">
        <v>1219</v>
      </c>
      <c r="C79" s="136" t="s">
        <v>1220</v>
      </c>
      <c r="D79" s="136" t="s">
        <v>1221</v>
      </c>
      <c r="E79" s="136" t="s">
        <v>1222</v>
      </c>
      <c r="F79" s="136" t="s">
        <v>24</v>
      </c>
      <c r="G79" s="136">
        <v>4</v>
      </c>
      <c r="H79" s="129" t="s">
        <v>52</v>
      </c>
      <c r="I79" s="129" t="s">
        <v>37</v>
      </c>
      <c r="J79" s="129" t="s">
        <v>1223</v>
      </c>
      <c r="K79" s="129" t="s">
        <v>1224</v>
      </c>
      <c r="L79" s="129" t="s">
        <v>42</v>
      </c>
      <c r="M79" s="129" t="s">
        <v>163</v>
      </c>
      <c r="N79" s="195" t="s">
        <v>1225</v>
      </c>
      <c r="O79" s="239" t="s">
        <v>151</v>
      </c>
      <c r="P79" s="25" t="s">
        <v>151</v>
      </c>
      <c r="Q79" s="136" t="s">
        <v>151</v>
      </c>
      <c r="R79" s="387" t="s">
        <v>1226</v>
      </c>
      <c r="S79" s="136" t="s">
        <v>1227</v>
      </c>
      <c r="T79" s="346" t="s">
        <v>1228</v>
      </c>
      <c r="U79" s="139" t="s">
        <v>1229</v>
      </c>
      <c r="V79" s="139">
        <v>29172</v>
      </c>
      <c r="W79" s="147" t="s">
        <v>1230</v>
      </c>
      <c r="X79" s="147" t="s">
        <v>179</v>
      </c>
      <c r="Y79" s="147" t="s">
        <v>163</v>
      </c>
      <c r="Z79" s="147" t="s">
        <v>158</v>
      </c>
      <c r="AA79" s="136">
        <v>10</v>
      </c>
      <c r="AB79" s="139">
        <v>41913</v>
      </c>
      <c r="AC79" s="285">
        <v>41699</v>
      </c>
      <c r="AD79" s="139"/>
      <c r="AE79" s="27" t="s">
        <v>1231</v>
      </c>
      <c r="AF79" s="146" t="s">
        <v>1232</v>
      </c>
      <c r="AG79" s="146"/>
      <c r="AH79" s="136">
        <f t="shared" si="16"/>
        <v>2</v>
      </c>
      <c r="AI79" s="147" t="s">
        <v>162</v>
      </c>
      <c r="AJ79" s="146"/>
      <c r="AK79" s="146"/>
      <c r="AL79" s="146" t="s">
        <v>150</v>
      </c>
      <c r="AM79" s="146"/>
      <c r="AN79" s="146"/>
      <c r="AO79" s="146" t="s">
        <v>164</v>
      </c>
      <c r="AP79" s="146" t="s">
        <v>181</v>
      </c>
      <c r="AQ79" s="146" t="s">
        <v>203</v>
      </c>
      <c r="AR79" s="146" t="s">
        <v>150</v>
      </c>
      <c r="AS79" s="146"/>
      <c r="AT79" s="411" t="s">
        <v>1233</v>
      </c>
      <c r="AU79" s="136" t="s">
        <v>1234</v>
      </c>
      <c r="AV79" s="139"/>
      <c r="AW79" s="141">
        <v>41701</v>
      </c>
      <c r="AX79" s="141">
        <v>41946</v>
      </c>
      <c r="AY79" s="141" t="s">
        <v>150</v>
      </c>
      <c r="AZ79" s="141"/>
      <c r="BA79" s="141"/>
      <c r="BB79" s="141"/>
      <c r="BC79" s="141"/>
      <c r="BD79" s="141"/>
      <c r="BE79" s="142" t="s">
        <v>1235</v>
      </c>
      <c r="BF79" s="141">
        <v>42585</v>
      </c>
      <c r="BG79" s="141" t="s">
        <v>150</v>
      </c>
      <c r="BH79" s="141">
        <v>42793</v>
      </c>
      <c r="BI79" s="141" t="s">
        <v>150</v>
      </c>
      <c r="BJ79" s="139"/>
      <c r="BK79" s="139"/>
      <c r="BL79" s="139"/>
      <c r="BM79" s="143">
        <v>43242</v>
      </c>
      <c r="BN79" s="136" t="s">
        <v>16</v>
      </c>
      <c r="BO79" s="235">
        <f t="shared" si="20"/>
        <v>51</v>
      </c>
      <c r="BP79" s="136">
        <f t="shared" si="17"/>
        <v>43</v>
      </c>
      <c r="BQ79" s="147" t="s">
        <v>1236</v>
      </c>
      <c r="BR79" s="136">
        <v>2</v>
      </c>
      <c r="BS79" s="136">
        <v>3</v>
      </c>
      <c r="BT79" s="136">
        <v>5</v>
      </c>
      <c r="BU79" s="136">
        <v>6</v>
      </c>
      <c r="BV79" s="136">
        <v>1</v>
      </c>
      <c r="BW79" s="136">
        <v>0</v>
      </c>
      <c r="BX79" s="136">
        <v>0</v>
      </c>
      <c r="BY79" s="136" t="s">
        <v>163</v>
      </c>
      <c r="BZ79" s="136">
        <v>0</v>
      </c>
      <c r="CA79" s="136"/>
      <c r="CB79" s="144"/>
      <c r="CC79" s="144"/>
      <c r="CD79" s="136"/>
      <c r="CE79" s="136" t="s">
        <v>163</v>
      </c>
      <c r="CF79" s="136"/>
      <c r="CG79" s="136"/>
      <c r="CH79" s="374">
        <v>2</v>
      </c>
      <c r="CI79" s="136">
        <v>3</v>
      </c>
      <c r="CJ79" s="136"/>
      <c r="CK79" s="136" t="s">
        <v>538</v>
      </c>
    </row>
    <row r="80" spans="1:89" ht="24.95" customHeight="1">
      <c r="A80" s="136">
        <v>83</v>
      </c>
      <c r="B80" s="136" t="s">
        <v>1237</v>
      </c>
      <c r="C80" s="136" t="s">
        <v>1238</v>
      </c>
      <c r="D80" s="136"/>
      <c r="E80" s="136" t="s">
        <v>1239</v>
      </c>
      <c r="F80" s="136" t="s">
        <v>25</v>
      </c>
      <c r="G80" s="136">
        <v>4</v>
      </c>
      <c r="H80" s="129" t="s">
        <v>60</v>
      </c>
      <c r="I80" s="129" t="s">
        <v>35</v>
      </c>
      <c r="J80" s="129" t="s">
        <v>602</v>
      </c>
      <c r="K80" s="129" t="s">
        <v>1240</v>
      </c>
      <c r="L80" s="129" t="s">
        <v>35</v>
      </c>
      <c r="M80" s="129" t="s">
        <v>150</v>
      </c>
      <c r="N80" s="195"/>
      <c r="O80" s="239" t="s">
        <v>151</v>
      </c>
      <c r="P80" s="25" t="s">
        <v>151</v>
      </c>
      <c r="Q80" s="136" t="s">
        <v>151</v>
      </c>
      <c r="R80" s="387" t="s">
        <v>1241</v>
      </c>
      <c r="S80" s="149" t="s">
        <v>1242</v>
      </c>
      <c r="T80" s="346" t="s">
        <v>1243</v>
      </c>
      <c r="U80" s="139" t="s">
        <v>1244</v>
      </c>
      <c r="V80" s="139">
        <v>27712</v>
      </c>
      <c r="W80" s="147" t="s">
        <v>1245</v>
      </c>
      <c r="X80" s="147" t="s">
        <v>179</v>
      </c>
      <c r="Y80" s="147" t="s">
        <v>163</v>
      </c>
      <c r="Z80" s="147" t="s">
        <v>158</v>
      </c>
      <c r="AA80" s="136">
        <v>9.5</v>
      </c>
      <c r="AB80" s="139">
        <v>41604</v>
      </c>
      <c r="AC80" s="285">
        <v>41699</v>
      </c>
      <c r="AD80" s="139"/>
      <c r="AE80" s="27" t="s">
        <v>1246</v>
      </c>
      <c r="AF80" s="146" t="s">
        <v>1247</v>
      </c>
      <c r="AG80" s="146"/>
      <c r="AH80" s="136">
        <f t="shared" si="16"/>
        <v>2</v>
      </c>
      <c r="AI80" s="27" t="s">
        <v>161</v>
      </c>
      <c r="AJ80" s="146"/>
      <c r="AK80" s="146"/>
      <c r="AL80" s="146" t="s">
        <v>150</v>
      </c>
      <c r="AM80" s="146"/>
      <c r="AN80" s="146"/>
      <c r="AO80" s="146" t="s">
        <v>164</v>
      </c>
      <c r="AP80" s="146" t="s">
        <v>1248</v>
      </c>
      <c r="AQ80" s="146" t="s">
        <v>777</v>
      </c>
      <c r="AR80" s="146" t="s">
        <v>150</v>
      </c>
      <c r="AS80" s="146"/>
      <c r="AT80" s="411" t="s">
        <v>552</v>
      </c>
      <c r="AU80" s="136" t="s">
        <v>1249</v>
      </c>
      <c r="AV80" s="139"/>
      <c r="AW80" s="141">
        <v>41702</v>
      </c>
      <c r="AX80" s="141">
        <v>41946</v>
      </c>
      <c r="AY80" s="141" t="s">
        <v>150</v>
      </c>
      <c r="AZ80" s="141"/>
      <c r="BA80" s="141"/>
      <c r="BB80" s="141"/>
      <c r="BC80" s="141"/>
      <c r="BD80" s="141"/>
      <c r="BE80" s="142" t="s">
        <v>1250</v>
      </c>
      <c r="BF80" s="141">
        <v>42585</v>
      </c>
      <c r="BG80" s="141" t="s">
        <v>150</v>
      </c>
      <c r="BH80" s="141">
        <v>43164</v>
      </c>
      <c r="BI80" s="141" t="s">
        <v>163</v>
      </c>
      <c r="BJ80" s="139">
        <v>43256</v>
      </c>
      <c r="BK80" s="139">
        <v>43378</v>
      </c>
      <c r="BL80" s="139">
        <v>43399</v>
      </c>
      <c r="BM80" s="143">
        <v>43399</v>
      </c>
      <c r="BN80" s="136" t="s">
        <v>16</v>
      </c>
      <c r="BO80" s="235">
        <f t="shared" si="20"/>
        <v>56</v>
      </c>
      <c r="BP80" s="136">
        <f t="shared" si="17"/>
        <v>48</v>
      </c>
      <c r="BQ80" s="147" t="s">
        <v>1250</v>
      </c>
      <c r="BR80" s="136">
        <v>0</v>
      </c>
      <c r="BS80" s="136">
        <v>6</v>
      </c>
      <c r="BT80" s="136">
        <v>19</v>
      </c>
      <c r="BU80" s="136">
        <v>3</v>
      </c>
      <c r="BV80" s="136">
        <v>0</v>
      </c>
      <c r="BW80" s="136">
        <v>0</v>
      </c>
      <c r="BX80" s="136">
        <v>0</v>
      </c>
      <c r="BY80" s="136" t="s">
        <v>163</v>
      </c>
      <c r="BZ80" s="136">
        <v>0</v>
      </c>
      <c r="CA80" s="136"/>
      <c r="CB80" s="144"/>
      <c r="CC80" s="144"/>
      <c r="CD80" s="136"/>
      <c r="CE80" s="136" t="s">
        <v>163</v>
      </c>
      <c r="CF80" s="136"/>
      <c r="CG80" s="136"/>
      <c r="CH80" s="25">
        <v>2</v>
      </c>
      <c r="CI80" s="136">
        <v>3</v>
      </c>
      <c r="CJ80" s="136"/>
      <c r="CK80" s="136" t="s">
        <v>809</v>
      </c>
    </row>
    <row r="81" spans="1:89" ht="24.95" customHeight="1">
      <c r="A81" s="136">
        <v>84</v>
      </c>
      <c r="B81" s="136" t="s">
        <v>1251</v>
      </c>
      <c r="C81" s="136" t="s">
        <v>1252</v>
      </c>
      <c r="D81" s="136" t="s">
        <v>1253</v>
      </c>
      <c r="E81" s="136" t="s">
        <v>1254</v>
      </c>
      <c r="F81" s="136" t="s">
        <v>24</v>
      </c>
      <c r="G81" s="136">
        <v>4</v>
      </c>
      <c r="H81" s="129" t="s">
        <v>59</v>
      </c>
      <c r="I81" s="129" t="s">
        <v>40</v>
      </c>
      <c r="J81" s="129" t="s">
        <v>1255</v>
      </c>
      <c r="K81" s="129" t="s">
        <v>1256</v>
      </c>
      <c r="L81" s="129" t="s">
        <v>45</v>
      </c>
      <c r="M81" s="129" t="s">
        <v>163</v>
      </c>
      <c r="N81" s="136">
        <v>1197596</v>
      </c>
      <c r="O81" s="236"/>
      <c r="P81" s="237" t="s">
        <v>151</v>
      </c>
      <c r="Q81" s="136" t="s">
        <v>151</v>
      </c>
      <c r="R81" s="136" t="s">
        <v>1257</v>
      </c>
      <c r="S81" s="145" t="s">
        <v>1258</v>
      </c>
      <c r="T81" s="346" t="s">
        <v>1259</v>
      </c>
      <c r="U81" s="139" t="s">
        <v>1260</v>
      </c>
      <c r="V81" s="139">
        <v>30809</v>
      </c>
      <c r="W81" s="147" t="s">
        <v>1261</v>
      </c>
      <c r="X81" s="147" t="s">
        <v>179</v>
      </c>
      <c r="Y81" s="147" t="s">
        <v>163</v>
      </c>
      <c r="Z81" s="147" t="s">
        <v>158</v>
      </c>
      <c r="AA81" s="136">
        <v>9.5</v>
      </c>
      <c r="AB81" s="139">
        <v>42036</v>
      </c>
      <c r="AC81" s="285">
        <v>41699</v>
      </c>
      <c r="AD81" s="139"/>
      <c r="AE81" s="28" t="s">
        <v>1262</v>
      </c>
      <c r="AF81" s="136" t="s">
        <v>1263</v>
      </c>
      <c r="AG81" s="136" t="s">
        <v>1264</v>
      </c>
      <c r="AH81" s="136">
        <f t="shared" si="16"/>
        <v>3</v>
      </c>
      <c r="AI81" s="147" t="s">
        <v>161</v>
      </c>
      <c r="AJ81" s="136"/>
      <c r="AK81" s="136"/>
      <c r="AL81" s="136" t="s">
        <v>150</v>
      </c>
      <c r="AM81" s="136"/>
      <c r="AN81" s="136"/>
      <c r="AO81" s="136" t="s">
        <v>182</v>
      </c>
      <c r="AP81" s="136" t="s">
        <v>1265</v>
      </c>
      <c r="AQ81" s="136" t="s">
        <v>593</v>
      </c>
      <c r="AR81" s="136" t="s">
        <v>150</v>
      </c>
      <c r="AS81" s="136"/>
      <c r="AT81" s="26" t="s">
        <v>1266</v>
      </c>
      <c r="AU81" s="136" t="s">
        <v>1267</v>
      </c>
      <c r="AV81" s="139"/>
      <c r="AW81" s="141">
        <v>41703</v>
      </c>
      <c r="AX81" s="141">
        <v>41946</v>
      </c>
      <c r="AY81" s="141" t="s">
        <v>150</v>
      </c>
      <c r="AZ81" s="141">
        <v>42205</v>
      </c>
      <c r="BA81" s="141">
        <v>42230</v>
      </c>
      <c r="BB81" s="141"/>
      <c r="BC81" s="141"/>
      <c r="BD81" s="141"/>
      <c r="BE81" s="142" t="s">
        <v>1268</v>
      </c>
      <c r="BF81" s="141">
        <v>42585</v>
      </c>
      <c r="BG81" s="141" t="s">
        <v>150</v>
      </c>
      <c r="BH81" s="141">
        <v>42793</v>
      </c>
      <c r="BI81" s="141" t="s">
        <v>150</v>
      </c>
      <c r="BJ81" s="139"/>
      <c r="BK81" s="139"/>
      <c r="BL81" s="139"/>
      <c r="BM81" s="143">
        <v>43830</v>
      </c>
      <c r="BN81" s="136" t="s">
        <v>16</v>
      </c>
      <c r="BO81" s="235">
        <f t="shared" si="20"/>
        <v>70</v>
      </c>
      <c r="BP81" s="136">
        <f t="shared" si="17"/>
        <v>62</v>
      </c>
      <c r="BQ81" s="136"/>
      <c r="BR81" s="136">
        <v>1</v>
      </c>
      <c r="BS81" s="136">
        <v>5</v>
      </c>
      <c r="BT81" s="136">
        <v>3</v>
      </c>
      <c r="BU81" s="136">
        <v>2</v>
      </c>
      <c r="BV81" s="136">
        <v>0</v>
      </c>
      <c r="BW81" s="136">
        <v>0</v>
      </c>
      <c r="BX81" s="136">
        <v>0</v>
      </c>
      <c r="BY81" s="136" t="s">
        <v>1156</v>
      </c>
      <c r="BZ81" s="136">
        <v>0</v>
      </c>
      <c r="CA81" s="136"/>
      <c r="CB81" s="144"/>
      <c r="CC81" s="144"/>
      <c r="CD81" s="136"/>
      <c r="CE81" s="136" t="s">
        <v>163</v>
      </c>
      <c r="CF81" s="136"/>
      <c r="CG81" s="136"/>
      <c r="CH81" s="374">
        <v>1</v>
      </c>
      <c r="CI81" s="136">
        <v>2</v>
      </c>
      <c r="CJ81" s="136"/>
      <c r="CK81" s="136" t="s">
        <v>809</v>
      </c>
    </row>
    <row r="82" spans="1:89" ht="24.95" customHeight="1">
      <c r="A82" s="136">
        <v>85</v>
      </c>
      <c r="B82" s="136" t="s">
        <v>1269</v>
      </c>
      <c r="C82" s="136" t="s">
        <v>1270</v>
      </c>
      <c r="D82" s="136" t="s">
        <v>906</v>
      </c>
      <c r="E82" s="136" t="s">
        <v>1271</v>
      </c>
      <c r="F82" s="136" t="s">
        <v>25</v>
      </c>
      <c r="G82" s="136">
        <v>4</v>
      </c>
      <c r="H82" s="129" t="s">
        <v>52</v>
      </c>
      <c r="I82" s="129" t="s">
        <v>37</v>
      </c>
      <c r="J82" s="129" t="s">
        <v>1272</v>
      </c>
      <c r="K82" s="129" t="s">
        <v>1272</v>
      </c>
      <c r="L82" s="129" t="s">
        <v>42</v>
      </c>
      <c r="M82" s="129" t="s">
        <v>163</v>
      </c>
      <c r="N82" s="195" t="s">
        <v>1273</v>
      </c>
      <c r="O82" s="239" t="s">
        <v>151</v>
      </c>
      <c r="P82" s="25" t="s">
        <v>151</v>
      </c>
      <c r="Q82" s="136" t="s">
        <v>151</v>
      </c>
      <c r="R82" s="136" t="s">
        <v>1274</v>
      </c>
      <c r="S82" s="136" t="s">
        <v>1275</v>
      </c>
      <c r="T82" s="345" t="s">
        <v>1276</v>
      </c>
      <c r="U82" s="139" t="s">
        <v>1277</v>
      </c>
      <c r="V82" s="139">
        <v>28497</v>
      </c>
      <c r="W82" s="147" t="s">
        <v>1278</v>
      </c>
      <c r="X82" s="147" t="s">
        <v>179</v>
      </c>
      <c r="Y82" s="147" t="s">
        <v>157</v>
      </c>
      <c r="Z82" s="147" t="s">
        <v>158</v>
      </c>
      <c r="AA82" s="136">
        <v>13</v>
      </c>
      <c r="AB82" s="139">
        <v>41642</v>
      </c>
      <c r="AC82" s="285">
        <v>41699</v>
      </c>
      <c r="AD82" s="139"/>
      <c r="AE82" s="27" t="s">
        <v>1279</v>
      </c>
      <c r="AF82" s="146" t="s">
        <v>1280</v>
      </c>
      <c r="AG82" s="146"/>
      <c r="AH82" s="136">
        <f t="shared" si="16"/>
        <v>2</v>
      </c>
      <c r="AI82" s="27" t="s">
        <v>162</v>
      </c>
      <c r="AJ82" s="146"/>
      <c r="AK82" s="146"/>
      <c r="AL82" s="146" t="s">
        <v>150</v>
      </c>
      <c r="AM82" s="146"/>
      <c r="AN82" s="146"/>
      <c r="AO82" s="146" t="s">
        <v>164</v>
      </c>
      <c r="AP82" s="146" t="s">
        <v>1281</v>
      </c>
      <c r="AQ82" s="146" t="s">
        <v>203</v>
      </c>
      <c r="AR82" s="146" t="s">
        <v>150</v>
      </c>
      <c r="AS82" s="146"/>
      <c r="AT82" s="411" t="s">
        <v>204</v>
      </c>
      <c r="AU82" s="136" t="s">
        <v>1282</v>
      </c>
      <c r="AV82" s="139"/>
      <c r="AW82" s="141">
        <v>41704</v>
      </c>
      <c r="AX82" s="141">
        <v>41946</v>
      </c>
      <c r="AY82" s="141" t="s">
        <v>150</v>
      </c>
      <c r="AZ82" s="141">
        <v>42125</v>
      </c>
      <c r="BA82" s="141">
        <v>42156</v>
      </c>
      <c r="BB82" s="141">
        <v>42217</v>
      </c>
      <c r="BC82" s="141"/>
      <c r="BD82" s="141"/>
      <c r="BE82" s="142" t="s">
        <v>1283</v>
      </c>
      <c r="BF82" s="141">
        <v>42585</v>
      </c>
      <c r="BG82" s="141" t="s">
        <v>150</v>
      </c>
      <c r="BH82" s="141">
        <v>42791</v>
      </c>
      <c r="BI82" s="141" t="s">
        <v>150</v>
      </c>
      <c r="BJ82" s="139">
        <v>43115</v>
      </c>
      <c r="BK82" s="139">
        <v>43349</v>
      </c>
      <c r="BL82" s="139">
        <v>43426</v>
      </c>
      <c r="BM82" s="143">
        <v>43434</v>
      </c>
      <c r="BN82" s="136" t="s">
        <v>16</v>
      </c>
      <c r="BO82" s="235">
        <f t="shared" si="20"/>
        <v>57</v>
      </c>
      <c r="BP82" s="136">
        <f t="shared" si="17"/>
        <v>49</v>
      </c>
      <c r="BQ82" s="147" t="s">
        <v>1284</v>
      </c>
      <c r="BR82" s="136">
        <v>1</v>
      </c>
      <c r="BS82" s="136">
        <v>4</v>
      </c>
      <c r="BT82" s="136">
        <v>3</v>
      </c>
      <c r="BU82" s="136">
        <v>2</v>
      </c>
      <c r="BV82" s="136">
        <v>0</v>
      </c>
      <c r="BW82" s="136">
        <v>0</v>
      </c>
      <c r="BX82" s="136">
        <v>0</v>
      </c>
      <c r="BY82" s="136" t="s">
        <v>163</v>
      </c>
      <c r="BZ82" s="136">
        <v>0</v>
      </c>
      <c r="CA82" s="136"/>
      <c r="CB82" s="144"/>
      <c r="CC82" s="144"/>
      <c r="CD82" s="136"/>
      <c r="CE82" s="136" t="s">
        <v>163</v>
      </c>
      <c r="CF82" s="136"/>
      <c r="CG82" s="136"/>
      <c r="CH82" s="374">
        <v>2</v>
      </c>
      <c r="CI82" s="136">
        <v>2</v>
      </c>
      <c r="CJ82" s="136"/>
      <c r="CK82" s="136" t="s">
        <v>809</v>
      </c>
    </row>
    <row r="83" spans="1:89" ht="24.95" customHeight="1">
      <c r="A83" s="136">
        <v>86</v>
      </c>
      <c r="B83" s="136" t="s">
        <v>1285</v>
      </c>
      <c r="C83" s="136" t="s">
        <v>1286</v>
      </c>
      <c r="D83" s="136" t="s">
        <v>754</v>
      </c>
      <c r="E83" s="136" t="s">
        <v>1287</v>
      </c>
      <c r="F83" s="136" t="s">
        <v>24</v>
      </c>
      <c r="G83" s="136">
        <v>4</v>
      </c>
      <c r="H83" s="129" t="s">
        <v>52</v>
      </c>
      <c r="I83" s="129" t="s">
        <v>37</v>
      </c>
      <c r="J83" s="129" t="s">
        <v>602</v>
      </c>
      <c r="K83" s="129" t="s">
        <v>1288</v>
      </c>
      <c r="L83" s="129" t="s">
        <v>45</v>
      </c>
      <c r="M83" s="129" t="s">
        <v>163</v>
      </c>
      <c r="N83" s="195">
        <v>1061559</v>
      </c>
      <c r="O83" s="239"/>
      <c r="P83" s="25" t="s">
        <v>151</v>
      </c>
      <c r="Q83" s="136"/>
      <c r="R83" s="136" t="s">
        <v>1289</v>
      </c>
      <c r="S83" s="136" t="s">
        <v>1290</v>
      </c>
      <c r="T83" s="345" t="s">
        <v>1291</v>
      </c>
      <c r="U83" s="139" t="s">
        <v>1292</v>
      </c>
      <c r="V83" s="139">
        <v>25297</v>
      </c>
      <c r="W83" s="147" t="s">
        <v>1293</v>
      </c>
      <c r="X83" s="147" t="s">
        <v>179</v>
      </c>
      <c r="Y83" s="147" t="s">
        <v>163</v>
      </c>
      <c r="Z83" s="147" t="s">
        <v>158</v>
      </c>
      <c r="AA83" s="136">
        <v>16</v>
      </c>
      <c r="AB83" s="139">
        <v>41693</v>
      </c>
      <c r="AC83" s="285">
        <v>41699</v>
      </c>
      <c r="AD83" s="139"/>
      <c r="AE83" s="136" t="s">
        <v>1294</v>
      </c>
      <c r="AF83" s="136"/>
      <c r="AG83" s="136"/>
      <c r="AH83" s="136">
        <f t="shared" si="16"/>
        <v>1</v>
      </c>
      <c r="AI83" s="147" t="s">
        <v>161</v>
      </c>
      <c r="AJ83" s="136"/>
      <c r="AK83" s="136"/>
      <c r="AL83" s="136" t="s">
        <v>163</v>
      </c>
      <c r="AM83" s="136"/>
      <c r="AN83" s="136"/>
      <c r="AO83" s="136" t="s">
        <v>164</v>
      </c>
      <c r="AP83" s="136" t="s">
        <v>181</v>
      </c>
      <c r="AQ83" s="136" t="s">
        <v>203</v>
      </c>
      <c r="AR83" s="136" t="s">
        <v>150</v>
      </c>
      <c r="AS83" s="136"/>
      <c r="AT83" s="26" t="s">
        <v>204</v>
      </c>
      <c r="AU83" s="136" t="s">
        <v>1295</v>
      </c>
      <c r="AV83" s="139"/>
      <c r="AW83" s="141">
        <v>41700</v>
      </c>
      <c r="AX83" s="141">
        <v>41946</v>
      </c>
      <c r="AY83" s="141" t="s">
        <v>150</v>
      </c>
      <c r="AZ83" s="141">
        <v>42555</v>
      </c>
      <c r="BA83" s="141">
        <v>42989</v>
      </c>
      <c r="BB83" s="141"/>
      <c r="BC83" s="141"/>
      <c r="BD83" s="141"/>
      <c r="BE83" s="142"/>
      <c r="BF83" s="141">
        <v>42585</v>
      </c>
      <c r="BG83" s="141" t="s">
        <v>150</v>
      </c>
      <c r="BH83" s="141">
        <v>42793</v>
      </c>
      <c r="BI83" s="141" t="s">
        <v>150</v>
      </c>
      <c r="BJ83" s="139"/>
      <c r="BK83" s="139"/>
      <c r="BL83" s="139"/>
      <c r="BM83" s="143"/>
      <c r="BN83" s="150" t="s">
        <v>17</v>
      </c>
      <c r="BO83" s="238"/>
      <c r="BP83" s="238"/>
      <c r="BQ83" s="147"/>
      <c r="BR83" s="136">
        <v>2</v>
      </c>
      <c r="BS83" s="136">
        <v>3</v>
      </c>
      <c r="BT83" s="136">
        <v>0</v>
      </c>
      <c r="BU83" s="136">
        <v>3</v>
      </c>
      <c r="BV83" s="136">
        <v>0</v>
      </c>
      <c r="BW83" s="136">
        <v>0</v>
      </c>
      <c r="BX83" s="136">
        <v>0</v>
      </c>
      <c r="BY83" s="136" t="s">
        <v>163</v>
      </c>
      <c r="BZ83" s="136">
        <v>0</v>
      </c>
      <c r="CA83" s="136"/>
      <c r="CB83" s="144"/>
      <c r="CC83" s="144"/>
      <c r="CD83" s="136"/>
      <c r="CE83" s="136" t="s">
        <v>163</v>
      </c>
      <c r="CF83" s="136"/>
      <c r="CG83" s="136"/>
      <c r="CH83" s="374" t="s">
        <v>168</v>
      </c>
      <c r="CI83" s="136" t="s">
        <v>168</v>
      </c>
      <c r="CJ83" s="136"/>
      <c r="CK83" s="136" t="s">
        <v>1296</v>
      </c>
    </row>
    <row r="84" spans="1:89" ht="24.95" customHeight="1">
      <c r="A84" s="136">
        <v>87</v>
      </c>
      <c r="B84" s="136" t="s">
        <v>1297</v>
      </c>
      <c r="C84" s="136" t="s">
        <v>1298</v>
      </c>
      <c r="D84" s="136" t="s">
        <v>1299</v>
      </c>
      <c r="E84" s="136" t="s">
        <v>1300</v>
      </c>
      <c r="F84" s="136" t="s">
        <v>24</v>
      </c>
      <c r="G84" s="136">
        <v>4</v>
      </c>
      <c r="H84" s="129" t="s">
        <v>55</v>
      </c>
      <c r="I84" s="129" t="s">
        <v>43</v>
      </c>
      <c r="J84" s="129" t="s">
        <v>602</v>
      </c>
      <c r="K84" s="129" t="s">
        <v>1301</v>
      </c>
      <c r="L84" s="129" t="s">
        <v>35</v>
      </c>
      <c r="M84" s="129" t="s">
        <v>163</v>
      </c>
      <c r="N84" s="195" t="s">
        <v>1302</v>
      </c>
      <c r="O84" s="136" t="s">
        <v>855</v>
      </c>
      <c r="P84" s="25" t="s">
        <v>1303</v>
      </c>
      <c r="Q84" s="25" t="s">
        <v>1303</v>
      </c>
      <c r="R84" s="145" t="s">
        <v>1304</v>
      </c>
      <c r="S84" s="136" t="s">
        <v>1305</v>
      </c>
      <c r="T84" s="346" t="s">
        <v>1306</v>
      </c>
      <c r="U84" s="139" t="s">
        <v>1307</v>
      </c>
      <c r="V84" s="139">
        <v>28294</v>
      </c>
      <c r="W84" s="147" t="s">
        <v>1308</v>
      </c>
      <c r="X84" s="147" t="s">
        <v>179</v>
      </c>
      <c r="Y84" s="147" t="s">
        <v>163</v>
      </c>
      <c r="Z84" s="147" t="s">
        <v>158</v>
      </c>
      <c r="AA84" s="136">
        <v>7.5</v>
      </c>
      <c r="AB84" s="139">
        <v>42353</v>
      </c>
      <c r="AC84" s="285">
        <v>41699</v>
      </c>
      <c r="AD84" s="139"/>
      <c r="AE84" s="28" t="s">
        <v>1309</v>
      </c>
      <c r="AF84" s="136"/>
      <c r="AG84" s="136"/>
      <c r="AH84" s="136">
        <f t="shared" si="16"/>
        <v>1</v>
      </c>
      <c r="AI84" s="147" t="s">
        <v>162</v>
      </c>
      <c r="AJ84" s="136"/>
      <c r="AK84" s="136"/>
      <c r="AL84" s="136" t="s">
        <v>150</v>
      </c>
      <c r="AM84" s="136"/>
      <c r="AN84" s="136"/>
      <c r="AO84" s="136" t="s">
        <v>164</v>
      </c>
      <c r="AP84" s="136" t="s">
        <v>203</v>
      </c>
      <c r="AQ84" s="136" t="s">
        <v>1310</v>
      </c>
      <c r="AR84" s="136" t="s">
        <v>150</v>
      </c>
      <c r="AS84" s="136"/>
      <c r="AT84" s="26" t="s">
        <v>1311</v>
      </c>
      <c r="AU84" s="136" t="s">
        <v>1312</v>
      </c>
      <c r="AV84" s="139"/>
      <c r="AW84" s="141">
        <v>41700</v>
      </c>
      <c r="AX84" s="141">
        <v>41946</v>
      </c>
      <c r="AY84" s="141" t="s">
        <v>150</v>
      </c>
      <c r="AZ84" s="141"/>
      <c r="BA84" s="141"/>
      <c r="BB84" s="141"/>
      <c r="BC84" s="141"/>
      <c r="BD84" s="141"/>
      <c r="BE84" s="142"/>
      <c r="BF84" s="141">
        <v>42585</v>
      </c>
      <c r="BG84" s="141" t="s">
        <v>150</v>
      </c>
      <c r="BH84" s="141">
        <v>42793</v>
      </c>
      <c r="BI84" s="141" t="s">
        <v>150</v>
      </c>
      <c r="BJ84" s="139"/>
      <c r="BK84" s="139">
        <v>44221</v>
      </c>
      <c r="BL84" s="139"/>
      <c r="BM84" s="143">
        <v>44333</v>
      </c>
      <c r="BN84" s="136" t="s">
        <v>16</v>
      </c>
      <c r="BO84" s="235">
        <f>DATEDIF(AW84,BM84, "M")+1</f>
        <v>87</v>
      </c>
      <c r="BP84" s="136">
        <f>DATEDIF(AX84,BM84, "M")+1</f>
        <v>79</v>
      </c>
      <c r="BQ84" s="147" t="s">
        <v>1313</v>
      </c>
      <c r="BR84" s="136">
        <v>0</v>
      </c>
      <c r="BS84" s="136">
        <v>4</v>
      </c>
      <c r="BT84" s="136">
        <v>0</v>
      </c>
      <c r="BU84" s="136">
        <v>0</v>
      </c>
      <c r="BV84" s="136">
        <v>1</v>
      </c>
      <c r="BW84" s="136">
        <v>0</v>
      </c>
      <c r="BX84" s="136">
        <v>0</v>
      </c>
      <c r="BY84" s="136" t="s">
        <v>163</v>
      </c>
      <c r="BZ84" s="136">
        <v>0</v>
      </c>
      <c r="CA84" s="136"/>
      <c r="CB84" s="144"/>
      <c r="CC84" s="144"/>
      <c r="CD84" s="136"/>
      <c r="CE84" s="136" t="s">
        <v>163</v>
      </c>
      <c r="CF84" s="136"/>
      <c r="CG84" s="136"/>
      <c r="CH84" s="374">
        <v>2</v>
      </c>
      <c r="CI84" s="136">
        <v>2</v>
      </c>
      <c r="CJ84" s="136"/>
      <c r="CK84" s="136" t="s">
        <v>1314</v>
      </c>
    </row>
    <row r="85" spans="1:89" ht="24.95" customHeight="1">
      <c r="A85" s="91">
        <v>88</v>
      </c>
      <c r="B85" s="91" t="s">
        <v>1315</v>
      </c>
      <c r="C85" s="91" t="s">
        <v>1316</v>
      </c>
      <c r="D85" s="91" t="s">
        <v>1317</v>
      </c>
      <c r="E85" s="91" t="s">
        <v>1318</v>
      </c>
      <c r="F85" s="91" t="s">
        <v>25</v>
      </c>
      <c r="G85" s="91">
        <v>4</v>
      </c>
      <c r="H85" s="91" t="s">
        <v>53</v>
      </c>
      <c r="I85" s="91" t="s">
        <v>46</v>
      </c>
      <c r="J85" s="91" t="s">
        <v>602</v>
      </c>
      <c r="K85" s="91" t="s">
        <v>1319</v>
      </c>
      <c r="L85" s="91" t="s">
        <v>44</v>
      </c>
      <c r="M85" s="91" t="s">
        <v>150</v>
      </c>
      <c r="N85" s="91" t="s">
        <v>1320</v>
      </c>
      <c r="O85" s="91" t="s">
        <v>168</v>
      </c>
      <c r="P85" s="91" t="s">
        <v>151</v>
      </c>
      <c r="Q85" s="91"/>
      <c r="R85" s="91" t="s">
        <v>1321</v>
      </c>
      <c r="S85" s="91" t="s">
        <v>1322</v>
      </c>
      <c r="T85" s="200" t="s">
        <v>1323</v>
      </c>
      <c r="U85" s="91" t="s">
        <v>1324</v>
      </c>
      <c r="V85" s="91">
        <v>30152</v>
      </c>
      <c r="W85" s="91" t="s">
        <v>1325</v>
      </c>
      <c r="X85" s="91" t="s">
        <v>156</v>
      </c>
      <c r="Y85" s="91" t="s">
        <v>157</v>
      </c>
      <c r="Z85" s="91" t="s">
        <v>158</v>
      </c>
      <c r="AA85" s="91">
        <v>25</v>
      </c>
      <c r="AB85" s="92">
        <v>41692</v>
      </c>
      <c r="AC85" s="281">
        <v>41699</v>
      </c>
      <c r="AD85" s="92">
        <v>43867</v>
      </c>
      <c r="AE85" s="91" t="s">
        <v>1326</v>
      </c>
      <c r="AF85" s="91"/>
      <c r="AG85" s="91"/>
      <c r="AH85" s="91">
        <f t="shared" si="16"/>
        <v>1</v>
      </c>
      <c r="AI85" s="91" t="s">
        <v>282</v>
      </c>
      <c r="AJ85" s="91"/>
      <c r="AK85" s="91"/>
      <c r="AL85" s="91" t="s">
        <v>150</v>
      </c>
      <c r="AM85" s="91"/>
      <c r="AN85" s="91"/>
      <c r="AO85" s="91" t="s">
        <v>164</v>
      </c>
      <c r="AP85" s="91" t="s">
        <v>203</v>
      </c>
      <c r="AQ85" s="91"/>
      <c r="AR85" s="91"/>
      <c r="AS85" s="91"/>
      <c r="AT85" s="10" t="s">
        <v>298</v>
      </c>
      <c r="AU85" s="91"/>
      <c r="AV85" s="91"/>
      <c r="AW85" s="93">
        <v>41700</v>
      </c>
      <c r="AX85" s="93">
        <v>41946</v>
      </c>
      <c r="AY85" s="91" t="s">
        <v>150</v>
      </c>
      <c r="AZ85" s="91"/>
      <c r="BA85" s="91"/>
      <c r="BB85" s="91"/>
      <c r="BC85" s="91"/>
      <c r="BD85" s="91"/>
      <c r="BE85" s="91"/>
      <c r="BF85" s="91">
        <v>42585</v>
      </c>
      <c r="BG85" s="91" t="s">
        <v>150</v>
      </c>
      <c r="BH85" s="91"/>
      <c r="BI85" s="91" t="s">
        <v>163</v>
      </c>
      <c r="BJ85" s="91"/>
      <c r="BK85" s="91"/>
      <c r="BL85" s="91"/>
      <c r="BM85" s="91"/>
      <c r="BN85" s="151" t="s">
        <v>18</v>
      </c>
      <c r="BO85" s="91" t="s">
        <v>18</v>
      </c>
      <c r="BP85" s="91"/>
      <c r="BQ85" s="91"/>
      <c r="BR85" s="91">
        <v>0</v>
      </c>
      <c r="BS85" s="91">
        <v>2</v>
      </c>
      <c r="BT85" s="91">
        <v>0</v>
      </c>
      <c r="BU85" s="91">
        <v>1</v>
      </c>
      <c r="BV85" s="91">
        <v>0</v>
      </c>
      <c r="BW85" s="91">
        <v>0</v>
      </c>
      <c r="BX85" s="91">
        <v>0</v>
      </c>
      <c r="BY85" s="91" t="s">
        <v>163</v>
      </c>
      <c r="BZ85" s="91">
        <v>0</v>
      </c>
      <c r="CA85" s="91"/>
      <c r="CB85" s="91"/>
      <c r="CC85" s="91"/>
      <c r="CD85" s="91"/>
      <c r="CE85" s="91" t="s">
        <v>163</v>
      </c>
      <c r="CF85" s="91"/>
      <c r="CG85" s="91"/>
      <c r="CH85" s="113" t="s">
        <v>168</v>
      </c>
      <c r="CI85" s="91" t="s">
        <v>168</v>
      </c>
      <c r="CJ85" s="91"/>
      <c r="CK85" s="91" t="s">
        <v>809</v>
      </c>
    </row>
    <row r="86" spans="1:89" ht="24.95" customHeight="1">
      <c r="A86" s="136">
        <v>89</v>
      </c>
      <c r="B86" s="136" t="s">
        <v>1327</v>
      </c>
      <c r="C86" s="136" t="s">
        <v>1328</v>
      </c>
      <c r="D86" s="136" t="s">
        <v>1329</v>
      </c>
      <c r="E86" s="136" t="s">
        <v>1330</v>
      </c>
      <c r="F86" s="136" t="s">
        <v>25</v>
      </c>
      <c r="G86" s="136">
        <v>4</v>
      </c>
      <c r="H86" s="129" t="s">
        <v>59</v>
      </c>
      <c r="I86" s="129" t="s">
        <v>41</v>
      </c>
      <c r="J86" s="129" t="s">
        <v>1331</v>
      </c>
      <c r="K86" s="129" t="s">
        <v>1332</v>
      </c>
      <c r="L86" s="129" t="s">
        <v>41</v>
      </c>
      <c r="M86" s="129" t="s">
        <v>150</v>
      </c>
      <c r="N86" s="195">
        <v>1034515</v>
      </c>
      <c r="O86" s="25" t="s">
        <v>151</v>
      </c>
      <c r="P86" s="25" t="s">
        <v>151</v>
      </c>
      <c r="Q86" s="136" t="s">
        <v>151</v>
      </c>
      <c r="R86" s="387" t="s">
        <v>1333</v>
      </c>
      <c r="S86" s="136" t="s">
        <v>1334</v>
      </c>
      <c r="T86" s="346" t="s">
        <v>1335</v>
      </c>
      <c r="U86" s="139" t="s">
        <v>1336</v>
      </c>
      <c r="V86" s="139">
        <v>29764</v>
      </c>
      <c r="W86" s="147" t="s">
        <v>1337</v>
      </c>
      <c r="X86" s="147" t="s">
        <v>179</v>
      </c>
      <c r="Y86" s="147" t="s">
        <v>163</v>
      </c>
      <c r="Z86" s="147" t="s">
        <v>158</v>
      </c>
      <c r="AA86" s="136">
        <v>28</v>
      </c>
      <c r="AB86" s="139">
        <v>41730</v>
      </c>
      <c r="AC86" s="285">
        <v>41699</v>
      </c>
      <c r="AD86" s="139"/>
      <c r="AE86" s="27" t="s">
        <v>1338</v>
      </c>
      <c r="AF86" s="146"/>
      <c r="AG86" s="146"/>
      <c r="AH86" s="136">
        <f t="shared" si="16"/>
        <v>1</v>
      </c>
      <c r="AI86" s="27" t="s">
        <v>161</v>
      </c>
      <c r="AJ86" s="146"/>
      <c r="AK86" s="146"/>
      <c r="AL86" s="146" t="s">
        <v>163</v>
      </c>
      <c r="AM86" s="146"/>
      <c r="AN86" s="146"/>
      <c r="AO86" s="146" t="s">
        <v>182</v>
      </c>
      <c r="AP86" s="146" t="s">
        <v>181</v>
      </c>
      <c r="AQ86" s="293" t="s">
        <v>250</v>
      </c>
      <c r="AR86" s="146" t="s">
        <v>150</v>
      </c>
      <c r="AS86" s="146"/>
      <c r="AT86" s="411" t="s">
        <v>537</v>
      </c>
      <c r="AU86" s="136" t="s">
        <v>1339</v>
      </c>
      <c r="AV86" s="139"/>
      <c r="AW86" s="141">
        <v>41700</v>
      </c>
      <c r="AX86" s="141">
        <v>41946</v>
      </c>
      <c r="AY86" s="141" t="s">
        <v>150</v>
      </c>
      <c r="AZ86" s="141"/>
      <c r="BA86" s="141"/>
      <c r="BB86" s="141"/>
      <c r="BC86" s="141"/>
      <c r="BD86" s="141"/>
      <c r="BE86" s="142"/>
      <c r="BF86" s="141">
        <v>42585</v>
      </c>
      <c r="BG86" s="141" t="s">
        <v>150</v>
      </c>
      <c r="BH86" s="141">
        <v>42793</v>
      </c>
      <c r="BI86" s="141" t="s">
        <v>150</v>
      </c>
      <c r="BJ86" s="139"/>
      <c r="BK86" s="139"/>
      <c r="BL86" s="139"/>
      <c r="BM86" s="143">
        <v>43201</v>
      </c>
      <c r="BN86" s="136" t="s">
        <v>16</v>
      </c>
      <c r="BO86" s="235">
        <f t="shared" ref="BO86:BO94" si="21">DATEDIF(AW86,BM86, "M")+1</f>
        <v>50</v>
      </c>
      <c r="BP86" s="136">
        <f t="shared" ref="BP86:BP100" si="22">DATEDIF(AX86,BM86, "M")+1</f>
        <v>42</v>
      </c>
      <c r="BQ86" s="147" t="s">
        <v>1340</v>
      </c>
      <c r="BR86" s="136">
        <v>0</v>
      </c>
      <c r="BS86" s="136">
        <v>0</v>
      </c>
      <c r="BT86" s="136">
        <v>6</v>
      </c>
      <c r="BU86" s="136">
        <v>1</v>
      </c>
      <c r="BV86" s="136">
        <v>0</v>
      </c>
      <c r="BW86" s="136">
        <v>0</v>
      </c>
      <c r="BX86" s="136">
        <v>0</v>
      </c>
      <c r="BY86" s="136" t="s">
        <v>163</v>
      </c>
      <c r="BZ86" s="136">
        <v>0</v>
      </c>
      <c r="CA86" s="136"/>
      <c r="CB86" s="144"/>
      <c r="CC86" s="144"/>
      <c r="CD86" s="136"/>
      <c r="CE86" s="136" t="s">
        <v>163</v>
      </c>
      <c r="CF86" s="136"/>
      <c r="CG86" s="136"/>
      <c r="CH86" s="374">
        <v>1</v>
      </c>
      <c r="CI86" s="136">
        <v>1</v>
      </c>
      <c r="CJ86" s="136"/>
      <c r="CK86" s="136" t="s">
        <v>809</v>
      </c>
    </row>
    <row r="87" spans="1:89" ht="24.95" customHeight="1">
      <c r="A87" s="136">
        <v>90</v>
      </c>
      <c r="B87" s="136" t="s">
        <v>1341</v>
      </c>
      <c r="C87" s="136" t="s">
        <v>1342</v>
      </c>
      <c r="D87" s="136" t="s">
        <v>1343</v>
      </c>
      <c r="E87" s="136" t="s">
        <v>1344</v>
      </c>
      <c r="F87" s="136" t="s">
        <v>25</v>
      </c>
      <c r="G87" s="136">
        <v>4</v>
      </c>
      <c r="H87" s="129" t="s">
        <v>52</v>
      </c>
      <c r="I87" s="129" t="s">
        <v>38</v>
      </c>
      <c r="J87" s="129" t="s">
        <v>602</v>
      </c>
      <c r="K87" s="129" t="s">
        <v>1345</v>
      </c>
      <c r="L87" s="129" t="s">
        <v>45</v>
      </c>
      <c r="M87" s="129" t="s">
        <v>163</v>
      </c>
      <c r="N87" s="195" t="s">
        <v>1346</v>
      </c>
      <c r="O87" s="239" t="s">
        <v>151</v>
      </c>
      <c r="P87" s="25" t="s">
        <v>151</v>
      </c>
      <c r="Q87" s="136" t="s">
        <v>151</v>
      </c>
      <c r="R87" s="136" t="s">
        <v>1347</v>
      </c>
      <c r="S87" s="306" t="s">
        <v>1348</v>
      </c>
      <c r="T87" s="345" t="s">
        <v>1349</v>
      </c>
      <c r="U87" s="139" t="s">
        <v>1350</v>
      </c>
      <c r="V87" s="139">
        <v>28270</v>
      </c>
      <c r="W87" s="147" t="s">
        <v>1351</v>
      </c>
      <c r="X87" s="147" t="s">
        <v>179</v>
      </c>
      <c r="Y87" s="147" t="s">
        <v>163</v>
      </c>
      <c r="Z87" s="147" t="s">
        <v>158</v>
      </c>
      <c r="AA87" s="136">
        <v>21</v>
      </c>
      <c r="AB87" s="139">
        <v>41756</v>
      </c>
      <c r="AC87" s="285">
        <v>41699</v>
      </c>
      <c r="AD87" s="139"/>
      <c r="AE87" s="27" t="s">
        <v>1352</v>
      </c>
      <c r="AF87" s="146" t="s">
        <v>1353</v>
      </c>
      <c r="AG87" s="146" t="s">
        <v>1354</v>
      </c>
      <c r="AH87" s="136">
        <f t="shared" si="16"/>
        <v>3</v>
      </c>
      <c r="AI87" s="27" t="s">
        <v>162</v>
      </c>
      <c r="AJ87" s="146"/>
      <c r="AK87" s="146"/>
      <c r="AL87" s="146" t="s">
        <v>150</v>
      </c>
      <c r="AM87" s="146"/>
      <c r="AN87" s="146"/>
      <c r="AO87" s="146" t="s">
        <v>182</v>
      </c>
      <c r="AP87" s="146" t="s">
        <v>1355</v>
      </c>
      <c r="AQ87" s="146" t="s">
        <v>1356</v>
      </c>
      <c r="AR87" s="146" t="s">
        <v>150</v>
      </c>
      <c r="AS87" s="146"/>
      <c r="AT87" s="411" t="s">
        <v>1357</v>
      </c>
      <c r="AU87" s="136" t="s">
        <v>1358</v>
      </c>
      <c r="AV87" s="139"/>
      <c r="AW87" s="141">
        <v>41700</v>
      </c>
      <c r="AX87" s="141">
        <v>41946</v>
      </c>
      <c r="AY87" s="141" t="s">
        <v>150</v>
      </c>
      <c r="AZ87" s="141">
        <v>42235</v>
      </c>
      <c r="BA87" s="141">
        <v>42195</v>
      </c>
      <c r="BB87" s="141"/>
      <c r="BC87" s="141"/>
      <c r="BD87" s="141"/>
      <c r="BE87" s="142" t="s">
        <v>1359</v>
      </c>
      <c r="BF87" s="141">
        <v>42585</v>
      </c>
      <c r="BG87" s="141" t="s">
        <v>150</v>
      </c>
      <c r="BH87" s="141">
        <v>42793</v>
      </c>
      <c r="BI87" s="141" t="s">
        <v>150</v>
      </c>
      <c r="BJ87" s="139"/>
      <c r="BK87" s="139"/>
      <c r="BL87" s="139"/>
      <c r="BM87" s="143">
        <v>43657</v>
      </c>
      <c r="BN87" s="136" t="s">
        <v>16</v>
      </c>
      <c r="BO87" s="235">
        <f t="shared" si="21"/>
        <v>65</v>
      </c>
      <c r="BP87" s="136">
        <f t="shared" si="22"/>
        <v>57</v>
      </c>
      <c r="BQ87" s="136"/>
      <c r="BR87" s="136">
        <v>2</v>
      </c>
      <c r="BS87" s="136">
        <v>17</v>
      </c>
      <c r="BT87" s="136">
        <v>6</v>
      </c>
      <c r="BU87" s="136">
        <v>3</v>
      </c>
      <c r="BV87" s="136">
        <v>1</v>
      </c>
      <c r="BW87" s="136">
        <v>0</v>
      </c>
      <c r="BX87" s="136">
        <v>0</v>
      </c>
      <c r="BY87" s="136" t="s">
        <v>163</v>
      </c>
      <c r="BZ87" s="136">
        <v>0</v>
      </c>
      <c r="CA87" s="136"/>
      <c r="CB87" s="144"/>
      <c r="CC87" s="144"/>
      <c r="CD87" s="136"/>
      <c r="CE87" s="136" t="s">
        <v>163</v>
      </c>
      <c r="CF87" s="136"/>
      <c r="CG87" s="136"/>
      <c r="CH87" s="374">
        <v>3</v>
      </c>
      <c r="CI87" s="136">
        <v>3</v>
      </c>
      <c r="CJ87" s="136"/>
      <c r="CK87" s="136" t="s">
        <v>809</v>
      </c>
    </row>
    <row r="88" spans="1:89" ht="24.95" customHeight="1">
      <c r="A88" s="136">
        <v>91</v>
      </c>
      <c r="B88" s="136" t="s">
        <v>1360</v>
      </c>
      <c r="C88" s="136" t="s">
        <v>1361</v>
      </c>
      <c r="D88" s="136" t="s">
        <v>1362</v>
      </c>
      <c r="E88" s="136" t="s">
        <v>438</v>
      </c>
      <c r="F88" s="136" t="s">
        <v>24</v>
      </c>
      <c r="G88" s="136">
        <v>4</v>
      </c>
      <c r="H88" s="129" t="s">
        <v>54</v>
      </c>
      <c r="I88" s="129" t="s">
        <v>39</v>
      </c>
      <c r="J88" s="129" t="s">
        <v>1363</v>
      </c>
      <c r="K88" s="129" t="s">
        <v>1364</v>
      </c>
      <c r="L88" s="129" t="s">
        <v>39</v>
      </c>
      <c r="M88" s="129" t="s">
        <v>150</v>
      </c>
      <c r="N88" s="195" t="s">
        <v>1365</v>
      </c>
      <c r="O88" s="239" t="s">
        <v>151</v>
      </c>
      <c r="P88" s="25" t="s">
        <v>151</v>
      </c>
      <c r="Q88" s="136" t="s">
        <v>151</v>
      </c>
      <c r="R88" s="136" t="s">
        <v>1366</v>
      </c>
      <c r="S88" s="145" t="s">
        <v>1367</v>
      </c>
      <c r="T88" s="346" t="s">
        <v>1368</v>
      </c>
      <c r="U88" s="139" t="s">
        <v>1369</v>
      </c>
      <c r="V88" s="139">
        <v>26239</v>
      </c>
      <c r="W88" s="147" t="s">
        <v>1370</v>
      </c>
      <c r="X88" s="147" t="s">
        <v>179</v>
      </c>
      <c r="Y88" s="147" t="s">
        <v>163</v>
      </c>
      <c r="Z88" s="147" t="s">
        <v>158</v>
      </c>
      <c r="AA88" s="136">
        <v>26</v>
      </c>
      <c r="AB88" s="139">
        <v>41156</v>
      </c>
      <c r="AC88" s="285">
        <v>41699</v>
      </c>
      <c r="AD88" s="139"/>
      <c r="AE88" s="27" t="s">
        <v>1371</v>
      </c>
      <c r="AF88" s="146"/>
      <c r="AG88" s="146"/>
      <c r="AH88" s="136">
        <f t="shared" si="16"/>
        <v>1</v>
      </c>
      <c r="AI88" s="27" t="s">
        <v>161</v>
      </c>
      <c r="AJ88" s="146"/>
      <c r="AK88" s="146"/>
      <c r="AL88" s="146" t="s">
        <v>150</v>
      </c>
      <c r="AM88" s="146"/>
      <c r="AN88" s="146"/>
      <c r="AO88" s="146" t="s">
        <v>164</v>
      </c>
      <c r="AP88" s="146" t="s">
        <v>1372</v>
      </c>
      <c r="AQ88" s="146"/>
      <c r="AR88" s="146"/>
      <c r="AS88" s="146"/>
      <c r="AT88" s="411" t="s">
        <v>285</v>
      </c>
      <c r="AU88" s="136" t="s">
        <v>1373</v>
      </c>
      <c r="AV88" s="139"/>
      <c r="AW88" s="141">
        <v>41700</v>
      </c>
      <c r="AX88" s="141">
        <v>41946</v>
      </c>
      <c r="AY88" s="141" t="s">
        <v>150</v>
      </c>
      <c r="AZ88" s="141"/>
      <c r="BA88" s="141"/>
      <c r="BB88" s="141"/>
      <c r="BC88" s="141"/>
      <c r="BD88" s="141"/>
      <c r="BE88" s="142"/>
      <c r="BF88" s="141">
        <v>42585</v>
      </c>
      <c r="BG88" s="141" t="s">
        <v>150</v>
      </c>
      <c r="BH88" s="141">
        <v>42793</v>
      </c>
      <c r="BI88" s="141" t="s">
        <v>150</v>
      </c>
      <c r="BJ88" s="139"/>
      <c r="BK88" s="139"/>
      <c r="BL88" s="139"/>
      <c r="BM88" s="143">
        <v>42460</v>
      </c>
      <c r="BN88" s="136" t="s">
        <v>16</v>
      </c>
      <c r="BO88" s="235">
        <f t="shared" si="21"/>
        <v>25</v>
      </c>
      <c r="BP88" s="136">
        <f t="shared" si="22"/>
        <v>17</v>
      </c>
      <c r="BQ88" s="136"/>
      <c r="BR88" s="136">
        <v>3</v>
      </c>
      <c r="BS88" s="136">
        <v>0</v>
      </c>
      <c r="BT88" s="136">
        <v>2</v>
      </c>
      <c r="BU88" s="136">
        <v>0</v>
      </c>
      <c r="BV88" s="136">
        <v>0</v>
      </c>
      <c r="BW88" s="136">
        <v>0</v>
      </c>
      <c r="BX88" s="136">
        <v>0</v>
      </c>
      <c r="BY88" s="136" t="s">
        <v>163</v>
      </c>
      <c r="BZ88" s="136">
        <v>0</v>
      </c>
      <c r="CA88" s="136"/>
      <c r="CB88" s="144"/>
      <c r="CC88" s="144"/>
      <c r="CD88" s="136"/>
      <c r="CE88" s="136" t="s">
        <v>163</v>
      </c>
      <c r="CF88" s="136"/>
      <c r="CG88" s="136"/>
      <c r="CH88" s="374">
        <v>1</v>
      </c>
      <c r="CI88" s="136">
        <v>1</v>
      </c>
      <c r="CJ88" s="136"/>
      <c r="CK88" s="136" t="s">
        <v>809</v>
      </c>
    </row>
    <row r="89" spans="1:89" ht="24.95" customHeight="1">
      <c r="A89" s="136">
        <v>92</v>
      </c>
      <c r="B89" s="136" t="s">
        <v>1374</v>
      </c>
      <c r="C89" s="136" t="s">
        <v>1375</v>
      </c>
      <c r="D89" s="136" t="s">
        <v>20</v>
      </c>
      <c r="E89" s="136" t="s">
        <v>1376</v>
      </c>
      <c r="F89" s="136" t="s">
        <v>25</v>
      </c>
      <c r="G89" s="136">
        <v>4</v>
      </c>
      <c r="H89" s="129" t="s">
        <v>58</v>
      </c>
      <c r="I89" s="129" t="s">
        <v>45</v>
      </c>
      <c r="J89" s="129" t="s">
        <v>1377</v>
      </c>
      <c r="K89" s="129" t="s">
        <v>1378</v>
      </c>
      <c r="L89" s="129" t="s">
        <v>45</v>
      </c>
      <c r="M89" s="129" t="s">
        <v>150</v>
      </c>
      <c r="N89" s="195" t="s">
        <v>1379</v>
      </c>
      <c r="O89" s="239" t="s">
        <v>151</v>
      </c>
      <c r="P89" s="25" t="s">
        <v>151</v>
      </c>
      <c r="Q89" s="136" t="s">
        <v>151</v>
      </c>
      <c r="R89" s="145" t="s">
        <v>1380</v>
      </c>
      <c r="S89" s="136" t="s">
        <v>1381</v>
      </c>
      <c r="T89" s="345" t="s">
        <v>1382</v>
      </c>
      <c r="U89" s="139" t="s">
        <v>1383</v>
      </c>
      <c r="V89" s="139">
        <v>28287</v>
      </c>
      <c r="W89" s="147" t="s">
        <v>1384</v>
      </c>
      <c r="X89" s="147" t="s">
        <v>179</v>
      </c>
      <c r="Y89" s="147" t="s">
        <v>163</v>
      </c>
      <c r="Z89" s="147" t="s">
        <v>158</v>
      </c>
      <c r="AA89" s="136">
        <v>20.5</v>
      </c>
      <c r="AB89" s="139">
        <v>41640</v>
      </c>
      <c r="AC89" s="285">
        <v>41699</v>
      </c>
      <c r="AD89" s="139"/>
      <c r="AE89" s="27" t="s">
        <v>1385</v>
      </c>
      <c r="AF89" s="146" t="s">
        <v>1386</v>
      </c>
      <c r="AG89" s="146"/>
      <c r="AH89" s="136">
        <f t="shared" si="16"/>
        <v>2</v>
      </c>
      <c r="AI89" s="27" t="s">
        <v>161</v>
      </c>
      <c r="AJ89" s="146"/>
      <c r="AK89" s="146"/>
      <c r="AL89" s="146" t="s">
        <v>150</v>
      </c>
      <c r="AM89" s="146"/>
      <c r="AN89" s="146"/>
      <c r="AO89" s="146" t="s">
        <v>164</v>
      </c>
      <c r="AP89" s="146" t="s">
        <v>370</v>
      </c>
      <c r="AQ89" s="146" t="s">
        <v>250</v>
      </c>
      <c r="AR89" s="146" t="s">
        <v>150</v>
      </c>
      <c r="AS89" s="146" t="s">
        <v>1387</v>
      </c>
      <c r="AT89" s="411" t="s">
        <v>372</v>
      </c>
      <c r="AU89" s="136" t="s">
        <v>1388</v>
      </c>
      <c r="AV89" s="139"/>
      <c r="AW89" s="141">
        <v>41700</v>
      </c>
      <c r="AX89" s="141">
        <v>41946</v>
      </c>
      <c r="AY89" s="141" t="s">
        <v>150</v>
      </c>
      <c r="AZ89" s="141"/>
      <c r="BA89" s="141"/>
      <c r="BB89" s="141"/>
      <c r="BC89" s="141"/>
      <c r="BD89" s="141"/>
      <c r="BE89" s="142" t="s">
        <v>1389</v>
      </c>
      <c r="BF89" s="141">
        <v>42585</v>
      </c>
      <c r="BG89" s="141" t="s">
        <v>150</v>
      </c>
      <c r="BH89" s="141">
        <v>43164</v>
      </c>
      <c r="BI89" s="141" t="s">
        <v>163</v>
      </c>
      <c r="BJ89" s="139"/>
      <c r="BK89" s="139"/>
      <c r="BL89" s="139"/>
      <c r="BM89" s="143">
        <v>43285</v>
      </c>
      <c r="BN89" s="136" t="s">
        <v>16</v>
      </c>
      <c r="BO89" s="235">
        <f t="shared" si="21"/>
        <v>53</v>
      </c>
      <c r="BP89" s="136">
        <f t="shared" si="22"/>
        <v>45</v>
      </c>
      <c r="BQ89" s="147" t="s">
        <v>1389</v>
      </c>
      <c r="BR89" s="136">
        <v>1</v>
      </c>
      <c r="BS89" s="136">
        <v>5</v>
      </c>
      <c r="BT89" s="136">
        <v>6</v>
      </c>
      <c r="BU89" s="136">
        <v>2</v>
      </c>
      <c r="BV89" s="136">
        <v>2</v>
      </c>
      <c r="BW89" s="136">
        <v>0</v>
      </c>
      <c r="BX89" s="136">
        <v>0</v>
      </c>
      <c r="BY89" s="136" t="s">
        <v>163</v>
      </c>
      <c r="BZ89" s="136">
        <v>0</v>
      </c>
      <c r="CA89" s="136"/>
      <c r="CB89" s="144"/>
      <c r="CC89" s="144"/>
      <c r="CD89" s="136"/>
      <c r="CE89" s="136" t="s">
        <v>163</v>
      </c>
      <c r="CF89" s="136"/>
      <c r="CG89" s="136"/>
      <c r="CH89" s="374">
        <v>1</v>
      </c>
      <c r="CI89" s="136">
        <v>2</v>
      </c>
      <c r="CJ89" s="136">
        <v>1</v>
      </c>
      <c r="CK89" s="136" t="s">
        <v>809</v>
      </c>
    </row>
    <row r="90" spans="1:89" ht="24.95" customHeight="1">
      <c r="A90" s="136">
        <v>93</v>
      </c>
      <c r="B90" s="136" t="s">
        <v>1390</v>
      </c>
      <c r="C90" s="136" t="s">
        <v>1391</v>
      </c>
      <c r="D90" s="136" t="s">
        <v>1392</v>
      </c>
      <c r="E90" s="136" t="s">
        <v>1393</v>
      </c>
      <c r="F90" s="136" t="s">
        <v>24</v>
      </c>
      <c r="G90" s="136">
        <v>4</v>
      </c>
      <c r="H90" s="129" t="s">
        <v>52</v>
      </c>
      <c r="I90" s="129" t="s">
        <v>42</v>
      </c>
      <c r="J90" s="129" t="s">
        <v>1394</v>
      </c>
      <c r="K90" s="129" t="s">
        <v>1395</v>
      </c>
      <c r="L90" s="129" t="s">
        <v>42</v>
      </c>
      <c r="M90" s="129" t="s">
        <v>150</v>
      </c>
      <c r="N90" s="136" t="s">
        <v>1396</v>
      </c>
      <c r="O90" s="236" t="s">
        <v>151</v>
      </c>
      <c r="P90" s="237" t="s">
        <v>151</v>
      </c>
      <c r="Q90" s="136" t="s">
        <v>151</v>
      </c>
      <c r="R90" s="136" t="s">
        <v>1397</v>
      </c>
      <c r="S90" s="145" t="s">
        <v>1398</v>
      </c>
      <c r="T90" s="346" t="s">
        <v>1399</v>
      </c>
      <c r="U90" s="139" t="s">
        <v>1400</v>
      </c>
      <c r="V90" s="139">
        <v>30065</v>
      </c>
      <c r="W90" s="147" t="s">
        <v>1401</v>
      </c>
      <c r="X90" s="147" t="s">
        <v>179</v>
      </c>
      <c r="Y90" s="147" t="s">
        <v>157</v>
      </c>
      <c r="Z90" s="147" t="s">
        <v>158</v>
      </c>
      <c r="AA90" s="136">
        <v>38</v>
      </c>
      <c r="AB90" s="139">
        <v>42065</v>
      </c>
      <c r="AC90" s="285">
        <v>41699</v>
      </c>
      <c r="AD90" s="139"/>
      <c r="AE90" s="28" t="s">
        <v>1402</v>
      </c>
      <c r="AF90" s="136"/>
      <c r="AG90" s="136"/>
      <c r="AH90" s="136">
        <f t="shared" si="16"/>
        <v>1</v>
      </c>
      <c r="AI90" s="27" t="s">
        <v>161</v>
      </c>
      <c r="AJ90" s="136"/>
      <c r="AK90" s="136"/>
      <c r="AL90" s="136" t="s">
        <v>150</v>
      </c>
      <c r="AM90" s="136"/>
      <c r="AN90" s="136"/>
      <c r="AO90" s="136" t="s">
        <v>164</v>
      </c>
      <c r="AP90" s="136" t="s">
        <v>1281</v>
      </c>
      <c r="AQ90" s="136" t="s">
        <v>203</v>
      </c>
      <c r="AR90" s="136"/>
      <c r="AS90" s="136"/>
      <c r="AT90" s="26" t="s">
        <v>420</v>
      </c>
      <c r="AU90" s="136" t="s">
        <v>1403</v>
      </c>
      <c r="AV90" s="139"/>
      <c r="AW90" s="141">
        <v>41700</v>
      </c>
      <c r="AX90" s="141">
        <v>41946</v>
      </c>
      <c r="AY90" s="141" t="s">
        <v>150</v>
      </c>
      <c r="AZ90" s="141">
        <v>42199</v>
      </c>
      <c r="BA90" s="141">
        <v>42137</v>
      </c>
      <c r="BB90" s="141"/>
      <c r="BC90" s="141"/>
      <c r="BD90" s="141"/>
      <c r="BE90" s="142"/>
      <c r="BF90" s="141">
        <v>42585</v>
      </c>
      <c r="BG90" s="141" t="s">
        <v>150</v>
      </c>
      <c r="BH90" s="141">
        <v>42793</v>
      </c>
      <c r="BI90" s="141" t="s">
        <v>150</v>
      </c>
      <c r="BJ90" s="139"/>
      <c r="BK90" s="139"/>
      <c r="BL90" s="139"/>
      <c r="BM90" s="143">
        <v>44827</v>
      </c>
      <c r="BN90" s="150" t="s">
        <v>16</v>
      </c>
      <c r="BO90" s="235">
        <f t="shared" si="21"/>
        <v>103</v>
      </c>
      <c r="BP90" s="136">
        <f t="shared" si="22"/>
        <v>95</v>
      </c>
      <c r="BQ90" s="136"/>
      <c r="BR90" s="136">
        <v>0</v>
      </c>
      <c r="BS90" s="136">
        <v>1</v>
      </c>
      <c r="BT90" s="136">
        <v>0</v>
      </c>
      <c r="BU90" s="136">
        <v>1</v>
      </c>
      <c r="BV90" s="136">
        <v>0</v>
      </c>
      <c r="BW90" s="136">
        <v>0</v>
      </c>
      <c r="BX90" s="136">
        <v>0</v>
      </c>
      <c r="BY90" s="136" t="s">
        <v>163</v>
      </c>
      <c r="BZ90" s="136">
        <v>0</v>
      </c>
      <c r="CA90" s="136"/>
      <c r="CB90" s="144"/>
      <c r="CC90" s="144"/>
      <c r="CD90" s="136"/>
      <c r="CE90" s="136" t="s">
        <v>163</v>
      </c>
      <c r="CF90" s="136"/>
      <c r="CG90" s="136"/>
      <c r="CH90" s="374">
        <v>2</v>
      </c>
      <c r="CI90" s="136">
        <v>3</v>
      </c>
      <c r="CJ90" s="136"/>
      <c r="CK90" s="136" t="s">
        <v>809</v>
      </c>
    </row>
    <row r="91" spans="1:89" ht="24.95" customHeight="1">
      <c r="A91" s="136">
        <v>94</v>
      </c>
      <c r="B91" s="136" t="s">
        <v>1404</v>
      </c>
      <c r="C91" s="136" t="s">
        <v>1405</v>
      </c>
      <c r="D91" s="136" t="s">
        <v>1406</v>
      </c>
      <c r="E91" s="136" t="s">
        <v>1407</v>
      </c>
      <c r="F91" s="136" t="s">
        <v>25</v>
      </c>
      <c r="G91" s="136">
        <v>4</v>
      </c>
      <c r="H91" s="129" t="s">
        <v>59</v>
      </c>
      <c r="I91" s="129" t="s">
        <v>41</v>
      </c>
      <c r="J91" s="129" t="s">
        <v>1408</v>
      </c>
      <c r="K91" s="129" t="s">
        <v>1408</v>
      </c>
      <c r="L91" s="129" t="s">
        <v>41</v>
      </c>
      <c r="M91" s="129" t="s">
        <v>150</v>
      </c>
      <c r="N91" s="195" t="s">
        <v>1409</v>
      </c>
      <c r="O91" s="239" t="s">
        <v>151</v>
      </c>
      <c r="P91" s="25" t="s">
        <v>151</v>
      </c>
      <c r="Q91" s="136" t="s">
        <v>151</v>
      </c>
      <c r="R91" s="136" t="s">
        <v>1410</v>
      </c>
      <c r="S91" s="136" t="s">
        <v>1411</v>
      </c>
      <c r="T91" s="345" t="s">
        <v>1412</v>
      </c>
      <c r="U91" s="139" t="s">
        <v>1413</v>
      </c>
      <c r="V91" s="139">
        <v>29335</v>
      </c>
      <c r="W91" s="147" t="s">
        <v>1414</v>
      </c>
      <c r="X91" s="147" t="s">
        <v>179</v>
      </c>
      <c r="Y91" s="147" t="s">
        <v>163</v>
      </c>
      <c r="Z91" s="147" t="s">
        <v>158</v>
      </c>
      <c r="AA91" s="136">
        <v>19.5</v>
      </c>
      <c r="AB91" s="139">
        <v>41746</v>
      </c>
      <c r="AC91" s="285">
        <v>41699</v>
      </c>
      <c r="AD91" s="139"/>
      <c r="AE91" s="27" t="s">
        <v>1415</v>
      </c>
      <c r="AF91" s="140" t="s">
        <v>1416</v>
      </c>
      <c r="AG91" s="140"/>
      <c r="AH91" s="136">
        <f t="shared" si="16"/>
        <v>2</v>
      </c>
      <c r="AI91" s="27" t="s">
        <v>161</v>
      </c>
      <c r="AJ91" s="140"/>
      <c r="AK91" s="140"/>
      <c r="AL91" s="140" t="s">
        <v>150</v>
      </c>
      <c r="AM91" s="140"/>
      <c r="AN91" s="140"/>
      <c r="AO91" s="140" t="s">
        <v>164</v>
      </c>
      <c r="AP91" s="140" t="s">
        <v>181</v>
      </c>
      <c r="AQ91" s="140" t="s">
        <v>203</v>
      </c>
      <c r="AR91" s="140" t="s">
        <v>150</v>
      </c>
      <c r="AS91" s="140"/>
      <c r="AT91" s="412" t="s">
        <v>537</v>
      </c>
      <c r="AU91" s="136" t="s">
        <v>1417</v>
      </c>
      <c r="AV91" s="139"/>
      <c r="AW91" s="141">
        <v>41700</v>
      </c>
      <c r="AX91" s="141">
        <v>41946</v>
      </c>
      <c r="AY91" s="141" t="s">
        <v>150</v>
      </c>
      <c r="AZ91" s="141">
        <v>41706</v>
      </c>
      <c r="BA91" s="141"/>
      <c r="BB91" s="141">
        <v>42080</v>
      </c>
      <c r="BC91" s="141"/>
      <c r="BD91" s="141"/>
      <c r="BE91" s="142" t="s">
        <v>1418</v>
      </c>
      <c r="BF91" s="141">
        <v>42585</v>
      </c>
      <c r="BG91" s="141" t="s">
        <v>150</v>
      </c>
      <c r="BH91" s="141">
        <v>42793</v>
      </c>
      <c r="BI91" s="141" t="s">
        <v>150</v>
      </c>
      <c r="BJ91" s="139">
        <v>43165</v>
      </c>
      <c r="BK91" s="139">
        <v>43376</v>
      </c>
      <c r="BL91" s="139">
        <v>43399</v>
      </c>
      <c r="BM91" s="143">
        <v>43417</v>
      </c>
      <c r="BN91" s="136" t="s">
        <v>16</v>
      </c>
      <c r="BO91" s="235">
        <f t="shared" si="21"/>
        <v>57</v>
      </c>
      <c r="BP91" s="136">
        <f t="shared" si="22"/>
        <v>49</v>
      </c>
      <c r="BQ91" s="147" t="s">
        <v>1418</v>
      </c>
      <c r="BR91" s="136">
        <v>0</v>
      </c>
      <c r="BS91" s="136">
        <v>0</v>
      </c>
      <c r="BT91" s="136">
        <v>3</v>
      </c>
      <c r="BU91" s="136">
        <v>2</v>
      </c>
      <c r="BV91" s="136">
        <v>0</v>
      </c>
      <c r="BW91" s="136">
        <v>0</v>
      </c>
      <c r="BX91" s="136">
        <v>0</v>
      </c>
      <c r="BY91" s="136" t="s">
        <v>163</v>
      </c>
      <c r="BZ91" s="136">
        <v>0</v>
      </c>
      <c r="CA91" s="136"/>
      <c r="CB91" s="144"/>
      <c r="CC91" s="144"/>
      <c r="CD91" s="136"/>
      <c r="CE91" s="136" t="s">
        <v>163</v>
      </c>
      <c r="CF91" s="136"/>
      <c r="CG91" s="136"/>
      <c r="CH91" s="374">
        <v>2</v>
      </c>
      <c r="CI91" s="136">
        <v>2</v>
      </c>
      <c r="CJ91" s="136"/>
      <c r="CK91" s="136" t="s">
        <v>538</v>
      </c>
    </row>
    <row r="92" spans="1:89" ht="24.95" customHeight="1">
      <c r="A92" s="136">
        <v>95</v>
      </c>
      <c r="B92" s="136" t="s">
        <v>1419</v>
      </c>
      <c r="C92" s="136" t="s">
        <v>424</v>
      </c>
      <c r="D92" s="136" t="s">
        <v>599</v>
      </c>
      <c r="E92" s="136" t="s">
        <v>1420</v>
      </c>
      <c r="F92" s="136" t="s">
        <v>25</v>
      </c>
      <c r="G92" s="136">
        <v>4</v>
      </c>
      <c r="H92" s="129" t="s">
        <v>54</v>
      </c>
      <c r="I92" s="129" t="s">
        <v>39</v>
      </c>
      <c r="J92" s="129" t="s">
        <v>1421</v>
      </c>
      <c r="K92" s="129" t="s">
        <v>1422</v>
      </c>
      <c r="L92" s="129" t="s">
        <v>39</v>
      </c>
      <c r="M92" s="129" t="s">
        <v>150</v>
      </c>
      <c r="N92" s="195"/>
      <c r="O92" s="239" t="s">
        <v>151</v>
      </c>
      <c r="P92" s="25" t="s">
        <v>151</v>
      </c>
      <c r="Q92" s="136" t="s">
        <v>151</v>
      </c>
      <c r="R92" s="387" t="s">
        <v>1423</v>
      </c>
      <c r="S92" s="136" t="s">
        <v>1424</v>
      </c>
      <c r="T92" s="345" t="s">
        <v>1425</v>
      </c>
      <c r="U92" s="139" t="s">
        <v>1426</v>
      </c>
      <c r="V92" s="139">
        <v>28031</v>
      </c>
      <c r="W92" s="147" t="s">
        <v>1427</v>
      </c>
      <c r="X92" s="147" t="s">
        <v>179</v>
      </c>
      <c r="Y92" s="147" t="s">
        <v>163</v>
      </c>
      <c r="Z92" s="147" t="s">
        <v>158</v>
      </c>
      <c r="AA92" s="136">
        <v>31.5</v>
      </c>
      <c r="AB92" s="139">
        <v>41866</v>
      </c>
      <c r="AC92" s="285">
        <v>41699</v>
      </c>
      <c r="AD92" s="139"/>
      <c r="AE92" s="27" t="s">
        <v>1428</v>
      </c>
      <c r="AF92" s="146"/>
      <c r="AG92" s="146"/>
      <c r="AH92" s="136">
        <f t="shared" si="16"/>
        <v>1</v>
      </c>
      <c r="AI92" s="27" t="s">
        <v>161</v>
      </c>
      <c r="AJ92" s="146"/>
      <c r="AK92" s="146"/>
      <c r="AL92" s="146" t="s">
        <v>150</v>
      </c>
      <c r="AM92" s="146"/>
      <c r="AN92" s="146"/>
      <c r="AO92" s="146" t="s">
        <v>164</v>
      </c>
      <c r="AP92" s="146" t="s">
        <v>445</v>
      </c>
      <c r="AQ92" s="146" t="s">
        <v>250</v>
      </c>
      <c r="AR92" s="146" t="s">
        <v>150</v>
      </c>
      <c r="AS92" s="146"/>
      <c r="AT92" s="411" t="s">
        <v>285</v>
      </c>
      <c r="AU92" s="136" t="s">
        <v>1429</v>
      </c>
      <c r="AV92" s="139"/>
      <c r="AW92" s="141">
        <v>41700</v>
      </c>
      <c r="AX92" s="141">
        <v>41946</v>
      </c>
      <c r="AY92" s="141" t="s">
        <v>150</v>
      </c>
      <c r="AZ92" s="141"/>
      <c r="BA92" s="141"/>
      <c r="BB92" s="141"/>
      <c r="BC92" s="141"/>
      <c r="BD92" s="141"/>
      <c r="BE92" s="142"/>
      <c r="BF92" s="141">
        <v>42951</v>
      </c>
      <c r="BG92" s="141" t="s">
        <v>163</v>
      </c>
      <c r="BH92" s="141">
        <v>43164</v>
      </c>
      <c r="BI92" s="141" t="s">
        <v>163</v>
      </c>
      <c r="BJ92" s="139"/>
      <c r="BK92" s="139"/>
      <c r="BL92" s="139"/>
      <c r="BM92" s="143">
        <v>43433</v>
      </c>
      <c r="BN92" s="136" t="s">
        <v>16</v>
      </c>
      <c r="BO92" s="235">
        <f t="shared" si="21"/>
        <v>57</v>
      </c>
      <c r="BP92" s="136">
        <f t="shared" si="22"/>
        <v>49</v>
      </c>
      <c r="BQ92" s="147" t="s">
        <v>1430</v>
      </c>
      <c r="BR92" s="136">
        <v>0</v>
      </c>
      <c r="BS92" s="136">
        <v>1</v>
      </c>
      <c r="BT92" s="136">
        <v>4</v>
      </c>
      <c r="BU92" s="136">
        <v>1</v>
      </c>
      <c r="BV92" s="136">
        <v>2</v>
      </c>
      <c r="BW92" s="136">
        <v>0</v>
      </c>
      <c r="BX92" s="136">
        <v>0</v>
      </c>
      <c r="BY92" s="136" t="s">
        <v>163</v>
      </c>
      <c r="BZ92" s="136">
        <v>0</v>
      </c>
      <c r="CA92" s="136"/>
      <c r="CB92" s="144"/>
      <c r="CC92" s="144"/>
      <c r="CD92" s="136"/>
      <c r="CE92" s="136" t="s">
        <v>163</v>
      </c>
      <c r="CF92" s="136"/>
      <c r="CG92" s="136"/>
      <c r="CH92" s="374">
        <v>2</v>
      </c>
      <c r="CI92" s="136">
        <v>3</v>
      </c>
      <c r="CJ92" s="136"/>
      <c r="CK92" s="136" t="s">
        <v>1296</v>
      </c>
    </row>
    <row r="93" spans="1:89" ht="24.95" customHeight="1">
      <c r="A93" s="136">
        <v>96</v>
      </c>
      <c r="B93" s="136" t="s">
        <v>1431</v>
      </c>
      <c r="C93" s="136" t="s">
        <v>1432</v>
      </c>
      <c r="D93" s="136" t="s">
        <v>992</v>
      </c>
      <c r="E93" s="136" t="s">
        <v>320</v>
      </c>
      <c r="F93" s="136" t="s">
        <v>25</v>
      </c>
      <c r="G93" s="136">
        <v>4</v>
      </c>
      <c r="H93" s="129" t="s">
        <v>54</v>
      </c>
      <c r="I93" s="129" t="s">
        <v>31</v>
      </c>
      <c r="J93" s="129" t="s">
        <v>602</v>
      </c>
      <c r="K93" s="129" t="s">
        <v>1433</v>
      </c>
      <c r="L93" s="129" t="s">
        <v>45</v>
      </c>
      <c r="M93" s="129" t="s">
        <v>150</v>
      </c>
      <c r="N93" s="136"/>
      <c r="O93" s="236" t="s">
        <v>151</v>
      </c>
      <c r="P93" s="236" t="s">
        <v>240</v>
      </c>
      <c r="Q93" s="136" t="s">
        <v>151</v>
      </c>
      <c r="R93" s="136" t="s">
        <v>1434</v>
      </c>
      <c r="S93" s="145" t="s">
        <v>1435</v>
      </c>
      <c r="T93" s="345" t="s">
        <v>1436</v>
      </c>
      <c r="U93" s="139" t="s">
        <v>1437</v>
      </c>
      <c r="V93" s="139">
        <v>28157</v>
      </c>
      <c r="W93" s="147" t="s">
        <v>1438</v>
      </c>
      <c r="X93" s="147" t="s">
        <v>179</v>
      </c>
      <c r="Y93" s="147" t="s">
        <v>163</v>
      </c>
      <c r="Z93" s="147" t="s">
        <v>158</v>
      </c>
      <c r="AA93" s="136">
        <v>17.5</v>
      </c>
      <c r="AB93" s="139">
        <v>41695</v>
      </c>
      <c r="AC93" s="285">
        <v>41699</v>
      </c>
      <c r="AD93" s="139"/>
      <c r="AE93" s="28" t="s">
        <v>1439</v>
      </c>
      <c r="AF93" s="136"/>
      <c r="AG93" s="136"/>
      <c r="AH93" s="136">
        <f t="shared" si="16"/>
        <v>1</v>
      </c>
      <c r="AI93" s="27" t="s">
        <v>282</v>
      </c>
      <c r="AJ93" s="136"/>
      <c r="AK93" s="136"/>
      <c r="AL93" s="136" t="s">
        <v>163</v>
      </c>
      <c r="AM93" s="136"/>
      <c r="AN93" s="136"/>
      <c r="AO93" s="136" t="s">
        <v>164</v>
      </c>
      <c r="AP93" s="136" t="s">
        <v>1440</v>
      </c>
      <c r="AQ93" s="136" t="s">
        <v>250</v>
      </c>
      <c r="AR93" s="136" t="s">
        <v>150</v>
      </c>
      <c r="AS93" s="136"/>
      <c r="AT93" s="26" t="s">
        <v>328</v>
      </c>
      <c r="AU93" s="136" t="s">
        <v>1441</v>
      </c>
      <c r="AV93" s="139"/>
      <c r="AW93" s="141">
        <v>41700</v>
      </c>
      <c r="AX93" s="141">
        <v>41946</v>
      </c>
      <c r="AY93" s="141" t="s">
        <v>150</v>
      </c>
      <c r="AZ93" s="141">
        <v>42580</v>
      </c>
      <c r="BA93" s="141">
        <v>42580</v>
      </c>
      <c r="BB93" s="141"/>
      <c r="BC93" s="141"/>
      <c r="BD93" s="141"/>
      <c r="BE93" s="142" t="s">
        <v>1442</v>
      </c>
      <c r="BF93" s="141">
        <v>42952</v>
      </c>
      <c r="BG93" s="141" t="s">
        <v>163</v>
      </c>
      <c r="BH93" s="141">
        <v>43164</v>
      </c>
      <c r="BI93" s="141" t="s">
        <v>163</v>
      </c>
      <c r="BJ93" s="139"/>
      <c r="BK93" s="139"/>
      <c r="BL93" s="139"/>
      <c r="BM93" s="143">
        <v>44137</v>
      </c>
      <c r="BN93" s="136" t="s">
        <v>16</v>
      </c>
      <c r="BO93" s="235">
        <f t="shared" si="21"/>
        <v>81</v>
      </c>
      <c r="BP93" s="136">
        <f t="shared" si="22"/>
        <v>72</v>
      </c>
      <c r="BQ93" s="136" t="s">
        <v>1443</v>
      </c>
      <c r="BR93" s="136">
        <v>5</v>
      </c>
      <c r="BS93" s="136">
        <v>17</v>
      </c>
      <c r="BT93" s="136">
        <v>16</v>
      </c>
      <c r="BU93" s="136">
        <v>0</v>
      </c>
      <c r="BV93" s="136">
        <v>2</v>
      </c>
      <c r="BW93" s="136">
        <v>0</v>
      </c>
      <c r="BX93" s="136">
        <v>0</v>
      </c>
      <c r="BY93" s="136" t="s">
        <v>163</v>
      </c>
      <c r="BZ93" s="136">
        <v>0</v>
      </c>
      <c r="CA93" s="136"/>
      <c r="CB93" s="144"/>
      <c r="CC93" s="144"/>
      <c r="CD93" s="136"/>
      <c r="CE93" s="136" t="s">
        <v>163</v>
      </c>
      <c r="CF93" s="136"/>
      <c r="CG93" s="136"/>
      <c r="CH93" s="374">
        <v>3</v>
      </c>
      <c r="CI93" s="136">
        <v>3</v>
      </c>
      <c r="CJ93" s="136"/>
      <c r="CK93" s="136" t="s">
        <v>1296</v>
      </c>
    </row>
    <row r="94" spans="1:89" ht="24.95" customHeight="1">
      <c r="A94" s="136">
        <v>97</v>
      </c>
      <c r="B94" s="136" t="s">
        <v>1444</v>
      </c>
      <c r="C94" s="136" t="s">
        <v>1445</v>
      </c>
      <c r="D94" s="136" t="s">
        <v>1446</v>
      </c>
      <c r="E94" s="136" t="s">
        <v>1447</v>
      </c>
      <c r="F94" s="136" t="s">
        <v>24</v>
      </c>
      <c r="G94" s="136">
        <v>4</v>
      </c>
      <c r="H94" s="129" t="s">
        <v>58</v>
      </c>
      <c r="I94" s="129" t="s">
        <v>45</v>
      </c>
      <c r="J94" s="129" t="s">
        <v>602</v>
      </c>
      <c r="K94" s="129" t="s">
        <v>1448</v>
      </c>
      <c r="L94" s="129" t="s">
        <v>45</v>
      </c>
      <c r="M94" s="129" t="s">
        <v>150</v>
      </c>
      <c r="N94" s="195"/>
      <c r="O94" s="239" t="s">
        <v>151</v>
      </c>
      <c r="P94" s="136" t="s">
        <v>151</v>
      </c>
      <c r="Q94" s="136" t="s">
        <v>151</v>
      </c>
      <c r="R94" s="136" t="s">
        <v>1449</v>
      </c>
      <c r="S94" s="136" t="s">
        <v>1450</v>
      </c>
      <c r="T94" s="345" t="s">
        <v>1451</v>
      </c>
      <c r="U94" s="139" t="s">
        <v>1452</v>
      </c>
      <c r="V94" s="139">
        <v>28587</v>
      </c>
      <c r="W94" s="147" t="s">
        <v>1453</v>
      </c>
      <c r="X94" s="147" t="s">
        <v>179</v>
      </c>
      <c r="Y94" s="147" t="s">
        <v>163</v>
      </c>
      <c r="Z94" s="147" t="s">
        <v>158</v>
      </c>
      <c r="AA94" s="136">
        <v>7</v>
      </c>
      <c r="AB94" s="139">
        <v>41867</v>
      </c>
      <c r="AC94" s="285">
        <v>41699</v>
      </c>
      <c r="AD94" s="139"/>
      <c r="AE94" s="27" t="s">
        <v>1454</v>
      </c>
      <c r="AF94" s="146"/>
      <c r="AG94" s="146"/>
      <c r="AH94" s="136">
        <f t="shared" si="16"/>
        <v>1</v>
      </c>
      <c r="AI94" s="27" t="s">
        <v>161</v>
      </c>
      <c r="AJ94" s="146"/>
      <c r="AK94" s="146"/>
      <c r="AL94" s="146" t="s">
        <v>150</v>
      </c>
      <c r="AM94" s="146"/>
      <c r="AN94" s="146"/>
      <c r="AO94" s="146" t="s">
        <v>164</v>
      </c>
      <c r="AP94" s="146" t="s">
        <v>203</v>
      </c>
      <c r="AQ94" s="136" t="s">
        <v>250</v>
      </c>
      <c r="AR94" s="146" t="s">
        <v>150</v>
      </c>
      <c r="AS94" s="146" t="s">
        <v>1455</v>
      </c>
      <c r="AT94" s="411" t="s">
        <v>372</v>
      </c>
      <c r="AU94" s="136" t="s">
        <v>1456</v>
      </c>
      <c r="AV94" s="139"/>
      <c r="AW94" s="141">
        <v>41700</v>
      </c>
      <c r="AX94" s="141">
        <v>41946</v>
      </c>
      <c r="AY94" s="141" t="s">
        <v>150</v>
      </c>
      <c r="AZ94" s="141"/>
      <c r="BA94" s="141"/>
      <c r="BB94" s="141"/>
      <c r="BC94" s="141"/>
      <c r="BD94" s="141"/>
      <c r="BE94" s="142"/>
      <c r="BF94" s="141">
        <v>42953</v>
      </c>
      <c r="BG94" s="141" t="s">
        <v>163</v>
      </c>
      <c r="BH94" s="141">
        <v>43164</v>
      </c>
      <c r="BI94" s="141" t="s">
        <v>163</v>
      </c>
      <c r="BJ94" s="139"/>
      <c r="BK94" s="139"/>
      <c r="BL94" s="139"/>
      <c r="BM94" s="143">
        <v>43658</v>
      </c>
      <c r="BN94" s="136" t="s">
        <v>16</v>
      </c>
      <c r="BO94" s="235">
        <f t="shared" si="21"/>
        <v>65</v>
      </c>
      <c r="BP94" s="136">
        <f t="shared" si="22"/>
        <v>57</v>
      </c>
      <c r="BQ94" s="136"/>
      <c r="BR94" s="136">
        <v>0</v>
      </c>
      <c r="BS94" s="136">
        <v>2</v>
      </c>
      <c r="BT94" s="136">
        <v>2</v>
      </c>
      <c r="BU94" s="136">
        <v>2</v>
      </c>
      <c r="BV94" s="136">
        <v>1</v>
      </c>
      <c r="BW94" s="136">
        <v>0</v>
      </c>
      <c r="BX94" s="136">
        <v>0</v>
      </c>
      <c r="BY94" s="136" t="s">
        <v>163</v>
      </c>
      <c r="BZ94" s="136">
        <v>365</v>
      </c>
      <c r="CA94" s="136"/>
      <c r="CB94" s="144"/>
      <c r="CC94" s="144"/>
      <c r="CD94" s="136"/>
      <c r="CE94" s="136" t="s">
        <v>150</v>
      </c>
      <c r="CF94" s="136"/>
      <c r="CG94" s="136"/>
      <c r="CH94" s="374">
        <v>1</v>
      </c>
      <c r="CI94" s="136">
        <v>1</v>
      </c>
      <c r="CJ94" s="136"/>
      <c r="CK94" s="136" t="s">
        <v>538</v>
      </c>
    </row>
    <row r="95" spans="1:89" ht="24.95" customHeight="1">
      <c r="A95" s="152">
        <v>98</v>
      </c>
      <c r="B95" s="152" t="s">
        <v>1457</v>
      </c>
      <c r="C95" s="152" t="s">
        <v>1458</v>
      </c>
      <c r="D95" s="152"/>
      <c r="E95" s="152" t="s">
        <v>1459</v>
      </c>
      <c r="F95" s="152" t="s">
        <v>25</v>
      </c>
      <c r="G95" s="152">
        <v>5</v>
      </c>
      <c r="H95" s="152" t="s">
        <v>56</v>
      </c>
      <c r="I95" s="152" t="s">
        <v>38</v>
      </c>
      <c r="J95" s="152" t="s">
        <v>602</v>
      </c>
      <c r="K95" s="152" t="s">
        <v>1460</v>
      </c>
      <c r="L95" s="152" t="s">
        <v>45</v>
      </c>
      <c r="M95" s="152" t="s">
        <v>163</v>
      </c>
      <c r="N95" s="240">
        <v>1513579</v>
      </c>
      <c r="O95" s="31" t="s">
        <v>151</v>
      </c>
      <c r="P95" s="32" t="s">
        <v>151</v>
      </c>
      <c r="Q95" s="152" t="s">
        <v>151</v>
      </c>
      <c r="R95" s="152" t="s">
        <v>1461</v>
      </c>
      <c r="S95" s="152" t="s">
        <v>1462</v>
      </c>
      <c r="T95" s="347" t="s">
        <v>1463</v>
      </c>
      <c r="U95" s="154" t="s">
        <v>1464</v>
      </c>
      <c r="V95" s="154">
        <v>27949</v>
      </c>
      <c r="W95" s="161" t="s">
        <v>1465</v>
      </c>
      <c r="X95" s="161" t="s">
        <v>179</v>
      </c>
      <c r="Y95" s="161" t="s">
        <v>163</v>
      </c>
      <c r="Z95" s="161" t="s">
        <v>158</v>
      </c>
      <c r="AA95" s="152">
        <v>5.5</v>
      </c>
      <c r="AB95" s="154">
        <v>42370</v>
      </c>
      <c r="AC95" s="286">
        <v>42064</v>
      </c>
      <c r="AD95" s="154"/>
      <c r="AE95" s="33" t="s">
        <v>1466</v>
      </c>
      <c r="AF95" s="33" t="s">
        <v>1467</v>
      </c>
      <c r="AG95" s="33" t="s">
        <v>1468</v>
      </c>
      <c r="AH95" s="152">
        <f t="shared" ref="AH95:AH126" si="23">COUNTA(AE95:AG95)</f>
        <v>3</v>
      </c>
      <c r="AI95" s="33" t="s">
        <v>161</v>
      </c>
      <c r="AJ95" s="33" t="s">
        <v>161</v>
      </c>
      <c r="AK95" s="33" t="s">
        <v>162</v>
      </c>
      <c r="AL95" s="33" t="s">
        <v>150</v>
      </c>
      <c r="AM95" s="33" t="s">
        <v>163</v>
      </c>
      <c r="AN95" s="33" t="s">
        <v>150</v>
      </c>
      <c r="AO95" s="33" t="s">
        <v>182</v>
      </c>
      <c r="AP95" s="33" t="s">
        <v>1469</v>
      </c>
      <c r="AQ95" s="33" t="s">
        <v>593</v>
      </c>
      <c r="AR95" s="33" t="s">
        <v>150</v>
      </c>
      <c r="AS95" s="33" t="s">
        <v>1470</v>
      </c>
      <c r="AT95" s="413" t="s">
        <v>1471</v>
      </c>
      <c r="AU95" s="33" t="s">
        <v>1472</v>
      </c>
      <c r="AV95" s="33" t="s">
        <v>163</v>
      </c>
      <c r="AW95" s="155">
        <v>42065</v>
      </c>
      <c r="AX95" s="155">
        <v>42310</v>
      </c>
      <c r="AY95" s="155" t="s">
        <v>150</v>
      </c>
      <c r="AZ95" s="155"/>
      <c r="BA95" s="155">
        <v>42492</v>
      </c>
      <c r="BB95" s="155"/>
      <c r="BC95" s="155"/>
      <c r="BD95" s="155"/>
      <c r="BE95" s="156" t="s">
        <v>1473</v>
      </c>
      <c r="BF95" s="155">
        <v>42947</v>
      </c>
      <c r="BG95" s="155" t="s">
        <v>150</v>
      </c>
      <c r="BH95" s="155">
        <v>43528</v>
      </c>
      <c r="BI95" s="155" t="s">
        <v>163</v>
      </c>
      <c r="BJ95" s="154"/>
      <c r="BK95" s="154"/>
      <c r="BL95" s="154"/>
      <c r="BM95" s="157">
        <v>43646</v>
      </c>
      <c r="BN95" s="152" t="s">
        <v>16</v>
      </c>
      <c r="BO95" s="241">
        <f>DATEDIF(AW95,BM95, "M")+1</f>
        <v>52</v>
      </c>
      <c r="BP95" s="152">
        <f t="shared" si="22"/>
        <v>44</v>
      </c>
      <c r="BQ95" s="152"/>
      <c r="BR95" s="152">
        <v>4</v>
      </c>
      <c r="BS95" s="152">
        <v>2</v>
      </c>
      <c r="BT95" s="152">
        <v>19</v>
      </c>
      <c r="BU95" s="152">
        <v>1</v>
      </c>
      <c r="BV95" s="152">
        <v>1</v>
      </c>
      <c r="BW95" s="152">
        <v>0</v>
      </c>
      <c r="BX95" s="152">
        <v>0</v>
      </c>
      <c r="BY95" s="152" t="s">
        <v>163</v>
      </c>
      <c r="BZ95" s="152">
        <v>0</v>
      </c>
      <c r="CA95" s="152"/>
      <c r="CB95" s="158"/>
      <c r="CC95" s="158"/>
      <c r="CD95" s="152"/>
      <c r="CE95" s="152" t="s">
        <v>163</v>
      </c>
      <c r="CF95" s="152"/>
      <c r="CG95" s="152"/>
      <c r="CH95" s="375">
        <v>3</v>
      </c>
      <c r="CI95" s="152">
        <v>3</v>
      </c>
      <c r="CJ95" s="152"/>
      <c r="CK95" s="152" t="s">
        <v>809</v>
      </c>
    </row>
    <row r="96" spans="1:89" ht="24.95" customHeight="1">
      <c r="A96" s="152">
        <v>99</v>
      </c>
      <c r="B96" s="152" t="s">
        <v>1474</v>
      </c>
      <c r="C96" s="152" t="s">
        <v>1475</v>
      </c>
      <c r="D96" s="152"/>
      <c r="E96" s="152" t="s">
        <v>1476</v>
      </c>
      <c r="F96" s="152" t="s">
        <v>25</v>
      </c>
      <c r="G96" s="152">
        <v>5</v>
      </c>
      <c r="H96" s="152" t="s">
        <v>55</v>
      </c>
      <c r="I96" s="152" t="s">
        <v>43</v>
      </c>
      <c r="J96" s="152" t="s">
        <v>1477</v>
      </c>
      <c r="K96" s="152" t="s">
        <v>1478</v>
      </c>
      <c r="L96" s="152" t="s">
        <v>37</v>
      </c>
      <c r="M96" s="152" t="s">
        <v>163</v>
      </c>
      <c r="N96" s="152" t="s">
        <v>1479</v>
      </c>
      <c r="O96" s="242" t="s">
        <v>151</v>
      </c>
      <c r="P96" s="243" t="s">
        <v>151</v>
      </c>
      <c r="Q96" s="152" t="s">
        <v>151</v>
      </c>
      <c r="R96" s="152" t="s">
        <v>1480</v>
      </c>
      <c r="S96" s="152" t="s">
        <v>1481</v>
      </c>
      <c r="T96" s="348" t="s">
        <v>1482</v>
      </c>
      <c r="U96" s="154" t="s">
        <v>1483</v>
      </c>
      <c r="V96" s="154">
        <v>29221</v>
      </c>
      <c r="W96" s="161" t="s">
        <v>1484</v>
      </c>
      <c r="X96" s="161" t="s">
        <v>179</v>
      </c>
      <c r="Y96" s="161" t="s">
        <v>163</v>
      </c>
      <c r="Z96" s="161" t="s">
        <v>158</v>
      </c>
      <c r="AA96" s="152">
        <v>39</v>
      </c>
      <c r="AB96" s="154">
        <v>42993</v>
      </c>
      <c r="AC96" s="286">
        <v>42064</v>
      </c>
      <c r="AD96" s="154"/>
      <c r="AE96" s="34" t="s">
        <v>1485</v>
      </c>
      <c r="AF96" s="34" t="s">
        <v>1486</v>
      </c>
      <c r="AG96" s="152"/>
      <c r="AH96" s="152">
        <f t="shared" si="23"/>
        <v>2</v>
      </c>
      <c r="AI96" s="161" t="s">
        <v>162</v>
      </c>
      <c r="AJ96" s="152" t="s">
        <v>162</v>
      </c>
      <c r="AK96" s="152"/>
      <c r="AL96" s="152" t="s">
        <v>150</v>
      </c>
      <c r="AM96" s="152" t="s">
        <v>163</v>
      </c>
      <c r="AN96" s="152"/>
      <c r="AO96" s="152" t="s">
        <v>164</v>
      </c>
      <c r="AP96" s="152" t="s">
        <v>181</v>
      </c>
      <c r="AQ96" s="152" t="s">
        <v>250</v>
      </c>
      <c r="AR96" s="152" t="s">
        <v>150</v>
      </c>
      <c r="AS96" s="33" t="s">
        <v>1487</v>
      </c>
      <c r="AT96" s="30" t="s">
        <v>219</v>
      </c>
      <c r="AU96" s="33" t="s">
        <v>1488</v>
      </c>
      <c r="AV96" s="33" t="s">
        <v>163</v>
      </c>
      <c r="AW96" s="155">
        <v>42065</v>
      </c>
      <c r="AX96" s="155">
        <v>42310</v>
      </c>
      <c r="AY96" s="155" t="s">
        <v>150</v>
      </c>
      <c r="AZ96" s="155">
        <v>42850</v>
      </c>
      <c r="BA96" s="155">
        <v>42863</v>
      </c>
      <c r="BB96" s="155"/>
      <c r="BC96" s="155"/>
      <c r="BD96" s="155"/>
      <c r="BE96" s="156" t="s">
        <v>1489</v>
      </c>
      <c r="BF96" s="155">
        <v>42947</v>
      </c>
      <c r="BG96" s="155" t="s">
        <v>150</v>
      </c>
      <c r="BH96" s="155">
        <v>43164</v>
      </c>
      <c r="BI96" s="155" t="s">
        <v>150</v>
      </c>
      <c r="BJ96" s="154"/>
      <c r="BK96" s="154"/>
      <c r="BL96" s="154"/>
      <c r="BM96" s="157">
        <v>43830</v>
      </c>
      <c r="BN96" s="152" t="s">
        <v>16</v>
      </c>
      <c r="BO96" s="241">
        <f t="shared" ref="BO96:BO100" si="24">DATEDIF(AW96,BM96, "M")+1</f>
        <v>58</v>
      </c>
      <c r="BP96" s="152">
        <f t="shared" si="22"/>
        <v>50</v>
      </c>
      <c r="BQ96" s="152"/>
      <c r="BR96" s="152">
        <v>0</v>
      </c>
      <c r="BS96" s="152">
        <v>1</v>
      </c>
      <c r="BT96" s="152">
        <v>2</v>
      </c>
      <c r="BU96" s="152">
        <v>2</v>
      </c>
      <c r="BV96" s="152">
        <v>0</v>
      </c>
      <c r="BW96" s="152">
        <v>0</v>
      </c>
      <c r="BX96" s="152">
        <v>0</v>
      </c>
      <c r="BY96" s="152" t="s">
        <v>163</v>
      </c>
      <c r="BZ96" s="152">
        <v>0</v>
      </c>
      <c r="CA96" s="152"/>
      <c r="CB96" s="158"/>
      <c r="CC96" s="158"/>
      <c r="CD96" s="152"/>
      <c r="CE96" s="152" t="s">
        <v>163</v>
      </c>
      <c r="CF96" s="152"/>
      <c r="CG96" s="152"/>
      <c r="CH96" s="375">
        <v>1</v>
      </c>
      <c r="CI96" s="152">
        <v>3</v>
      </c>
      <c r="CJ96" s="152"/>
      <c r="CK96" s="152" t="s">
        <v>809</v>
      </c>
    </row>
    <row r="97" spans="1:89" ht="24.95" customHeight="1">
      <c r="A97" s="152">
        <v>100</v>
      </c>
      <c r="B97" s="152" t="s">
        <v>1490</v>
      </c>
      <c r="C97" s="152" t="s">
        <v>347</v>
      </c>
      <c r="D97" s="152" t="s">
        <v>1491</v>
      </c>
      <c r="E97" s="152" t="s">
        <v>450</v>
      </c>
      <c r="F97" s="152" t="s">
        <v>24</v>
      </c>
      <c r="G97" s="152">
        <v>5</v>
      </c>
      <c r="H97" s="152" t="s">
        <v>54</v>
      </c>
      <c r="I97" s="152" t="s">
        <v>39</v>
      </c>
      <c r="J97" s="152" t="s">
        <v>1421</v>
      </c>
      <c r="K97" s="152" t="s">
        <v>1492</v>
      </c>
      <c r="L97" s="152" t="s">
        <v>39</v>
      </c>
      <c r="M97" s="152" t="s">
        <v>150</v>
      </c>
      <c r="N97" s="244" t="s">
        <v>1493</v>
      </c>
      <c r="O97" s="245" t="s">
        <v>151</v>
      </c>
      <c r="P97" s="246" t="s">
        <v>151</v>
      </c>
      <c r="Q97" s="152" t="s">
        <v>151</v>
      </c>
      <c r="R97" s="319" t="s">
        <v>1494</v>
      </c>
      <c r="S97" s="152" t="s">
        <v>1495</v>
      </c>
      <c r="T97" s="348" t="s">
        <v>1496</v>
      </c>
      <c r="U97" s="154" t="s">
        <v>1497</v>
      </c>
      <c r="V97" s="154">
        <v>29998</v>
      </c>
      <c r="W97" s="161" t="s">
        <v>1498</v>
      </c>
      <c r="X97" s="161" t="s">
        <v>156</v>
      </c>
      <c r="Y97" s="161" t="s">
        <v>157</v>
      </c>
      <c r="Z97" s="161" t="s">
        <v>158</v>
      </c>
      <c r="AA97" s="152">
        <v>22</v>
      </c>
      <c r="AB97" s="154">
        <v>41748</v>
      </c>
      <c r="AC97" s="286">
        <v>42064</v>
      </c>
      <c r="AD97" s="154"/>
      <c r="AE97" s="312" t="s">
        <v>1499</v>
      </c>
      <c r="AF97" s="33" t="s">
        <v>1500</v>
      </c>
      <c r="AG97" s="159"/>
      <c r="AH97" s="152">
        <f t="shared" si="23"/>
        <v>2</v>
      </c>
      <c r="AI97" s="33" t="s">
        <v>161</v>
      </c>
      <c r="AJ97" s="33" t="s">
        <v>161</v>
      </c>
      <c r="AK97" s="159"/>
      <c r="AL97" s="159" t="s">
        <v>163</v>
      </c>
      <c r="AM97" s="159" t="s">
        <v>150</v>
      </c>
      <c r="AN97" s="159"/>
      <c r="AO97" s="159" t="s">
        <v>164</v>
      </c>
      <c r="AP97" s="159" t="s">
        <v>445</v>
      </c>
      <c r="AQ97" s="159" t="s">
        <v>217</v>
      </c>
      <c r="AR97" s="159" t="s">
        <v>150</v>
      </c>
      <c r="AS97" s="159"/>
      <c r="AT97" s="414" t="s">
        <v>1501</v>
      </c>
      <c r="AU97" s="33" t="s">
        <v>1502</v>
      </c>
      <c r="AV97" s="33" t="s">
        <v>150</v>
      </c>
      <c r="AW97" s="155">
        <v>42065</v>
      </c>
      <c r="AX97" s="155">
        <v>42310</v>
      </c>
      <c r="AY97" s="155" t="s">
        <v>150</v>
      </c>
      <c r="AZ97" s="155"/>
      <c r="BA97" s="155"/>
      <c r="BB97" s="155"/>
      <c r="BC97" s="155"/>
      <c r="BD97" s="155"/>
      <c r="BE97" s="156"/>
      <c r="BF97" s="155">
        <v>42947</v>
      </c>
      <c r="BG97" s="155" t="s">
        <v>150</v>
      </c>
      <c r="BH97" s="155">
        <v>43164</v>
      </c>
      <c r="BI97" s="155" t="s">
        <v>150</v>
      </c>
      <c r="BJ97" s="154"/>
      <c r="BK97" s="154"/>
      <c r="BL97" s="154"/>
      <c r="BM97" s="157">
        <v>43250</v>
      </c>
      <c r="BN97" s="152" t="s">
        <v>16</v>
      </c>
      <c r="BO97" s="241">
        <f t="shared" si="24"/>
        <v>39</v>
      </c>
      <c r="BP97" s="152">
        <f t="shared" si="22"/>
        <v>31</v>
      </c>
      <c r="BQ97" s="152"/>
      <c r="BR97" s="152">
        <v>0</v>
      </c>
      <c r="BS97" s="152">
        <v>0</v>
      </c>
      <c r="BT97" s="152">
        <v>3</v>
      </c>
      <c r="BU97" s="152">
        <v>0</v>
      </c>
      <c r="BV97" s="152">
        <v>0</v>
      </c>
      <c r="BW97" s="152">
        <v>0</v>
      </c>
      <c r="BX97" s="152">
        <v>0</v>
      </c>
      <c r="BY97" s="152" t="s">
        <v>163</v>
      </c>
      <c r="BZ97" s="152">
        <v>0</v>
      </c>
      <c r="CA97" s="152"/>
      <c r="CB97" s="158"/>
      <c r="CC97" s="158"/>
      <c r="CD97" s="152"/>
      <c r="CE97" s="152" t="s">
        <v>163</v>
      </c>
      <c r="CF97" s="152"/>
      <c r="CG97" s="152"/>
      <c r="CH97" s="375">
        <v>3</v>
      </c>
      <c r="CI97" s="152">
        <v>3</v>
      </c>
      <c r="CJ97" s="152"/>
      <c r="CK97" s="152" t="s">
        <v>809</v>
      </c>
    </row>
    <row r="98" spans="1:89" ht="24.95" customHeight="1">
      <c r="A98" s="152">
        <v>101</v>
      </c>
      <c r="B98" s="152" t="s">
        <v>1503</v>
      </c>
      <c r="C98" s="152" t="s">
        <v>1504</v>
      </c>
      <c r="D98" s="152" t="s">
        <v>1505</v>
      </c>
      <c r="E98" s="152" t="s">
        <v>1506</v>
      </c>
      <c r="F98" s="152" t="s">
        <v>24</v>
      </c>
      <c r="G98" s="152">
        <v>5</v>
      </c>
      <c r="H98" s="152" t="s">
        <v>58</v>
      </c>
      <c r="I98" s="152" t="s">
        <v>45</v>
      </c>
      <c r="J98" s="152" t="s">
        <v>1507</v>
      </c>
      <c r="K98" s="152" t="s">
        <v>1507</v>
      </c>
      <c r="L98" s="152" t="s">
        <v>45</v>
      </c>
      <c r="M98" s="152" t="s">
        <v>150</v>
      </c>
      <c r="N98" s="152" t="s">
        <v>1508</v>
      </c>
      <c r="O98" s="242" t="s">
        <v>151</v>
      </c>
      <c r="P98" s="243" t="s">
        <v>151</v>
      </c>
      <c r="Q98" s="152"/>
      <c r="R98" s="160" t="s">
        <v>1509</v>
      </c>
      <c r="S98" s="152" t="s">
        <v>1510</v>
      </c>
      <c r="T98" s="347" t="s">
        <v>1511</v>
      </c>
      <c r="U98" s="154" t="s">
        <v>1512</v>
      </c>
      <c r="V98" s="154">
        <v>26236</v>
      </c>
      <c r="W98" s="161" t="s">
        <v>1513</v>
      </c>
      <c r="X98" s="161" t="s">
        <v>179</v>
      </c>
      <c r="Y98" s="161" t="s">
        <v>163</v>
      </c>
      <c r="Z98" s="161" t="s">
        <v>158</v>
      </c>
      <c r="AA98" s="152">
        <v>11.5</v>
      </c>
      <c r="AB98" s="154">
        <v>42430</v>
      </c>
      <c r="AC98" s="286">
        <v>42064</v>
      </c>
      <c r="AD98" s="154"/>
      <c r="AE98" s="34" t="s">
        <v>1514</v>
      </c>
      <c r="AF98" s="34" t="s">
        <v>1515</v>
      </c>
      <c r="AG98" s="33"/>
      <c r="AH98" s="152">
        <f t="shared" si="23"/>
        <v>2</v>
      </c>
      <c r="AI98" s="33" t="s">
        <v>161</v>
      </c>
      <c r="AJ98" s="33" t="s">
        <v>202</v>
      </c>
      <c r="AK98" s="33"/>
      <c r="AL98" s="33" t="s">
        <v>150</v>
      </c>
      <c r="AM98" s="33" t="s">
        <v>163</v>
      </c>
      <c r="AN98" s="33"/>
      <c r="AO98" s="33" t="s">
        <v>164</v>
      </c>
      <c r="AP98" s="33"/>
      <c r="AQ98" s="33" t="s">
        <v>203</v>
      </c>
      <c r="AR98" s="33"/>
      <c r="AS98" s="33"/>
      <c r="AT98" s="415" t="s">
        <v>372</v>
      </c>
      <c r="AU98" s="33" t="s">
        <v>1516</v>
      </c>
      <c r="AV98" s="33" t="s">
        <v>163</v>
      </c>
      <c r="AW98" s="155">
        <v>42065</v>
      </c>
      <c r="AX98" s="155">
        <v>42310</v>
      </c>
      <c r="AY98" s="155" t="s">
        <v>150</v>
      </c>
      <c r="AZ98" s="155"/>
      <c r="BA98" s="155"/>
      <c r="BB98" s="155"/>
      <c r="BC98" s="155"/>
      <c r="BD98" s="155"/>
      <c r="BE98" s="156"/>
      <c r="BF98" s="155">
        <v>42947</v>
      </c>
      <c r="BG98" s="155" t="s">
        <v>150</v>
      </c>
      <c r="BH98" s="155">
        <v>43164</v>
      </c>
      <c r="BI98" s="155" t="s">
        <v>150</v>
      </c>
      <c r="BJ98" s="154"/>
      <c r="BK98" s="154"/>
      <c r="BL98" s="154"/>
      <c r="BM98" s="157">
        <v>44334</v>
      </c>
      <c r="BN98" s="152" t="s">
        <v>16</v>
      </c>
      <c r="BO98" s="241">
        <f t="shared" si="24"/>
        <v>75</v>
      </c>
      <c r="BP98" s="152">
        <f t="shared" si="22"/>
        <v>67</v>
      </c>
      <c r="BQ98" s="161" t="s">
        <v>1517</v>
      </c>
      <c r="BR98" s="152">
        <v>2</v>
      </c>
      <c r="BS98" s="152">
        <v>5</v>
      </c>
      <c r="BT98" s="152">
        <v>1</v>
      </c>
      <c r="BU98" s="152">
        <v>1</v>
      </c>
      <c r="BV98" s="152">
        <v>0</v>
      </c>
      <c r="BW98" s="152">
        <v>0</v>
      </c>
      <c r="BX98" s="152">
        <v>0</v>
      </c>
      <c r="BY98" s="152" t="s">
        <v>163</v>
      </c>
      <c r="BZ98" s="152">
        <v>0</v>
      </c>
      <c r="CA98" s="152"/>
      <c r="CB98" s="158"/>
      <c r="CC98" s="158"/>
      <c r="CD98" s="152"/>
      <c r="CE98" s="152" t="s">
        <v>163</v>
      </c>
      <c r="CF98" s="152"/>
      <c r="CG98" s="152"/>
      <c r="CH98" s="375">
        <v>3</v>
      </c>
      <c r="CI98" s="152">
        <v>3</v>
      </c>
      <c r="CJ98" s="152"/>
      <c r="CK98" s="152" t="s">
        <v>809</v>
      </c>
    </row>
    <row r="99" spans="1:89" ht="24.95" customHeight="1">
      <c r="A99" s="152">
        <v>102</v>
      </c>
      <c r="B99" s="152" t="s">
        <v>1518</v>
      </c>
      <c r="C99" s="152" t="s">
        <v>438</v>
      </c>
      <c r="D99" s="152" t="s">
        <v>1519</v>
      </c>
      <c r="E99" s="152" t="s">
        <v>1520</v>
      </c>
      <c r="F99" s="152" t="s">
        <v>25</v>
      </c>
      <c r="G99" s="152">
        <v>5</v>
      </c>
      <c r="H99" s="152" t="s">
        <v>54</v>
      </c>
      <c r="I99" s="152" t="s">
        <v>31</v>
      </c>
      <c r="J99" s="152" t="s">
        <v>602</v>
      </c>
      <c r="K99" s="152" t="s">
        <v>1301</v>
      </c>
      <c r="L99" s="152" t="s">
        <v>45</v>
      </c>
      <c r="M99" s="152" t="s">
        <v>163</v>
      </c>
      <c r="N99" s="152">
        <v>951466</v>
      </c>
      <c r="O99" s="242" t="s">
        <v>151</v>
      </c>
      <c r="P99" s="243" t="s">
        <v>151</v>
      </c>
      <c r="Q99" s="152"/>
      <c r="R99" s="152" t="s">
        <v>1521</v>
      </c>
      <c r="S99" s="160" t="s">
        <v>1522</v>
      </c>
      <c r="T99" s="347" t="s">
        <v>1523</v>
      </c>
      <c r="U99" s="154" t="s">
        <v>789</v>
      </c>
      <c r="V99" s="154">
        <v>28992</v>
      </c>
      <c r="W99" s="161" t="s">
        <v>1524</v>
      </c>
      <c r="X99" s="161" t="s">
        <v>179</v>
      </c>
      <c r="Y99" s="161" t="s">
        <v>163</v>
      </c>
      <c r="Z99" s="161" t="s">
        <v>158</v>
      </c>
      <c r="AA99" s="152">
        <v>18</v>
      </c>
      <c r="AB99" s="154">
        <v>42555</v>
      </c>
      <c r="AC99" s="286">
        <v>42064</v>
      </c>
      <c r="AD99" s="154"/>
      <c r="AE99" s="34" t="s">
        <v>1525</v>
      </c>
      <c r="AF99" s="34" t="s">
        <v>1468</v>
      </c>
      <c r="AG99" s="33"/>
      <c r="AH99" s="152">
        <f t="shared" si="23"/>
        <v>2</v>
      </c>
      <c r="AI99" s="34" t="s">
        <v>161</v>
      </c>
      <c r="AJ99" s="34" t="s">
        <v>162</v>
      </c>
      <c r="AK99" s="33"/>
      <c r="AL99" s="33" t="s">
        <v>150</v>
      </c>
      <c r="AM99" s="33" t="s">
        <v>150</v>
      </c>
      <c r="AN99" s="33"/>
      <c r="AO99" s="33" t="s">
        <v>164</v>
      </c>
      <c r="AP99" s="33"/>
      <c r="AQ99" s="33"/>
      <c r="AR99" s="33"/>
      <c r="AS99" s="33"/>
      <c r="AT99" s="413" t="s">
        <v>328</v>
      </c>
      <c r="AU99" s="33" t="s">
        <v>1526</v>
      </c>
      <c r="AV99" s="33" t="s">
        <v>150</v>
      </c>
      <c r="AW99" s="155">
        <v>42065</v>
      </c>
      <c r="AX99" s="155">
        <v>42310</v>
      </c>
      <c r="AY99" s="155" t="s">
        <v>150</v>
      </c>
      <c r="AZ99" s="155">
        <v>42535</v>
      </c>
      <c r="BA99" s="155">
        <v>42620</v>
      </c>
      <c r="BB99" s="152"/>
      <c r="BC99" s="152"/>
      <c r="BD99" s="152"/>
      <c r="BE99" s="156" t="s">
        <v>1527</v>
      </c>
      <c r="BF99" s="155">
        <v>42947</v>
      </c>
      <c r="BG99" s="155" t="s">
        <v>150</v>
      </c>
      <c r="BH99" s="155">
        <v>43164</v>
      </c>
      <c r="BI99" s="155" t="s">
        <v>150</v>
      </c>
      <c r="BJ99" s="154"/>
      <c r="BK99" s="154"/>
      <c r="BL99" s="154"/>
      <c r="BM99" s="157">
        <v>44529</v>
      </c>
      <c r="BN99" s="152" t="s">
        <v>16</v>
      </c>
      <c r="BO99" s="241">
        <f t="shared" si="24"/>
        <v>81</v>
      </c>
      <c r="BP99" s="152">
        <f t="shared" si="22"/>
        <v>73</v>
      </c>
      <c r="BQ99" s="161" t="s">
        <v>1527</v>
      </c>
      <c r="BR99" s="152">
        <v>0</v>
      </c>
      <c r="BS99" s="152">
        <v>15</v>
      </c>
      <c r="BT99" s="152">
        <v>3</v>
      </c>
      <c r="BU99" s="152">
        <v>6</v>
      </c>
      <c r="BV99" s="152">
        <v>1</v>
      </c>
      <c r="BW99" s="152">
        <v>0</v>
      </c>
      <c r="BX99" s="152">
        <v>0</v>
      </c>
      <c r="BY99" s="152" t="s">
        <v>163</v>
      </c>
      <c r="BZ99" s="152">
        <v>0</v>
      </c>
      <c r="CA99" s="152"/>
      <c r="CB99" s="158"/>
      <c r="CC99" s="158"/>
      <c r="CD99" s="152"/>
      <c r="CE99" s="152" t="s">
        <v>150</v>
      </c>
      <c r="CF99" s="152"/>
      <c r="CG99" s="152"/>
      <c r="CH99" s="375">
        <v>2</v>
      </c>
      <c r="CI99" s="152" t="s">
        <v>168</v>
      </c>
      <c r="CJ99" s="152"/>
      <c r="CK99" s="152" t="s">
        <v>809</v>
      </c>
    </row>
    <row r="100" spans="1:89" ht="24.95" customHeight="1">
      <c r="A100" s="152">
        <v>103</v>
      </c>
      <c r="B100" s="152" t="s">
        <v>1528</v>
      </c>
      <c r="C100" s="152" t="s">
        <v>825</v>
      </c>
      <c r="D100" s="152" t="s">
        <v>1529</v>
      </c>
      <c r="E100" s="152" t="s">
        <v>1530</v>
      </c>
      <c r="F100" s="152" t="s">
        <v>25</v>
      </c>
      <c r="G100" s="152">
        <v>5</v>
      </c>
      <c r="H100" s="152" t="s">
        <v>59</v>
      </c>
      <c r="I100" s="152" t="s">
        <v>40</v>
      </c>
      <c r="J100" s="152" t="s">
        <v>1531</v>
      </c>
      <c r="K100" s="152" t="s">
        <v>1532</v>
      </c>
      <c r="L100" s="152" t="s">
        <v>45</v>
      </c>
      <c r="M100" s="152" t="s">
        <v>163</v>
      </c>
      <c r="N100" s="152">
        <v>1362999</v>
      </c>
      <c r="O100" s="242" t="s">
        <v>322</v>
      </c>
      <c r="P100" s="243" t="s">
        <v>240</v>
      </c>
      <c r="Q100" s="152" t="s">
        <v>151</v>
      </c>
      <c r="R100" s="319" t="s">
        <v>1533</v>
      </c>
      <c r="S100" s="152" t="s">
        <v>1534</v>
      </c>
      <c r="T100" s="347" t="s">
        <v>1535</v>
      </c>
      <c r="U100" s="154" t="s">
        <v>1536</v>
      </c>
      <c r="V100" s="154">
        <v>31406</v>
      </c>
      <c r="W100" s="161" t="s">
        <v>1537</v>
      </c>
      <c r="X100" s="161" t="s">
        <v>179</v>
      </c>
      <c r="Y100" s="161" t="s">
        <v>157</v>
      </c>
      <c r="Z100" s="161" t="s">
        <v>158</v>
      </c>
      <c r="AA100" s="152">
        <v>8.5</v>
      </c>
      <c r="AB100" s="154">
        <v>42231</v>
      </c>
      <c r="AC100" s="286">
        <v>42064</v>
      </c>
      <c r="AD100" s="154"/>
      <c r="AE100" s="152" t="s">
        <v>1538</v>
      </c>
      <c r="AF100" s="152"/>
      <c r="AG100" s="152"/>
      <c r="AH100" s="152">
        <f t="shared" si="23"/>
        <v>1</v>
      </c>
      <c r="AI100" s="161" t="s">
        <v>161</v>
      </c>
      <c r="AJ100" s="152"/>
      <c r="AK100" s="152"/>
      <c r="AL100" s="152" t="s">
        <v>150</v>
      </c>
      <c r="AM100" s="152"/>
      <c r="AN100" s="152"/>
      <c r="AO100" s="152" t="s">
        <v>182</v>
      </c>
      <c r="AP100" s="152" t="s">
        <v>1539</v>
      </c>
      <c r="AQ100" s="152" t="s">
        <v>1539</v>
      </c>
      <c r="AR100" s="152" t="s">
        <v>150</v>
      </c>
      <c r="AS100" s="152" t="s">
        <v>1540</v>
      </c>
      <c r="AT100" s="30" t="s">
        <v>1266</v>
      </c>
      <c r="AU100" s="33" t="s">
        <v>1541</v>
      </c>
      <c r="AV100" s="33"/>
      <c r="AW100" s="155">
        <v>42065</v>
      </c>
      <c r="AX100" s="155">
        <v>42310</v>
      </c>
      <c r="AY100" s="155" t="s">
        <v>150</v>
      </c>
      <c r="AZ100" s="152"/>
      <c r="BA100" s="152"/>
      <c r="BB100" s="152"/>
      <c r="BC100" s="152"/>
      <c r="BD100" s="152"/>
      <c r="BE100" s="156"/>
      <c r="BF100" s="155">
        <v>42947</v>
      </c>
      <c r="BG100" s="155" t="s">
        <v>150</v>
      </c>
      <c r="BH100" s="155">
        <v>43164</v>
      </c>
      <c r="BI100" s="155" t="s">
        <v>150</v>
      </c>
      <c r="BJ100" s="154"/>
      <c r="BK100" s="154"/>
      <c r="BL100" s="154"/>
      <c r="BM100" s="157">
        <v>43830</v>
      </c>
      <c r="BN100" s="152" t="s">
        <v>16</v>
      </c>
      <c r="BO100" s="241">
        <f t="shared" si="24"/>
        <v>58</v>
      </c>
      <c r="BP100" s="152">
        <f t="shared" si="22"/>
        <v>50</v>
      </c>
      <c r="BQ100" s="161" t="s">
        <v>1542</v>
      </c>
      <c r="BR100" s="152">
        <v>1</v>
      </c>
      <c r="BS100" s="152">
        <v>16</v>
      </c>
      <c r="BT100" s="152">
        <v>9</v>
      </c>
      <c r="BU100" s="152">
        <v>3</v>
      </c>
      <c r="BV100" s="152">
        <v>0</v>
      </c>
      <c r="BW100" s="152">
        <v>0</v>
      </c>
      <c r="BX100" s="152">
        <v>0</v>
      </c>
      <c r="BY100" s="152" t="s">
        <v>163</v>
      </c>
      <c r="BZ100" s="152">
        <v>0</v>
      </c>
      <c r="CA100" s="152"/>
      <c r="CB100" s="158"/>
      <c r="CC100" s="158"/>
      <c r="CD100" s="152"/>
      <c r="CE100" s="152" t="s">
        <v>163</v>
      </c>
      <c r="CF100" s="152"/>
      <c r="CG100" s="152"/>
      <c r="CH100" s="375">
        <v>0</v>
      </c>
      <c r="CI100" s="152">
        <v>1</v>
      </c>
      <c r="CJ100" s="152"/>
      <c r="CK100" s="152" t="s">
        <v>809</v>
      </c>
    </row>
    <row r="101" spans="1:89" ht="24.95" customHeight="1">
      <c r="A101" s="152">
        <v>104</v>
      </c>
      <c r="B101" s="152" t="s">
        <v>1543</v>
      </c>
      <c r="C101" s="152" t="s">
        <v>347</v>
      </c>
      <c r="D101" s="152" t="s">
        <v>1544</v>
      </c>
      <c r="E101" s="152" t="s">
        <v>1545</v>
      </c>
      <c r="F101" s="152" t="s">
        <v>24</v>
      </c>
      <c r="G101" s="152">
        <v>5</v>
      </c>
      <c r="H101" s="152" t="s">
        <v>52</v>
      </c>
      <c r="I101" s="152" t="s">
        <v>42</v>
      </c>
      <c r="J101" s="152" t="s">
        <v>1546</v>
      </c>
      <c r="K101" s="152" t="s">
        <v>1395</v>
      </c>
      <c r="L101" s="152" t="s">
        <v>42</v>
      </c>
      <c r="M101" s="152" t="s">
        <v>150</v>
      </c>
      <c r="N101" s="152" t="s">
        <v>1547</v>
      </c>
      <c r="O101" s="242"/>
      <c r="P101" s="243" t="s">
        <v>322</v>
      </c>
      <c r="Q101" s="152"/>
      <c r="R101" s="152" t="s">
        <v>1548</v>
      </c>
      <c r="S101" s="152" t="s">
        <v>1549</v>
      </c>
      <c r="T101" s="347" t="s">
        <v>1550</v>
      </c>
      <c r="U101" s="154" t="s">
        <v>1400</v>
      </c>
      <c r="V101" s="154">
        <v>29277</v>
      </c>
      <c r="W101" s="161" t="s">
        <v>1551</v>
      </c>
      <c r="X101" s="161" t="s">
        <v>179</v>
      </c>
      <c r="Y101" s="161" t="s">
        <v>157</v>
      </c>
      <c r="Z101" s="161" t="s">
        <v>158</v>
      </c>
      <c r="AA101" s="152">
        <v>28.5</v>
      </c>
      <c r="AB101" s="154">
        <v>42255</v>
      </c>
      <c r="AC101" s="286">
        <v>42064</v>
      </c>
      <c r="AD101" s="154"/>
      <c r="AE101" s="34" t="s">
        <v>1552</v>
      </c>
      <c r="AF101" s="314" t="s">
        <v>1553</v>
      </c>
      <c r="AG101" s="152"/>
      <c r="AH101" s="152">
        <f t="shared" si="23"/>
        <v>2</v>
      </c>
      <c r="AI101" s="161" t="s">
        <v>161</v>
      </c>
      <c r="AJ101" s="161" t="s">
        <v>161</v>
      </c>
      <c r="AK101" s="152"/>
      <c r="AL101" s="152" t="s">
        <v>150</v>
      </c>
      <c r="AM101" s="152" t="s">
        <v>163</v>
      </c>
      <c r="AN101" s="152"/>
      <c r="AO101" s="152" t="s">
        <v>164</v>
      </c>
      <c r="AP101" s="152" t="s">
        <v>203</v>
      </c>
      <c r="AQ101" s="152" t="s">
        <v>203</v>
      </c>
      <c r="AR101" s="152"/>
      <c r="AS101" s="152"/>
      <c r="AT101" s="30" t="s">
        <v>420</v>
      </c>
      <c r="AU101" s="33" t="s">
        <v>1554</v>
      </c>
      <c r="AV101" s="33" t="s">
        <v>163</v>
      </c>
      <c r="AW101" s="155">
        <v>42065</v>
      </c>
      <c r="AX101" s="155">
        <v>42310</v>
      </c>
      <c r="AY101" s="155" t="s">
        <v>150</v>
      </c>
      <c r="AZ101" s="155">
        <v>42248</v>
      </c>
      <c r="BA101" s="155">
        <v>43503</v>
      </c>
      <c r="BB101" s="155"/>
      <c r="BC101" s="155"/>
      <c r="BD101" s="155"/>
      <c r="BE101" s="156" t="s">
        <v>1555</v>
      </c>
      <c r="BF101" s="155">
        <v>42947</v>
      </c>
      <c r="BG101" s="155" t="s">
        <v>150</v>
      </c>
      <c r="BH101" s="155">
        <v>43164</v>
      </c>
      <c r="BI101" s="155" t="s">
        <v>150</v>
      </c>
      <c r="BJ101" s="154"/>
      <c r="BK101" s="154"/>
      <c r="BL101" s="154"/>
      <c r="BM101" s="157"/>
      <c r="BN101" s="162" t="s">
        <v>17</v>
      </c>
      <c r="BO101" s="241"/>
      <c r="BP101" s="241"/>
      <c r="BQ101" s="152"/>
      <c r="BR101" s="152">
        <v>0</v>
      </c>
      <c r="BS101" s="152">
        <v>0</v>
      </c>
      <c r="BT101" s="152">
        <v>0</v>
      </c>
      <c r="BU101" s="152">
        <v>0</v>
      </c>
      <c r="BV101" s="152">
        <v>0</v>
      </c>
      <c r="BW101" s="152">
        <v>0</v>
      </c>
      <c r="BX101" s="152">
        <v>0</v>
      </c>
      <c r="BY101" s="152" t="s">
        <v>163</v>
      </c>
      <c r="BZ101" s="152">
        <v>0</v>
      </c>
      <c r="CA101" s="152"/>
      <c r="CB101" s="158"/>
      <c r="CC101" s="158"/>
      <c r="CD101" s="152"/>
      <c r="CE101" s="152" t="s">
        <v>163</v>
      </c>
      <c r="CF101" s="152"/>
      <c r="CG101" s="152"/>
      <c r="CH101" s="375">
        <v>2</v>
      </c>
      <c r="CI101" s="152" t="s">
        <v>168</v>
      </c>
      <c r="CJ101" s="152"/>
      <c r="CK101" s="152" t="s">
        <v>1314</v>
      </c>
    </row>
    <row r="102" spans="1:89" ht="24.95" customHeight="1">
      <c r="A102" s="152">
        <v>105</v>
      </c>
      <c r="B102" s="152" t="s">
        <v>1556</v>
      </c>
      <c r="C102" s="152" t="s">
        <v>1557</v>
      </c>
      <c r="D102" s="152" t="s">
        <v>1558</v>
      </c>
      <c r="E102" s="152" t="s">
        <v>1559</v>
      </c>
      <c r="F102" s="152" t="s">
        <v>24</v>
      </c>
      <c r="G102" s="152">
        <v>5</v>
      </c>
      <c r="H102" s="152" t="s">
        <v>54</v>
      </c>
      <c r="I102" s="152" t="s">
        <v>31</v>
      </c>
      <c r="J102" s="152" t="s">
        <v>1560</v>
      </c>
      <c r="K102" s="152" t="s">
        <v>1561</v>
      </c>
      <c r="L102" s="152" t="s">
        <v>31</v>
      </c>
      <c r="M102" s="152" t="s">
        <v>150</v>
      </c>
      <c r="N102" s="152">
        <v>130949</v>
      </c>
      <c r="O102" s="242" t="s">
        <v>151</v>
      </c>
      <c r="P102" s="243" t="s">
        <v>151</v>
      </c>
      <c r="Q102" s="152" t="s">
        <v>240</v>
      </c>
      <c r="R102" s="152" t="s">
        <v>1562</v>
      </c>
      <c r="S102" s="152" t="s">
        <v>1563</v>
      </c>
      <c r="T102" s="348" t="s">
        <v>1564</v>
      </c>
      <c r="U102" s="154" t="s">
        <v>817</v>
      </c>
      <c r="V102" s="154">
        <v>27902</v>
      </c>
      <c r="W102" s="161" t="s">
        <v>1565</v>
      </c>
      <c r="X102" s="161" t="s">
        <v>179</v>
      </c>
      <c r="Y102" s="161" t="s">
        <v>163</v>
      </c>
      <c r="Z102" s="161" t="s">
        <v>158</v>
      </c>
      <c r="AA102" s="152">
        <v>18</v>
      </c>
      <c r="AB102" s="154">
        <v>41852</v>
      </c>
      <c r="AC102" s="286">
        <v>42064</v>
      </c>
      <c r="AD102" s="154"/>
      <c r="AE102" s="34" t="s">
        <v>1566</v>
      </c>
      <c r="AF102" s="152" t="s">
        <v>1567</v>
      </c>
      <c r="AG102" s="152"/>
      <c r="AH102" s="152">
        <f t="shared" si="23"/>
        <v>2</v>
      </c>
      <c r="AI102" s="161" t="s">
        <v>161</v>
      </c>
      <c r="AJ102" s="152"/>
      <c r="AK102" s="152"/>
      <c r="AL102" s="152" t="s">
        <v>150</v>
      </c>
      <c r="AM102" s="152"/>
      <c r="AN102" s="152"/>
      <c r="AO102" s="152" t="s">
        <v>164</v>
      </c>
      <c r="AP102" s="152"/>
      <c r="AQ102" s="152"/>
      <c r="AR102" s="152"/>
      <c r="AS102" s="152"/>
      <c r="AT102" s="30" t="s">
        <v>328</v>
      </c>
      <c r="AU102" s="33" t="s">
        <v>1568</v>
      </c>
      <c r="AV102" s="33"/>
      <c r="AW102" s="155">
        <v>42065</v>
      </c>
      <c r="AX102" s="155">
        <v>42310</v>
      </c>
      <c r="AY102" s="155" t="s">
        <v>150</v>
      </c>
      <c r="AZ102" s="155">
        <v>41730</v>
      </c>
      <c r="BA102" s="155">
        <v>42384</v>
      </c>
      <c r="BB102" s="155"/>
      <c r="BC102" s="155"/>
      <c r="BD102" s="155"/>
      <c r="BE102" s="156" t="s">
        <v>1569</v>
      </c>
      <c r="BF102" s="155">
        <v>42947</v>
      </c>
      <c r="BG102" s="155" t="s">
        <v>150</v>
      </c>
      <c r="BH102" s="155">
        <v>43164</v>
      </c>
      <c r="BI102" s="155" t="s">
        <v>150</v>
      </c>
      <c r="BJ102" s="154"/>
      <c r="BK102" s="154"/>
      <c r="BL102" s="154"/>
      <c r="BM102" s="157">
        <v>43832</v>
      </c>
      <c r="BN102" s="152" t="s">
        <v>16</v>
      </c>
      <c r="BO102" s="241">
        <f t="shared" ref="BO102:BO105" si="25">DATEDIF(AW102,BM102, "M")+1</f>
        <v>59</v>
      </c>
      <c r="BP102" s="152">
        <f t="shared" ref="BP102:BP105" si="26">DATEDIF(AX102,BM102, "M")+1</f>
        <v>51</v>
      </c>
      <c r="BQ102" s="152"/>
      <c r="BR102" s="152">
        <v>0</v>
      </c>
      <c r="BS102" s="152">
        <v>7</v>
      </c>
      <c r="BT102" s="152">
        <v>7</v>
      </c>
      <c r="BU102" s="152">
        <v>6</v>
      </c>
      <c r="BV102" s="152">
        <v>3</v>
      </c>
      <c r="BW102" s="152">
        <v>0</v>
      </c>
      <c r="BX102" s="152">
        <v>0</v>
      </c>
      <c r="BY102" s="152" t="s">
        <v>1570</v>
      </c>
      <c r="BZ102" s="152">
        <v>0</v>
      </c>
      <c r="CA102" s="152"/>
      <c r="CB102" s="158"/>
      <c r="CC102" s="158"/>
      <c r="CD102" s="152"/>
      <c r="CE102" s="152" t="s">
        <v>163</v>
      </c>
      <c r="CF102" s="152"/>
      <c r="CG102" s="152"/>
      <c r="CH102" s="375">
        <v>3</v>
      </c>
      <c r="CI102" s="152">
        <v>3</v>
      </c>
      <c r="CJ102" s="152"/>
      <c r="CK102" s="152" t="s">
        <v>1314</v>
      </c>
    </row>
    <row r="103" spans="1:89" ht="24.95" customHeight="1">
      <c r="A103" s="152">
        <v>106</v>
      </c>
      <c r="B103" s="152" t="s">
        <v>1571</v>
      </c>
      <c r="C103" s="152" t="s">
        <v>1572</v>
      </c>
      <c r="D103" s="152"/>
      <c r="E103" s="152" t="s">
        <v>1573</v>
      </c>
      <c r="F103" s="152" t="s">
        <v>25</v>
      </c>
      <c r="G103" s="152">
        <v>5</v>
      </c>
      <c r="H103" s="152" t="s">
        <v>53</v>
      </c>
      <c r="I103" s="152" t="s">
        <v>46</v>
      </c>
      <c r="J103" s="152" t="s">
        <v>1574</v>
      </c>
      <c r="K103" s="152" t="s">
        <v>1546</v>
      </c>
      <c r="L103" s="152" t="s">
        <v>44</v>
      </c>
      <c r="M103" s="152" t="s">
        <v>150</v>
      </c>
      <c r="N103" s="247" t="s">
        <v>1575</v>
      </c>
      <c r="O103" s="245" t="s">
        <v>151</v>
      </c>
      <c r="P103" s="35" t="s">
        <v>151</v>
      </c>
      <c r="Q103" s="152" t="s">
        <v>151</v>
      </c>
      <c r="R103" s="319" t="s">
        <v>1576</v>
      </c>
      <c r="S103" s="152" t="s">
        <v>1577</v>
      </c>
      <c r="T103" s="348" t="s">
        <v>1578</v>
      </c>
      <c r="U103" s="154" t="s">
        <v>1579</v>
      </c>
      <c r="V103" s="154">
        <v>29305</v>
      </c>
      <c r="W103" s="161" t="s">
        <v>1580</v>
      </c>
      <c r="X103" s="161" t="s">
        <v>179</v>
      </c>
      <c r="Y103" s="161" t="s">
        <v>157</v>
      </c>
      <c r="Z103" s="161" t="s">
        <v>158</v>
      </c>
      <c r="AA103" s="152">
        <v>28.5</v>
      </c>
      <c r="AB103" s="154">
        <v>42037</v>
      </c>
      <c r="AC103" s="286">
        <v>42064</v>
      </c>
      <c r="AD103" s="154"/>
      <c r="AE103" s="34" t="s">
        <v>1581</v>
      </c>
      <c r="AF103" s="34" t="s">
        <v>1582</v>
      </c>
      <c r="AG103" s="152"/>
      <c r="AH103" s="152">
        <f t="shared" si="23"/>
        <v>2</v>
      </c>
      <c r="AI103" s="161" t="s">
        <v>161</v>
      </c>
      <c r="AJ103" s="33" t="s">
        <v>202</v>
      </c>
      <c r="AK103" s="152"/>
      <c r="AL103" s="152" t="s">
        <v>150</v>
      </c>
      <c r="AM103" s="152" t="s">
        <v>163</v>
      </c>
      <c r="AN103" s="152"/>
      <c r="AO103" s="152" t="s">
        <v>164</v>
      </c>
      <c r="AP103" s="152" t="s">
        <v>165</v>
      </c>
      <c r="AQ103" s="294" t="s">
        <v>217</v>
      </c>
      <c r="AR103" s="152" t="s">
        <v>150</v>
      </c>
      <c r="AS103" s="152"/>
      <c r="AT103" s="30" t="s">
        <v>298</v>
      </c>
      <c r="AU103" s="33" t="s">
        <v>1583</v>
      </c>
      <c r="AV103" s="33" t="s">
        <v>163</v>
      </c>
      <c r="AW103" s="155">
        <v>42065</v>
      </c>
      <c r="AX103" s="155">
        <v>42310</v>
      </c>
      <c r="AY103" s="155" t="s">
        <v>150</v>
      </c>
      <c r="AZ103" s="155">
        <v>41974</v>
      </c>
      <c r="BA103" s="155"/>
      <c r="BB103" s="155">
        <v>42214</v>
      </c>
      <c r="BC103" s="155"/>
      <c r="BD103" s="155"/>
      <c r="BE103" s="156" t="s">
        <v>1584</v>
      </c>
      <c r="BF103" s="155">
        <v>42947</v>
      </c>
      <c r="BG103" s="155" t="s">
        <v>150</v>
      </c>
      <c r="BH103" s="155">
        <v>43164</v>
      </c>
      <c r="BI103" s="155" t="s">
        <v>150</v>
      </c>
      <c r="BJ103" s="154">
        <v>43119</v>
      </c>
      <c r="BK103" s="154">
        <v>43328</v>
      </c>
      <c r="BL103" s="154">
        <v>43424</v>
      </c>
      <c r="BM103" s="157">
        <v>43465</v>
      </c>
      <c r="BN103" s="152" t="s">
        <v>16</v>
      </c>
      <c r="BO103" s="241">
        <f t="shared" si="25"/>
        <v>46</v>
      </c>
      <c r="BP103" s="152">
        <f t="shared" si="26"/>
        <v>38</v>
      </c>
      <c r="BQ103" s="161" t="s">
        <v>1584</v>
      </c>
      <c r="BR103" s="152">
        <v>1</v>
      </c>
      <c r="BS103" s="152">
        <v>3</v>
      </c>
      <c r="BT103" s="152">
        <v>13</v>
      </c>
      <c r="BU103" s="152">
        <v>2</v>
      </c>
      <c r="BV103" s="152">
        <v>0</v>
      </c>
      <c r="BW103" s="152">
        <v>0</v>
      </c>
      <c r="BX103" s="152">
        <v>0</v>
      </c>
      <c r="BY103" s="152" t="s">
        <v>163</v>
      </c>
      <c r="BZ103" s="152">
        <v>0</v>
      </c>
      <c r="CA103" s="152"/>
      <c r="CB103" s="158"/>
      <c r="CC103" s="158"/>
      <c r="CD103" s="152"/>
      <c r="CE103" s="152" t="s">
        <v>163</v>
      </c>
      <c r="CF103" s="152"/>
      <c r="CG103" s="152"/>
      <c r="CH103" s="375">
        <v>1</v>
      </c>
      <c r="CI103" s="152">
        <v>3</v>
      </c>
      <c r="CJ103" s="152">
        <v>3</v>
      </c>
      <c r="CK103" s="152" t="s">
        <v>809</v>
      </c>
    </row>
    <row r="104" spans="1:89" ht="24.95" customHeight="1">
      <c r="A104" s="152">
        <v>107</v>
      </c>
      <c r="B104" s="152" t="s">
        <v>1585</v>
      </c>
      <c r="C104" s="152" t="s">
        <v>1586</v>
      </c>
      <c r="D104" s="152"/>
      <c r="E104" s="152" t="s">
        <v>1587</v>
      </c>
      <c r="F104" s="152" t="s">
        <v>25</v>
      </c>
      <c r="G104" s="152">
        <v>5</v>
      </c>
      <c r="H104" s="152" t="s">
        <v>60</v>
      </c>
      <c r="I104" s="152" t="s">
        <v>35</v>
      </c>
      <c r="J104" s="152" t="s">
        <v>362</v>
      </c>
      <c r="K104" s="152" t="s">
        <v>1588</v>
      </c>
      <c r="L104" s="152" t="s">
        <v>35</v>
      </c>
      <c r="M104" s="152" t="s">
        <v>150</v>
      </c>
      <c r="N104" s="244" t="s">
        <v>1589</v>
      </c>
      <c r="O104" s="245" t="s">
        <v>151</v>
      </c>
      <c r="P104" s="35" t="s">
        <v>151</v>
      </c>
      <c r="Q104" s="152" t="s">
        <v>151</v>
      </c>
      <c r="R104" s="319" t="s">
        <v>1590</v>
      </c>
      <c r="S104" s="319" t="s">
        <v>1591</v>
      </c>
      <c r="T104" s="348" t="s">
        <v>1592</v>
      </c>
      <c r="U104" s="154" t="s">
        <v>1593</v>
      </c>
      <c r="V104" s="154">
        <v>29718</v>
      </c>
      <c r="W104" s="161" t="s">
        <v>1594</v>
      </c>
      <c r="X104" s="161" t="s">
        <v>179</v>
      </c>
      <c r="Y104" s="161" t="s">
        <v>163</v>
      </c>
      <c r="Z104" s="161" t="s">
        <v>158</v>
      </c>
      <c r="AA104" s="152">
        <v>32.5</v>
      </c>
      <c r="AB104" s="154">
        <v>42125</v>
      </c>
      <c r="AC104" s="286">
        <v>42064</v>
      </c>
      <c r="AD104" s="154"/>
      <c r="AE104" s="34" t="s">
        <v>1595</v>
      </c>
      <c r="AF104" s="34" t="s">
        <v>550</v>
      </c>
      <c r="AG104" s="152"/>
      <c r="AH104" s="152">
        <f t="shared" si="23"/>
        <v>2</v>
      </c>
      <c r="AI104" s="161" t="s">
        <v>161</v>
      </c>
      <c r="AJ104" s="161" t="s">
        <v>161</v>
      </c>
      <c r="AK104" s="152"/>
      <c r="AL104" s="152" t="s">
        <v>150</v>
      </c>
      <c r="AM104" s="152" t="s">
        <v>163</v>
      </c>
      <c r="AN104" s="152"/>
      <c r="AO104" s="152" t="s">
        <v>164</v>
      </c>
      <c r="AP104" s="152" t="s">
        <v>181</v>
      </c>
      <c r="AQ104" s="152" t="s">
        <v>181</v>
      </c>
      <c r="AR104" s="152" t="s">
        <v>163</v>
      </c>
      <c r="AS104" s="152"/>
      <c r="AT104" s="30" t="s">
        <v>552</v>
      </c>
      <c r="AU104" s="33" t="s">
        <v>1596</v>
      </c>
      <c r="AV104" s="33" t="s">
        <v>163</v>
      </c>
      <c r="AW104" s="155">
        <v>42065</v>
      </c>
      <c r="AX104" s="155">
        <v>42310</v>
      </c>
      <c r="AY104" s="155" t="s">
        <v>150</v>
      </c>
      <c r="AZ104" s="155">
        <v>42494</v>
      </c>
      <c r="BA104" s="155">
        <v>42553</v>
      </c>
      <c r="BB104" s="155"/>
      <c r="BC104" s="155"/>
      <c r="BD104" s="155"/>
      <c r="BE104" s="156" t="s">
        <v>1597</v>
      </c>
      <c r="BF104" s="155">
        <v>42947</v>
      </c>
      <c r="BG104" s="155" t="s">
        <v>150</v>
      </c>
      <c r="BH104" s="155">
        <v>43164</v>
      </c>
      <c r="BI104" s="155" t="s">
        <v>150</v>
      </c>
      <c r="BJ104" s="154"/>
      <c r="BK104" s="154"/>
      <c r="BL104" s="154"/>
      <c r="BM104" s="157">
        <v>43677</v>
      </c>
      <c r="BN104" s="152" t="s">
        <v>16</v>
      </c>
      <c r="BO104" s="241">
        <f t="shared" si="25"/>
        <v>53</v>
      </c>
      <c r="BP104" s="152">
        <f t="shared" si="26"/>
        <v>45</v>
      </c>
      <c r="BQ104" s="152"/>
      <c r="BR104" s="152">
        <v>0</v>
      </c>
      <c r="BS104" s="152">
        <v>2</v>
      </c>
      <c r="BT104" s="152">
        <v>3</v>
      </c>
      <c r="BU104" s="152">
        <v>1</v>
      </c>
      <c r="BV104" s="152">
        <v>0</v>
      </c>
      <c r="BW104" s="152">
        <v>0</v>
      </c>
      <c r="BX104" s="152">
        <v>0</v>
      </c>
      <c r="BY104" s="152" t="s">
        <v>163</v>
      </c>
      <c r="BZ104" s="152">
        <v>0</v>
      </c>
      <c r="CA104" s="152"/>
      <c r="CB104" s="158"/>
      <c r="CC104" s="158"/>
      <c r="CD104" s="152"/>
      <c r="CE104" s="152" t="s">
        <v>163</v>
      </c>
      <c r="CF104" s="152"/>
      <c r="CG104" s="152"/>
      <c r="CH104" s="375">
        <v>1</v>
      </c>
      <c r="CI104" s="152">
        <v>3</v>
      </c>
      <c r="CJ104" s="152"/>
      <c r="CK104" s="152" t="s">
        <v>809</v>
      </c>
    </row>
    <row r="105" spans="1:89" ht="24.95" customHeight="1">
      <c r="A105" s="152">
        <v>108</v>
      </c>
      <c r="B105" s="152" t="s">
        <v>1598</v>
      </c>
      <c r="C105" s="152" t="s">
        <v>1599</v>
      </c>
      <c r="D105" s="152" t="s">
        <v>1600</v>
      </c>
      <c r="E105" s="152" t="s">
        <v>1600</v>
      </c>
      <c r="F105" s="152" t="s">
        <v>24</v>
      </c>
      <c r="G105" s="152">
        <v>5</v>
      </c>
      <c r="H105" s="152" t="s">
        <v>52</v>
      </c>
      <c r="I105" s="152" t="s">
        <v>37</v>
      </c>
      <c r="J105" s="152" t="s">
        <v>1601</v>
      </c>
      <c r="K105" s="152" t="s">
        <v>1601</v>
      </c>
      <c r="L105" s="152" t="s">
        <v>37</v>
      </c>
      <c r="M105" s="152" t="s">
        <v>150</v>
      </c>
      <c r="N105" s="152" t="s">
        <v>1602</v>
      </c>
      <c r="O105" s="242" t="s">
        <v>151</v>
      </c>
      <c r="P105" s="243" t="s">
        <v>151</v>
      </c>
      <c r="Q105" s="152" t="s">
        <v>151</v>
      </c>
      <c r="R105" s="152" t="s">
        <v>1603</v>
      </c>
      <c r="S105" s="152" t="s">
        <v>1604</v>
      </c>
      <c r="T105" s="347" t="s">
        <v>1605</v>
      </c>
      <c r="U105" s="154" t="s">
        <v>168</v>
      </c>
      <c r="V105" s="154">
        <v>28491</v>
      </c>
      <c r="W105" s="161" t="s">
        <v>1606</v>
      </c>
      <c r="X105" s="161" t="s">
        <v>179</v>
      </c>
      <c r="Y105" s="161" t="s">
        <v>163</v>
      </c>
      <c r="Z105" s="161" t="s">
        <v>158</v>
      </c>
      <c r="AA105" s="152">
        <v>8</v>
      </c>
      <c r="AB105" s="154">
        <v>42257</v>
      </c>
      <c r="AC105" s="286">
        <v>42064</v>
      </c>
      <c r="AD105" s="154"/>
      <c r="AE105" s="34" t="s">
        <v>1607</v>
      </c>
      <c r="AF105" s="152" t="s">
        <v>1608</v>
      </c>
      <c r="AG105" s="152" t="s">
        <v>1609</v>
      </c>
      <c r="AH105" s="152">
        <f t="shared" si="23"/>
        <v>3</v>
      </c>
      <c r="AI105" s="161" t="s">
        <v>161</v>
      </c>
      <c r="AJ105" s="152"/>
      <c r="AK105" s="152"/>
      <c r="AL105" s="152" t="s">
        <v>163</v>
      </c>
      <c r="AM105" s="152"/>
      <c r="AN105" s="152"/>
      <c r="AO105" s="152" t="s">
        <v>164</v>
      </c>
      <c r="AP105" s="152"/>
      <c r="AQ105" s="152" t="s">
        <v>203</v>
      </c>
      <c r="AR105" s="152"/>
      <c r="AS105" s="161" t="s">
        <v>1610</v>
      </c>
      <c r="AT105" s="30" t="s">
        <v>204</v>
      </c>
      <c r="AU105" s="152"/>
      <c r="AV105" s="152"/>
      <c r="AW105" s="155">
        <v>42065</v>
      </c>
      <c r="AX105" s="155">
        <v>42310</v>
      </c>
      <c r="AY105" s="155" t="s">
        <v>150</v>
      </c>
      <c r="AZ105" s="155">
        <v>44393</v>
      </c>
      <c r="BA105" s="155">
        <v>44393</v>
      </c>
      <c r="BB105" s="155"/>
      <c r="BC105" s="155"/>
      <c r="BD105" s="155"/>
      <c r="BE105" s="156"/>
      <c r="BF105" s="155">
        <v>42947</v>
      </c>
      <c r="BG105" s="155" t="s">
        <v>150</v>
      </c>
      <c r="BH105" s="155">
        <v>43164</v>
      </c>
      <c r="BI105" s="155" t="s">
        <v>150</v>
      </c>
      <c r="BJ105" s="154"/>
      <c r="BK105" s="154"/>
      <c r="BL105" s="154"/>
      <c r="BM105" s="157">
        <v>44155</v>
      </c>
      <c r="BN105" s="152" t="s">
        <v>16</v>
      </c>
      <c r="BO105" s="241">
        <f t="shared" si="25"/>
        <v>69</v>
      </c>
      <c r="BP105" s="152">
        <f t="shared" si="26"/>
        <v>61</v>
      </c>
      <c r="BQ105" s="161" t="s">
        <v>1611</v>
      </c>
      <c r="BR105" s="152"/>
      <c r="BS105" s="152">
        <v>2</v>
      </c>
      <c r="BT105" s="152">
        <v>0</v>
      </c>
      <c r="BU105" s="152">
        <v>2</v>
      </c>
      <c r="BV105" s="152">
        <v>0</v>
      </c>
      <c r="BW105" s="152">
        <v>0</v>
      </c>
      <c r="BX105" s="152">
        <v>0</v>
      </c>
      <c r="BY105" s="152" t="s">
        <v>1612</v>
      </c>
      <c r="BZ105" s="152">
        <v>0</v>
      </c>
      <c r="CA105" s="152"/>
      <c r="CB105" s="158">
        <v>43905</v>
      </c>
      <c r="CC105" s="158">
        <v>44049</v>
      </c>
      <c r="CD105" s="152">
        <v>5</v>
      </c>
      <c r="CE105" s="152" t="s">
        <v>163</v>
      </c>
      <c r="CF105" s="152"/>
      <c r="CG105" s="152"/>
      <c r="CH105" s="375">
        <v>4</v>
      </c>
      <c r="CI105" s="152">
        <v>4</v>
      </c>
      <c r="CJ105" s="152"/>
      <c r="CK105" s="152" t="s">
        <v>809</v>
      </c>
    </row>
    <row r="106" spans="1:89" ht="24.95" customHeight="1">
      <c r="A106" s="152">
        <v>109</v>
      </c>
      <c r="B106" s="152" t="s">
        <v>1613</v>
      </c>
      <c r="C106" s="152" t="s">
        <v>1614</v>
      </c>
      <c r="D106" s="152" t="s">
        <v>1615</v>
      </c>
      <c r="E106" s="152" t="s">
        <v>1616</v>
      </c>
      <c r="F106" s="152" t="s">
        <v>25</v>
      </c>
      <c r="G106" s="152">
        <v>5</v>
      </c>
      <c r="H106" s="152" t="s">
        <v>52</v>
      </c>
      <c r="I106" s="152" t="s">
        <v>37</v>
      </c>
      <c r="J106" s="152" t="s">
        <v>1617</v>
      </c>
      <c r="K106" s="152" t="s">
        <v>1618</v>
      </c>
      <c r="L106" s="152" t="s">
        <v>37</v>
      </c>
      <c r="M106" s="152" t="s">
        <v>150</v>
      </c>
      <c r="N106" s="152" t="s">
        <v>1619</v>
      </c>
      <c r="O106" s="242"/>
      <c r="P106" s="243" t="s">
        <v>151</v>
      </c>
      <c r="Q106" s="152"/>
      <c r="R106" s="152" t="s">
        <v>1620</v>
      </c>
      <c r="S106" s="152" t="s">
        <v>1621</v>
      </c>
      <c r="T106" s="348" t="s">
        <v>1622</v>
      </c>
      <c r="U106" s="154" t="s">
        <v>168</v>
      </c>
      <c r="V106" s="154">
        <v>30392</v>
      </c>
      <c r="W106" s="161" t="s">
        <v>1623</v>
      </c>
      <c r="X106" s="161" t="s">
        <v>179</v>
      </c>
      <c r="Y106" s="161" t="s">
        <v>163</v>
      </c>
      <c r="Z106" s="161" t="s">
        <v>158</v>
      </c>
      <c r="AA106" s="152">
        <v>16.5</v>
      </c>
      <c r="AB106" s="154">
        <v>41883</v>
      </c>
      <c r="AC106" s="286">
        <v>42064</v>
      </c>
      <c r="AD106" s="154"/>
      <c r="AE106" s="34" t="s">
        <v>1624</v>
      </c>
      <c r="AF106" s="152"/>
      <c r="AG106" s="152"/>
      <c r="AH106" s="152">
        <f t="shared" si="23"/>
        <v>1</v>
      </c>
      <c r="AI106" s="161" t="s">
        <v>161</v>
      </c>
      <c r="AJ106" s="152"/>
      <c r="AK106" s="152"/>
      <c r="AL106" s="152" t="s">
        <v>150</v>
      </c>
      <c r="AM106" s="152"/>
      <c r="AN106" s="152"/>
      <c r="AO106" s="152" t="s">
        <v>164</v>
      </c>
      <c r="AP106" s="152"/>
      <c r="AQ106" s="152" t="s">
        <v>203</v>
      </c>
      <c r="AR106" s="152"/>
      <c r="AS106" s="152"/>
      <c r="AT106" s="30" t="s">
        <v>204</v>
      </c>
      <c r="AU106" s="152"/>
      <c r="AV106" s="152"/>
      <c r="AW106" s="155">
        <v>42065</v>
      </c>
      <c r="AX106" s="155">
        <v>42310</v>
      </c>
      <c r="AY106" s="155" t="s">
        <v>150</v>
      </c>
      <c r="AZ106" s="155"/>
      <c r="BA106" s="155"/>
      <c r="BB106" s="155"/>
      <c r="BC106" s="155"/>
      <c r="BD106" s="155"/>
      <c r="BE106" s="156"/>
      <c r="BF106" s="155">
        <v>42947</v>
      </c>
      <c r="BG106" s="155" t="s">
        <v>150</v>
      </c>
      <c r="BH106" s="155">
        <v>43164</v>
      </c>
      <c r="BI106" s="155" t="s">
        <v>150</v>
      </c>
      <c r="BJ106" s="154"/>
      <c r="BK106" s="154"/>
      <c r="BL106" s="154"/>
      <c r="BM106" s="157"/>
      <c r="BN106" s="162" t="s">
        <v>17</v>
      </c>
      <c r="BO106" s="241"/>
      <c r="BP106" s="241"/>
      <c r="BQ106" s="152"/>
      <c r="BR106" s="152"/>
      <c r="BS106" s="152">
        <v>2</v>
      </c>
      <c r="BT106" s="152">
        <v>0</v>
      </c>
      <c r="BU106" s="152">
        <v>2</v>
      </c>
      <c r="BV106" s="152">
        <v>0</v>
      </c>
      <c r="BW106" s="152">
        <v>0</v>
      </c>
      <c r="BX106" s="152">
        <v>0</v>
      </c>
      <c r="BY106" s="152" t="s">
        <v>163</v>
      </c>
      <c r="BZ106" s="152">
        <v>0</v>
      </c>
      <c r="CA106" s="152"/>
      <c r="CB106" s="158"/>
      <c r="CC106" s="158"/>
      <c r="CD106" s="152"/>
      <c r="CE106" s="152" t="s">
        <v>150</v>
      </c>
      <c r="CF106" s="152"/>
      <c r="CG106" s="152"/>
      <c r="CH106" s="375" t="s">
        <v>168</v>
      </c>
      <c r="CI106" s="152" t="s">
        <v>168</v>
      </c>
      <c r="CJ106" s="152"/>
      <c r="CK106" s="152" t="s">
        <v>809</v>
      </c>
    </row>
    <row r="107" spans="1:89" ht="24.95" customHeight="1">
      <c r="A107" s="152">
        <v>110</v>
      </c>
      <c r="B107" s="152" t="s">
        <v>1625</v>
      </c>
      <c r="C107" s="152" t="s">
        <v>1626</v>
      </c>
      <c r="D107" s="152" t="s">
        <v>1627</v>
      </c>
      <c r="E107" s="152" t="s">
        <v>1628</v>
      </c>
      <c r="F107" s="152" t="s">
        <v>24</v>
      </c>
      <c r="G107" s="152">
        <v>5</v>
      </c>
      <c r="H107" s="152" t="s">
        <v>54</v>
      </c>
      <c r="I107" s="152" t="s">
        <v>31</v>
      </c>
      <c r="J107" s="152" t="s">
        <v>1629</v>
      </c>
      <c r="K107" s="152" t="s">
        <v>560</v>
      </c>
      <c r="L107" s="152" t="s">
        <v>31</v>
      </c>
      <c r="M107" s="152" t="s">
        <v>150</v>
      </c>
      <c r="N107" s="152">
        <v>148600</v>
      </c>
      <c r="O107" s="242" t="s">
        <v>151</v>
      </c>
      <c r="P107" s="243" t="s">
        <v>151</v>
      </c>
      <c r="Q107" s="152"/>
      <c r="R107" s="152" t="s">
        <v>1630</v>
      </c>
      <c r="S107" s="160" t="s">
        <v>1631</v>
      </c>
      <c r="T107" s="347" t="s">
        <v>1632</v>
      </c>
      <c r="U107" s="154" t="s">
        <v>1633</v>
      </c>
      <c r="V107" s="154">
        <v>26703</v>
      </c>
      <c r="W107" s="161" t="s">
        <v>1634</v>
      </c>
      <c r="X107" s="161" t="s">
        <v>179</v>
      </c>
      <c r="Y107" s="161" t="s">
        <v>163</v>
      </c>
      <c r="Z107" s="161" t="s">
        <v>158</v>
      </c>
      <c r="AA107" s="152">
        <v>14.5</v>
      </c>
      <c r="AB107" s="154">
        <v>41306</v>
      </c>
      <c r="AC107" s="286">
        <v>42064</v>
      </c>
      <c r="AD107" s="154"/>
      <c r="AE107" s="34" t="s">
        <v>1635</v>
      </c>
      <c r="AF107" s="152"/>
      <c r="AG107" s="152"/>
      <c r="AH107" s="152">
        <f t="shared" si="23"/>
        <v>1</v>
      </c>
      <c r="AI107" s="161" t="s">
        <v>161</v>
      </c>
      <c r="AJ107" s="152"/>
      <c r="AK107" s="152"/>
      <c r="AL107" s="152" t="s">
        <v>150</v>
      </c>
      <c r="AM107" s="152"/>
      <c r="AN107" s="152"/>
      <c r="AO107" s="152" t="s">
        <v>164</v>
      </c>
      <c r="AP107" s="152"/>
      <c r="AQ107" s="152" t="s">
        <v>203</v>
      </c>
      <c r="AR107" s="152"/>
      <c r="AS107" s="152"/>
      <c r="AT107" s="30" t="s">
        <v>328</v>
      </c>
      <c r="AU107" s="152" t="s">
        <v>1636</v>
      </c>
      <c r="AV107" s="152"/>
      <c r="AW107" s="155">
        <v>42065</v>
      </c>
      <c r="AX107" s="155">
        <v>42310</v>
      </c>
      <c r="AY107" s="155" t="s">
        <v>150</v>
      </c>
      <c r="AZ107" s="155">
        <v>43101</v>
      </c>
      <c r="BA107" s="155">
        <v>43127</v>
      </c>
      <c r="BB107" s="155"/>
      <c r="BC107" s="155"/>
      <c r="BD107" s="155"/>
      <c r="BE107" s="156" t="s">
        <v>1637</v>
      </c>
      <c r="BF107" s="155">
        <v>43675</v>
      </c>
      <c r="BG107" s="155" t="s">
        <v>163</v>
      </c>
      <c r="BH107" s="155">
        <v>43891</v>
      </c>
      <c r="BI107" s="155" t="s">
        <v>163</v>
      </c>
      <c r="BJ107" s="154"/>
      <c r="BK107" s="154">
        <v>44392</v>
      </c>
      <c r="BL107" s="154">
        <v>44411</v>
      </c>
      <c r="BM107" s="157">
        <v>44411</v>
      </c>
      <c r="BN107" s="152" t="s">
        <v>16</v>
      </c>
      <c r="BO107" s="152">
        <f t="shared" ref="BO107" si="27">DATEDIF(AW107,BM107, "M")+1</f>
        <v>78</v>
      </c>
      <c r="BP107" s="152">
        <f t="shared" ref="BP107:BP113" si="28">DATEDIF(AX107,BM107, "M")+1</f>
        <v>70</v>
      </c>
      <c r="BQ107" s="152"/>
      <c r="BR107" s="152">
        <v>5</v>
      </c>
      <c r="BS107" s="152">
        <v>10</v>
      </c>
      <c r="BT107" s="152">
        <v>4</v>
      </c>
      <c r="BU107" s="152">
        <v>1</v>
      </c>
      <c r="BV107" s="152">
        <v>3</v>
      </c>
      <c r="BW107" s="152">
        <v>1</v>
      </c>
      <c r="BX107" s="152">
        <v>0</v>
      </c>
      <c r="BY107" s="152" t="s">
        <v>163</v>
      </c>
      <c r="BZ107" s="152">
        <v>0</v>
      </c>
      <c r="CA107" s="152"/>
      <c r="CB107" s="158">
        <v>42795</v>
      </c>
      <c r="CC107" s="158">
        <v>43132</v>
      </c>
      <c r="CD107" s="152">
        <v>12</v>
      </c>
      <c r="CE107" s="152" t="s">
        <v>163</v>
      </c>
      <c r="CF107" s="152"/>
      <c r="CG107" s="152"/>
      <c r="CH107" s="375">
        <v>3</v>
      </c>
      <c r="CI107" s="152">
        <v>3</v>
      </c>
      <c r="CJ107" s="152"/>
      <c r="CK107" s="152" t="s">
        <v>809</v>
      </c>
    </row>
    <row r="108" spans="1:89" ht="24.95" customHeight="1">
      <c r="A108" s="152">
        <v>111</v>
      </c>
      <c r="B108" s="152" t="s">
        <v>1638</v>
      </c>
      <c r="C108" s="152" t="s">
        <v>1639</v>
      </c>
      <c r="D108" s="152" t="s">
        <v>1640</v>
      </c>
      <c r="E108" s="152" t="s">
        <v>1641</v>
      </c>
      <c r="F108" s="152" t="s">
        <v>24</v>
      </c>
      <c r="G108" s="152">
        <v>5</v>
      </c>
      <c r="H108" s="152" t="s">
        <v>60</v>
      </c>
      <c r="I108" s="152" t="s">
        <v>35</v>
      </c>
      <c r="J108" s="152" t="s">
        <v>602</v>
      </c>
      <c r="K108" s="152" t="s">
        <v>1642</v>
      </c>
      <c r="L108" s="152" t="s">
        <v>35</v>
      </c>
      <c r="M108" s="152" t="s">
        <v>150</v>
      </c>
      <c r="N108" s="152">
        <v>216023303</v>
      </c>
      <c r="O108" s="242" t="s">
        <v>151</v>
      </c>
      <c r="P108" s="243" t="s">
        <v>151</v>
      </c>
      <c r="Q108" s="152" t="s">
        <v>151</v>
      </c>
      <c r="R108" s="160" t="s">
        <v>1643</v>
      </c>
      <c r="S108" s="152" t="s">
        <v>1644</v>
      </c>
      <c r="T108" s="347" t="s">
        <v>1645</v>
      </c>
      <c r="U108" s="154" t="s">
        <v>789</v>
      </c>
      <c r="V108" s="154">
        <v>26169</v>
      </c>
      <c r="W108" s="161" t="s">
        <v>1646</v>
      </c>
      <c r="X108" s="161" t="s">
        <v>179</v>
      </c>
      <c r="Y108" s="161" t="s">
        <v>163</v>
      </c>
      <c r="Z108" s="161" t="s">
        <v>158</v>
      </c>
      <c r="AA108" s="152">
        <v>11</v>
      </c>
      <c r="AB108" s="154">
        <v>42765</v>
      </c>
      <c r="AC108" s="286">
        <v>42064</v>
      </c>
      <c r="AD108" s="154"/>
      <c r="AE108" s="34" t="s">
        <v>1647</v>
      </c>
      <c r="AF108" s="34" t="s">
        <v>1648</v>
      </c>
      <c r="AG108" s="152"/>
      <c r="AH108" s="152">
        <f t="shared" si="23"/>
        <v>2</v>
      </c>
      <c r="AI108" s="161" t="s">
        <v>161</v>
      </c>
      <c r="AJ108" s="161" t="s">
        <v>161</v>
      </c>
      <c r="AK108" s="152"/>
      <c r="AL108" s="152" t="s">
        <v>163</v>
      </c>
      <c r="AM108" s="152" t="s">
        <v>150</v>
      </c>
      <c r="AN108" s="152"/>
      <c r="AO108" s="152" t="s">
        <v>164</v>
      </c>
      <c r="AP108" s="152" t="s">
        <v>203</v>
      </c>
      <c r="AQ108" s="152" t="s">
        <v>203</v>
      </c>
      <c r="AR108" s="152" t="s">
        <v>163</v>
      </c>
      <c r="AS108" s="152"/>
      <c r="AT108" s="30" t="s">
        <v>580</v>
      </c>
      <c r="AU108" s="152" t="s">
        <v>1649</v>
      </c>
      <c r="AV108" s="152" t="s">
        <v>150</v>
      </c>
      <c r="AW108" s="155">
        <v>42065</v>
      </c>
      <c r="AX108" s="155">
        <v>42310</v>
      </c>
      <c r="AY108" s="155" t="s">
        <v>150</v>
      </c>
      <c r="AZ108" s="155"/>
      <c r="BA108" s="155"/>
      <c r="BB108" s="155"/>
      <c r="BC108" s="155"/>
      <c r="BD108" s="155"/>
      <c r="BE108" s="156"/>
      <c r="BF108" s="155">
        <v>42947</v>
      </c>
      <c r="BG108" s="155" t="s">
        <v>150</v>
      </c>
      <c r="BH108" s="155">
        <v>43164</v>
      </c>
      <c r="BI108" s="155" t="s">
        <v>150</v>
      </c>
      <c r="BJ108" s="154"/>
      <c r="BK108" s="154">
        <v>44253</v>
      </c>
      <c r="BL108" s="154"/>
      <c r="BM108" s="157">
        <v>44333</v>
      </c>
      <c r="BN108" s="152" t="s">
        <v>16</v>
      </c>
      <c r="BO108" s="241">
        <f t="shared" ref="BO108:BO115" si="29">DATEDIF(AW108,BM108, "M")+1</f>
        <v>75</v>
      </c>
      <c r="BP108" s="152">
        <f t="shared" si="28"/>
        <v>67</v>
      </c>
      <c r="BQ108" s="156" t="s">
        <v>1650</v>
      </c>
      <c r="BR108" s="152">
        <v>10</v>
      </c>
      <c r="BS108" s="152">
        <v>27</v>
      </c>
      <c r="BT108" s="152">
        <v>7</v>
      </c>
      <c r="BU108" s="152">
        <v>1</v>
      </c>
      <c r="BV108" s="152">
        <v>0</v>
      </c>
      <c r="BW108" s="152">
        <v>0</v>
      </c>
      <c r="BX108" s="152">
        <v>0</v>
      </c>
      <c r="BY108" s="152" t="s">
        <v>163</v>
      </c>
      <c r="BZ108" s="152">
        <v>0</v>
      </c>
      <c r="CA108" s="152"/>
      <c r="CB108" s="158"/>
      <c r="CC108" s="158"/>
      <c r="CD108" s="152"/>
      <c r="CE108" s="152" t="s">
        <v>163</v>
      </c>
      <c r="CF108" s="152"/>
      <c r="CG108" s="152"/>
      <c r="CH108" s="375">
        <v>4</v>
      </c>
      <c r="CI108" s="152">
        <v>4</v>
      </c>
      <c r="CJ108" s="152"/>
      <c r="CK108" s="152" t="s">
        <v>809</v>
      </c>
    </row>
    <row r="109" spans="1:89" ht="24.95" customHeight="1">
      <c r="A109" s="152">
        <v>112</v>
      </c>
      <c r="B109" s="152" t="s">
        <v>1651</v>
      </c>
      <c r="C109" s="152" t="s">
        <v>1652</v>
      </c>
      <c r="D109" s="152"/>
      <c r="E109" s="152" t="s">
        <v>1653</v>
      </c>
      <c r="F109" s="152" t="s">
        <v>24</v>
      </c>
      <c r="G109" s="152">
        <v>5</v>
      </c>
      <c r="H109" s="152" t="s">
        <v>52</v>
      </c>
      <c r="I109" s="152" t="s">
        <v>42</v>
      </c>
      <c r="J109" s="152" t="s">
        <v>602</v>
      </c>
      <c r="K109" s="152" t="s">
        <v>1654</v>
      </c>
      <c r="L109" s="152" t="s">
        <v>42</v>
      </c>
      <c r="M109" s="152" t="s">
        <v>150</v>
      </c>
      <c r="N109" s="152" t="s">
        <v>1655</v>
      </c>
      <c r="O109" s="242" t="s">
        <v>151</v>
      </c>
      <c r="P109" s="243" t="s">
        <v>151</v>
      </c>
      <c r="Q109" s="152" t="s">
        <v>151</v>
      </c>
      <c r="R109" s="152" t="s">
        <v>1656</v>
      </c>
      <c r="S109" s="152" t="s">
        <v>1657</v>
      </c>
      <c r="T109" s="347" t="s">
        <v>1658</v>
      </c>
      <c r="U109" s="154" t="s">
        <v>1659</v>
      </c>
      <c r="V109" s="154">
        <v>30728</v>
      </c>
      <c r="W109" s="161" t="s">
        <v>1660</v>
      </c>
      <c r="X109" s="161" t="s">
        <v>179</v>
      </c>
      <c r="Y109" s="161" t="s">
        <v>163</v>
      </c>
      <c r="Z109" s="161" t="s">
        <v>158</v>
      </c>
      <c r="AA109" s="152">
        <v>25.5</v>
      </c>
      <c r="AB109" s="154">
        <v>42290</v>
      </c>
      <c r="AC109" s="286">
        <v>42064</v>
      </c>
      <c r="AD109" s="154"/>
      <c r="AE109" s="34" t="s">
        <v>1661</v>
      </c>
      <c r="AF109" s="152"/>
      <c r="AG109" s="152"/>
      <c r="AH109" s="152">
        <f t="shared" si="23"/>
        <v>1</v>
      </c>
      <c r="AI109" s="161" t="s">
        <v>161</v>
      </c>
      <c r="AJ109" s="152"/>
      <c r="AK109" s="152"/>
      <c r="AL109" s="152" t="s">
        <v>150</v>
      </c>
      <c r="AM109" s="152"/>
      <c r="AN109" s="152"/>
      <c r="AO109" s="152" t="s">
        <v>202</v>
      </c>
      <c r="AP109" s="152" t="s">
        <v>1662</v>
      </c>
      <c r="AQ109" s="152" t="s">
        <v>1663</v>
      </c>
      <c r="AR109" s="152" t="s">
        <v>150</v>
      </c>
      <c r="AS109" s="152"/>
      <c r="AT109" s="30" t="s">
        <v>1664</v>
      </c>
      <c r="AU109" s="152" t="s">
        <v>1665</v>
      </c>
      <c r="AV109" s="152"/>
      <c r="AW109" s="155">
        <v>42065</v>
      </c>
      <c r="AX109" s="155">
        <v>42310</v>
      </c>
      <c r="AY109" s="155" t="s">
        <v>150</v>
      </c>
      <c r="AZ109" s="155">
        <v>42419</v>
      </c>
      <c r="BA109" s="155">
        <v>42748</v>
      </c>
      <c r="BB109" s="155"/>
      <c r="BC109" s="155"/>
      <c r="BD109" s="155"/>
      <c r="BE109" s="156" t="s">
        <v>1666</v>
      </c>
      <c r="BF109" s="155">
        <v>42947</v>
      </c>
      <c r="BG109" s="155" t="s">
        <v>150</v>
      </c>
      <c r="BH109" s="155">
        <v>43164</v>
      </c>
      <c r="BI109" s="155" t="s">
        <v>150</v>
      </c>
      <c r="BJ109" s="154"/>
      <c r="BK109" s="154"/>
      <c r="BL109" s="154"/>
      <c r="BM109" s="157">
        <v>44160</v>
      </c>
      <c r="BN109" s="152" t="s">
        <v>16</v>
      </c>
      <c r="BO109" s="241">
        <f t="shared" si="29"/>
        <v>69</v>
      </c>
      <c r="BP109" s="152">
        <f t="shared" si="28"/>
        <v>61</v>
      </c>
      <c r="BQ109" s="156" t="s">
        <v>1666</v>
      </c>
      <c r="BR109" s="152">
        <v>0</v>
      </c>
      <c r="BS109" s="152">
        <v>6</v>
      </c>
      <c r="BT109" s="152">
        <v>8</v>
      </c>
      <c r="BU109" s="152">
        <v>1</v>
      </c>
      <c r="BV109" s="152">
        <v>0</v>
      </c>
      <c r="BW109" s="152">
        <v>0</v>
      </c>
      <c r="BX109" s="152">
        <v>0</v>
      </c>
      <c r="BY109" s="152" t="s">
        <v>163</v>
      </c>
      <c r="BZ109" s="152">
        <v>0</v>
      </c>
      <c r="CA109" s="152"/>
      <c r="CB109" s="158"/>
      <c r="CC109" s="158"/>
      <c r="CD109" s="152"/>
      <c r="CE109" s="152" t="s">
        <v>163</v>
      </c>
      <c r="CF109" s="152"/>
      <c r="CG109" s="152"/>
      <c r="CH109" s="375">
        <v>0</v>
      </c>
      <c r="CI109" s="152">
        <v>0</v>
      </c>
      <c r="CJ109" s="152"/>
      <c r="CK109" s="152" t="s">
        <v>1667</v>
      </c>
    </row>
    <row r="110" spans="1:89" ht="24.95" customHeight="1">
      <c r="A110" s="152">
        <v>113</v>
      </c>
      <c r="B110" s="152" t="s">
        <v>1668</v>
      </c>
      <c r="C110" s="152" t="s">
        <v>1669</v>
      </c>
      <c r="D110" s="152"/>
      <c r="E110" s="152" t="s">
        <v>1670</v>
      </c>
      <c r="F110" s="152" t="s">
        <v>24</v>
      </c>
      <c r="G110" s="152">
        <v>5</v>
      </c>
      <c r="H110" s="152" t="s">
        <v>52</v>
      </c>
      <c r="I110" s="152" t="s">
        <v>37</v>
      </c>
      <c r="J110" s="152" t="s">
        <v>602</v>
      </c>
      <c r="K110" s="152" t="s">
        <v>922</v>
      </c>
      <c r="L110" s="152" t="s">
        <v>45</v>
      </c>
      <c r="M110" s="152" t="s">
        <v>163</v>
      </c>
      <c r="N110" s="152">
        <v>1317323</v>
      </c>
      <c r="O110" s="242" t="s">
        <v>151</v>
      </c>
      <c r="P110" s="243" t="s">
        <v>151</v>
      </c>
      <c r="Q110" s="152" t="s">
        <v>151</v>
      </c>
      <c r="R110" s="152" t="s">
        <v>1671</v>
      </c>
      <c r="S110" s="152" t="s">
        <v>1672</v>
      </c>
      <c r="T110" s="347" t="s">
        <v>1673</v>
      </c>
      <c r="U110" s="154" t="s">
        <v>1674</v>
      </c>
      <c r="V110" s="154">
        <v>29492</v>
      </c>
      <c r="W110" s="161" t="s">
        <v>1675</v>
      </c>
      <c r="X110" s="161" t="s">
        <v>1676</v>
      </c>
      <c r="Y110" s="161" t="s">
        <v>163</v>
      </c>
      <c r="Z110" s="161" t="s">
        <v>1677</v>
      </c>
      <c r="AA110" s="152">
        <v>25</v>
      </c>
      <c r="AB110" s="154">
        <v>42222</v>
      </c>
      <c r="AC110" s="286">
        <v>42064</v>
      </c>
      <c r="AD110" s="154"/>
      <c r="AE110" s="34" t="s">
        <v>1678</v>
      </c>
      <c r="AF110" s="34" t="s">
        <v>1679</v>
      </c>
      <c r="AG110" s="152"/>
      <c r="AH110" s="152">
        <f t="shared" si="23"/>
        <v>2</v>
      </c>
      <c r="AI110" s="161" t="s">
        <v>161</v>
      </c>
      <c r="AJ110" s="33" t="s">
        <v>162</v>
      </c>
      <c r="AK110" s="152"/>
      <c r="AL110" s="152" t="s">
        <v>150</v>
      </c>
      <c r="AM110" s="152" t="s">
        <v>163</v>
      </c>
      <c r="AN110" s="152"/>
      <c r="AO110" s="152" t="s">
        <v>164</v>
      </c>
      <c r="AP110" s="152"/>
      <c r="AQ110" s="152" t="s">
        <v>165</v>
      </c>
      <c r="AR110" s="152" t="s">
        <v>150</v>
      </c>
      <c r="AS110" s="152" t="s">
        <v>1680</v>
      </c>
      <c r="AT110" s="30" t="s">
        <v>1681</v>
      </c>
      <c r="AU110" s="152" t="s">
        <v>1682</v>
      </c>
      <c r="AV110" s="152" t="s">
        <v>163</v>
      </c>
      <c r="AW110" s="155">
        <v>42065</v>
      </c>
      <c r="AX110" s="155">
        <v>42310</v>
      </c>
      <c r="AY110" s="155" t="s">
        <v>150</v>
      </c>
      <c r="AZ110" s="155">
        <v>42412</v>
      </c>
      <c r="BA110" s="155">
        <v>42467</v>
      </c>
      <c r="BB110" s="155"/>
      <c r="BC110" s="155"/>
      <c r="BD110" s="155"/>
      <c r="BE110" s="156" t="s">
        <v>1683</v>
      </c>
      <c r="BF110" s="155">
        <v>42947</v>
      </c>
      <c r="BG110" s="155" t="s">
        <v>150</v>
      </c>
      <c r="BH110" s="155">
        <v>43164</v>
      </c>
      <c r="BI110" s="155" t="s">
        <v>150</v>
      </c>
      <c r="BJ110" s="154"/>
      <c r="BK110" s="154"/>
      <c r="BL110" s="154"/>
      <c r="BM110" s="157">
        <v>43769</v>
      </c>
      <c r="BN110" s="152" t="s">
        <v>16</v>
      </c>
      <c r="BO110" s="241">
        <f t="shared" si="29"/>
        <v>56</v>
      </c>
      <c r="BP110" s="152">
        <f t="shared" si="28"/>
        <v>48</v>
      </c>
      <c r="BQ110" s="152"/>
      <c r="BR110" s="152">
        <v>3</v>
      </c>
      <c r="BS110" s="152">
        <v>8</v>
      </c>
      <c r="BT110" s="152">
        <v>4</v>
      </c>
      <c r="BU110" s="152">
        <v>2</v>
      </c>
      <c r="BV110" s="152">
        <v>0</v>
      </c>
      <c r="BW110" s="152">
        <v>0</v>
      </c>
      <c r="BX110" s="152">
        <v>0</v>
      </c>
      <c r="BY110" s="152" t="s">
        <v>163</v>
      </c>
      <c r="BZ110" s="152">
        <v>0</v>
      </c>
      <c r="CA110" s="152"/>
      <c r="CB110" s="158"/>
      <c r="CC110" s="158"/>
      <c r="CD110" s="152"/>
      <c r="CE110" s="152" t="s">
        <v>163</v>
      </c>
      <c r="CF110" s="152"/>
      <c r="CG110" s="152"/>
      <c r="CH110" s="375">
        <v>1</v>
      </c>
      <c r="CI110" s="152">
        <v>2</v>
      </c>
      <c r="CJ110" s="152"/>
      <c r="CK110" s="152" t="s">
        <v>809</v>
      </c>
    </row>
    <row r="111" spans="1:89" ht="24.95" customHeight="1">
      <c r="A111" s="152">
        <v>114</v>
      </c>
      <c r="B111" s="152" t="s">
        <v>1684</v>
      </c>
      <c r="C111" s="152" t="s">
        <v>1491</v>
      </c>
      <c r="D111" s="152" t="s">
        <v>1685</v>
      </c>
      <c r="E111" s="152" t="s">
        <v>1686</v>
      </c>
      <c r="F111" s="152" t="s">
        <v>24</v>
      </c>
      <c r="G111" s="152">
        <v>5</v>
      </c>
      <c r="H111" s="152" t="s">
        <v>54</v>
      </c>
      <c r="I111" s="152" t="s">
        <v>39</v>
      </c>
      <c r="J111" s="152" t="s">
        <v>1687</v>
      </c>
      <c r="K111" s="152" t="s">
        <v>1687</v>
      </c>
      <c r="L111" s="152" t="s">
        <v>39</v>
      </c>
      <c r="M111" s="152" t="s">
        <v>150</v>
      </c>
      <c r="N111" s="244" t="s">
        <v>1688</v>
      </c>
      <c r="O111" s="245" t="s">
        <v>151</v>
      </c>
      <c r="P111" s="248" t="s">
        <v>151</v>
      </c>
      <c r="Q111" s="152" t="s">
        <v>151</v>
      </c>
      <c r="R111" s="152" t="s">
        <v>1689</v>
      </c>
      <c r="S111" s="152" t="s">
        <v>1690</v>
      </c>
      <c r="T111" s="347" t="s">
        <v>1691</v>
      </c>
      <c r="U111" s="154" t="s">
        <v>1692</v>
      </c>
      <c r="V111" s="154">
        <v>29943</v>
      </c>
      <c r="W111" s="161" t="s">
        <v>1693</v>
      </c>
      <c r="X111" s="161" t="s">
        <v>1694</v>
      </c>
      <c r="Y111" s="161" t="s">
        <v>163</v>
      </c>
      <c r="Z111" s="161" t="s">
        <v>158</v>
      </c>
      <c r="AA111" s="152">
        <v>17</v>
      </c>
      <c r="AB111" s="154">
        <v>41744</v>
      </c>
      <c r="AC111" s="286">
        <v>42064</v>
      </c>
      <c r="AD111" s="154"/>
      <c r="AE111" s="33" t="s">
        <v>1499</v>
      </c>
      <c r="AF111" s="34"/>
      <c r="AG111" s="163"/>
      <c r="AH111" s="152">
        <f t="shared" si="23"/>
        <v>1</v>
      </c>
      <c r="AI111" s="161" t="s">
        <v>161</v>
      </c>
      <c r="AJ111" s="163"/>
      <c r="AK111" s="163"/>
      <c r="AL111" s="163" t="s">
        <v>150</v>
      </c>
      <c r="AM111" s="163"/>
      <c r="AN111" s="163"/>
      <c r="AO111" s="163" t="s">
        <v>164</v>
      </c>
      <c r="AP111" s="163" t="s">
        <v>181</v>
      </c>
      <c r="AQ111" s="163" t="s">
        <v>1440</v>
      </c>
      <c r="AR111" s="163" t="s">
        <v>150</v>
      </c>
      <c r="AS111" s="163"/>
      <c r="AT111" s="416" t="s">
        <v>285</v>
      </c>
      <c r="AU111" s="152" t="s">
        <v>1695</v>
      </c>
      <c r="AV111" s="33"/>
      <c r="AW111" s="155">
        <v>42065</v>
      </c>
      <c r="AX111" s="155">
        <v>42310</v>
      </c>
      <c r="AY111" s="155" t="s">
        <v>150</v>
      </c>
      <c r="AZ111" s="155">
        <v>44381</v>
      </c>
      <c r="BA111" s="155">
        <v>44381</v>
      </c>
      <c r="BB111" s="155"/>
      <c r="BC111" s="155"/>
      <c r="BD111" s="155"/>
      <c r="BE111" s="156"/>
      <c r="BF111" s="155">
        <v>42947</v>
      </c>
      <c r="BG111" s="155" t="s">
        <v>150</v>
      </c>
      <c r="BH111" s="155">
        <v>43528</v>
      </c>
      <c r="BI111" s="155" t="s">
        <v>163</v>
      </c>
      <c r="BJ111" s="154"/>
      <c r="BK111" s="154"/>
      <c r="BL111" s="154"/>
      <c r="BM111" s="157">
        <v>43327</v>
      </c>
      <c r="BN111" s="152" t="s">
        <v>16</v>
      </c>
      <c r="BO111" s="241">
        <f t="shared" si="29"/>
        <v>42</v>
      </c>
      <c r="BP111" s="152">
        <f t="shared" si="28"/>
        <v>34</v>
      </c>
      <c r="BQ111" s="152"/>
      <c r="BR111" s="152">
        <v>1</v>
      </c>
      <c r="BS111" s="152">
        <v>0</v>
      </c>
      <c r="BT111" s="152">
        <v>1</v>
      </c>
      <c r="BU111" s="152">
        <v>6</v>
      </c>
      <c r="BV111" s="152">
        <v>0</v>
      </c>
      <c r="BW111" s="152">
        <v>0</v>
      </c>
      <c r="BX111" s="152">
        <v>0</v>
      </c>
      <c r="BY111" s="152" t="s">
        <v>1696</v>
      </c>
      <c r="BZ111" s="152">
        <v>0</v>
      </c>
      <c r="CA111" s="152"/>
      <c r="CB111" s="158"/>
      <c r="CC111" s="158"/>
      <c r="CD111" s="152"/>
      <c r="CE111" s="152" t="s">
        <v>163</v>
      </c>
      <c r="CF111" s="152"/>
      <c r="CG111" s="152"/>
      <c r="CH111" s="375">
        <v>2</v>
      </c>
      <c r="CI111" s="152">
        <v>4</v>
      </c>
      <c r="CJ111" s="152"/>
      <c r="CK111" s="152" t="s">
        <v>809</v>
      </c>
    </row>
    <row r="112" spans="1:89" ht="24.95" customHeight="1">
      <c r="A112" s="152">
        <v>115</v>
      </c>
      <c r="B112" s="152" t="s">
        <v>1697</v>
      </c>
      <c r="C112" s="152" t="s">
        <v>1698</v>
      </c>
      <c r="D112" s="152"/>
      <c r="E112" s="152" t="s">
        <v>1699</v>
      </c>
      <c r="F112" s="152" t="s">
        <v>25</v>
      </c>
      <c r="G112" s="152">
        <v>5</v>
      </c>
      <c r="H112" s="152" t="s">
        <v>53</v>
      </c>
      <c r="I112" s="152" t="s">
        <v>46</v>
      </c>
      <c r="J112" s="152" t="s">
        <v>1700</v>
      </c>
      <c r="K112" s="152" t="s">
        <v>602</v>
      </c>
      <c r="L112" s="152" t="s">
        <v>44</v>
      </c>
      <c r="M112" s="152" t="s">
        <v>150</v>
      </c>
      <c r="N112" s="153" t="s">
        <v>1701</v>
      </c>
      <c r="O112" s="242" t="s">
        <v>151</v>
      </c>
      <c r="P112" s="243" t="s">
        <v>151</v>
      </c>
      <c r="Q112" s="152" t="s">
        <v>151</v>
      </c>
      <c r="R112" s="152" t="s">
        <v>1702</v>
      </c>
      <c r="S112" s="152" t="s">
        <v>1703</v>
      </c>
      <c r="T112" s="347" t="s">
        <v>1704</v>
      </c>
      <c r="U112" s="154" t="s">
        <v>1213</v>
      </c>
      <c r="V112" s="154">
        <v>27299</v>
      </c>
      <c r="W112" s="161" t="s">
        <v>1705</v>
      </c>
      <c r="X112" s="161" t="s">
        <v>179</v>
      </c>
      <c r="Y112" s="161" t="s">
        <v>163</v>
      </c>
      <c r="Z112" s="161" t="s">
        <v>158</v>
      </c>
      <c r="AA112" s="152">
        <v>20</v>
      </c>
      <c r="AB112" s="154">
        <v>42079</v>
      </c>
      <c r="AC112" s="286">
        <v>42064</v>
      </c>
      <c r="AD112" s="154"/>
      <c r="AE112" s="34" t="s">
        <v>1706</v>
      </c>
      <c r="AF112" s="34" t="s">
        <v>1707</v>
      </c>
      <c r="AG112" s="34" t="s">
        <v>1708</v>
      </c>
      <c r="AH112" s="152">
        <f t="shared" si="23"/>
        <v>3</v>
      </c>
      <c r="AI112" s="161" t="s">
        <v>161</v>
      </c>
      <c r="AJ112" s="152" t="s">
        <v>202</v>
      </c>
      <c r="AK112" s="152" t="s">
        <v>202</v>
      </c>
      <c r="AL112" s="152" t="s">
        <v>150</v>
      </c>
      <c r="AM112" s="152" t="s">
        <v>157</v>
      </c>
      <c r="AN112" s="152" t="s">
        <v>163</v>
      </c>
      <c r="AO112" s="152" t="s">
        <v>164</v>
      </c>
      <c r="AP112" s="152"/>
      <c r="AQ112" s="152"/>
      <c r="AR112" s="152"/>
      <c r="AS112" s="152"/>
      <c r="AT112" s="30" t="s">
        <v>298</v>
      </c>
      <c r="AU112" s="152" t="s">
        <v>1709</v>
      </c>
      <c r="AV112" s="33" t="s">
        <v>157</v>
      </c>
      <c r="AW112" s="155">
        <v>42065</v>
      </c>
      <c r="AX112" s="155">
        <v>42310</v>
      </c>
      <c r="AY112" s="155" t="s">
        <v>150</v>
      </c>
      <c r="AZ112" s="155"/>
      <c r="BA112" s="155"/>
      <c r="BB112" s="155"/>
      <c r="BC112" s="155"/>
      <c r="BD112" s="155"/>
      <c r="BE112" s="156"/>
      <c r="BF112" s="155">
        <v>42947</v>
      </c>
      <c r="BG112" s="155" t="s">
        <v>150</v>
      </c>
      <c r="BH112" s="155">
        <v>43164</v>
      </c>
      <c r="BI112" s="155" t="s">
        <v>150</v>
      </c>
      <c r="BJ112" s="154"/>
      <c r="BK112" s="154"/>
      <c r="BL112" s="154"/>
      <c r="BM112" s="157">
        <v>43909</v>
      </c>
      <c r="BN112" s="152" t="s">
        <v>16</v>
      </c>
      <c r="BO112" s="241">
        <f t="shared" si="29"/>
        <v>61</v>
      </c>
      <c r="BP112" s="152">
        <f t="shared" si="28"/>
        <v>53</v>
      </c>
      <c r="BQ112" s="152"/>
      <c r="BR112" s="152">
        <v>0</v>
      </c>
      <c r="BS112" s="152">
        <v>3</v>
      </c>
      <c r="BT112" s="152">
        <v>1</v>
      </c>
      <c r="BU112" s="152">
        <v>0</v>
      </c>
      <c r="BV112" s="152">
        <v>0</v>
      </c>
      <c r="BW112" s="152">
        <v>0</v>
      </c>
      <c r="BX112" s="152">
        <v>0</v>
      </c>
      <c r="BY112" s="152" t="s">
        <v>163</v>
      </c>
      <c r="BZ112" s="152">
        <v>0</v>
      </c>
      <c r="CA112" s="152"/>
      <c r="CB112" s="158"/>
      <c r="CC112" s="158"/>
      <c r="CD112" s="152"/>
      <c r="CE112" s="152" t="s">
        <v>163</v>
      </c>
      <c r="CF112" s="152"/>
      <c r="CG112" s="152"/>
      <c r="CH112" s="375">
        <v>2</v>
      </c>
      <c r="CI112" s="152">
        <v>2</v>
      </c>
      <c r="CJ112" s="152"/>
      <c r="CK112" s="152" t="s">
        <v>809</v>
      </c>
    </row>
    <row r="113" spans="1:102" ht="24.95" customHeight="1">
      <c r="A113" s="152">
        <v>116</v>
      </c>
      <c r="B113" s="152" t="s">
        <v>1710</v>
      </c>
      <c r="C113" s="152" t="s">
        <v>1711</v>
      </c>
      <c r="D113" s="152" t="s">
        <v>1712</v>
      </c>
      <c r="E113" s="152" t="s">
        <v>1713</v>
      </c>
      <c r="F113" s="152" t="s">
        <v>24</v>
      </c>
      <c r="G113" s="152">
        <v>5</v>
      </c>
      <c r="H113" s="152" t="s">
        <v>53</v>
      </c>
      <c r="I113" s="152" t="s">
        <v>46</v>
      </c>
      <c r="J113" s="152" t="s">
        <v>1714</v>
      </c>
      <c r="K113" s="152" t="s">
        <v>602</v>
      </c>
      <c r="L113" s="152" t="s">
        <v>44</v>
      </c>
      <c r="M113" s="152" t="s">
        <v>150</v>
      </c>
      <c r="N113" s="153" t="s">
        <v>1715</v>
      </c>
      <c r="O113" s="242" t="s">
        <v>151</v>
      </c>
      <c r="P113" s="243" t="s">
        <v>151</v>
      </c>
      <c r="Q113" s="152" t="s">
        <v>151</v>
      </c>
      <c r="R113" s="152" t="s">
        <v>1716</v>
      </c>
      <c r="S113" s="152" t="s">
        <v>1717</v>
      </c>
      <c r="T113" s="347" t="s">
        <v>1718</v>
      </c>
      <c r="U113" s="154" t="s">
        <v>1719</v>
      </c>
      <c r="V113" s="154">
        <v>25693</v>
      </c>
      <c r="W113" s="161" t="s">
        <v>1720</v>
      </c>
      <c r="X113" s="161" t="s">
        <v>179</v>
      </c>
      <c r="Y113" s="161" t="s">
        <v>163</v>
      </c>
      <c r="Z113" s="161" t="s">
        <v>158</v>
      </c>
      <c r="AA113" s="152">
        <v>30</v>
      </c>
      <c r="AB113" s="154">
        <v>42352</v>
      </c>
      <c r="AC113" s="286">
        <v>42064</v>
      </c>
      <c r="AD113" s="154"/>
      <c r="AE113" s="34" t="s">
        <v>1706</v>
      </c>
      <c r="AF113" s="34" t="s">
        <v>1721</v>
      </c>
      <c r="AG113" s="152"/>
      <c r="AH113" s="152">
        <f t="shared" si="23"/>
        <v>2</v>
      </c>
      <c r="AI113" s="161" t="s">
        <v>161</v>
      </c>
      <c r="AJ113" s="161" t="s">
        <v>161</v>
      </c>
      <c r="AK113" s="152"/>
      <c r="AL113" s="152" t="s">
        <v>150</v>
      </c>
      <c r="AM113" s="152" t="s">
        <v>163</v>
      </c>
      <c r="AN113" s="152"/>
      <c r="AO113" s="152" t="s">
        <v>164</v>
      </c>
      <c r="AP113" s="152" t="s">
        <v>203</v>
      </c>
      <c r="AQ113" s="152"/>
      <c r="AR113" s="152"/>
      <c r="AS113" s="152"/>
      <c r="AT113" s="30" t="s">
        <v>298</v>
      </c>
      <c r="AU113" s="152" t="s">
        <v>1722</v>
      </c>
      <c r="AV113" s="33" t="s">
        <v>163</v>
      </c>
      <c r="AW113" s="155">
        <v>42065</v>
      </c>
      <c r="AX113" s="155">
        <v>42310</v>
      </c>
      <c r="AY113" s="155" t="s">
        <v>150</v>
      </c>
      <c r="AZ113" s="155">
        <v>42166</v>
      </c>
      <c r="BA113" s="155">
        <v>42382</v>
      </c>
      <c r="BB113" s="155"/>
      <c r="BC113" s="155"/>
      <c r="BD113" s="155"/>
      <c r="BE113" s="156" t="s">
        <v>1723</v>
      </c>
      <c r="BF113" s="155">
        <v>42947</v>
      </c>
      <c r="BG113" s="155" t="s">
        <v>150</v>
      </c>
      <c r="BH113" s="155">
        <v>43164</v>
      </c>
      <c r="BI113" s="155" t="s">
        <v>150</v>
      </c>
      <c r="BJ113" s="154"/>
      <c r="BK113" s="154"/>
      <c r="BL113" s="154"/>
      <c r="BM113" s="157">
        <v>43799</v>
      </c>
      <c r="BN113" s="152" t="s">
        <v>16</v>
      </c>
      <c r="BO113" s="241">
        <f t="shared" si="29"/>
        <v>57</v>
      </c>
      <c r="BP113" s="152">
        <f t="shared" si="28"/>
        <v>49</v>
      </c>
      <c r="BQ113" s="152"/>
      <c r="BR113" s="152">
        <v>0</v>
      </c>
      <c r="BS113" s="152">
        <v>4</v>
      </c>
      <c r="BT113" s="152">
        <v>2</v>
      </c>
      <c r="BU113" s="152">
        <v>2</v>
      </c>
      <c r="BV113" s="152">
        <v>0</v>
      </c>
      <c r="BW113" s="152">
        <v>0</v>
      </c>
      <c r="BX113" s="152">
        <v>0</v>
      </c>
      <c r="BY113" s="152" t="s">
        <v>163</v>
      </c>
      <c r="BZ113" s="152">
        <v>0</v>
      </c>
      <c r="CA113" s="152"/>
      <c r="CB113" s="158"/>
      <c r="CC113" s="158"/>
      <c r="CD113" s="152"/>
      <c r="CE113" s="152" t="s">
        <v>163</v>
      </c>
      <c r="CF113" s="152"/>
      <c r="CG113" s="152"/>
      <c r="CH113" s="375" t="s">
        <v>168</v>
      </c>
      <c r="CI113" s="152" t="s">
        <v>168</v>
      </c>
      <c r="CJ113" s="152"/>
      <c r="CK113" s="152" t="s">
        <v>809</v>
      </c>
    </row>
    <row r="114" spans="1:102" s="114" customFormat="1" ht="24.95" customHeight="1">
      <c r="A114" s="91">
        <v>117</v>
      </c>
      <c r="B114" s="91" t="s">
        <v>1724</v>
      </c>
      <c r="C114" s="91" t="s">
        <v>1725</v>
      </c>
      <c r="D114" s="91" t="s">
        <v>1726</v>
      </c>
      <c r="E114" s="91" t="s">
        <v>1727</v>
      </c>
      <c r="F114" s="91" t="s">
        <v>24</v>
      </c>
      <c r="G114" s="91">
        <v>5</v>
      </c>
      <c r="H114" s="91" t="s">
        <v>58</v>
      </c>
      <c r="I114" s="91" t="s">
        <v>45</v>
      </c>
      <c r="J114" s="91" t="s">
        <v>1728</v>
      </c>
      <c r="K114" s="91" t="s">
        <v>868</v>
      </c>
      <c r="L114" s="91" t="s">
        <v>45</v>
      </c>
      <c r="M114" s="91" t="s">
        <v>150</v>
      </c>
      <c r="N114" s="91" t="s">
        <v>1729</v>
      </c>
      <c r="O114" s="249"/>
      <c r="P114" s="250" t="s">
        <v>151</v>
      </c>
      <c r="Q114" s="91"/>
      <c r="R114" s="91" t="s">
        <v>1730</v>
      </c>
      <c r="S114" s="91" t="s">
        <v>1731</v>
      </c>
      <c r="T114" s="200">
        <v>27761643215</v>
      </c>
      <c r="U114" s="92" t="s">
        <v>1732</v>
      </c>
      <c r="V114" s="92"/>
      <c r="W114" s="164" t="s">
        <v>1733</v>
      </c>
      <c r="X114" s="164" t="s">
        <v>156</v>
      </c>
      <c r="Y114" s="164" t="s">
        <v>163</v>
      </c>
      <c r="Z114" s="164" t="s">
        <v>158</v>
      </c>
      <c r="AA114" s="91">
        <v>18</v>
      </c>
      <c r="AB114" s="92">
        <v>42767</v>
      </c>
      <c r="AC114" s="281">
        <v>42064</v>
      </c>
      <c r="AD114" s="92">
        <v>45741</v>
      </c>
      <c r="AE114" s="50" t="s">
        <v>1734</v>
      </c>
      <c r="AF114" s="50" t="s">
        <v>1735</v>
      </c>
      <c r="AG114" s="91"/>
      <c r="AH114" s="91">
        <f t="shared" si="23"/>
        <v>2</v>
      </c>
      <c r="AI114" s="164" t="s">
        <v>161</v>
      </c>
      <c r="AJ114" s="164" t="s">
        <v>161</v>
      </c>
      <c r="AK114" s="91"/>
      <c r="AL114" s="91" t="s">
        <v>163</v>
      </c>
      <c r="AM114" s="91" t="s">
        <v>150</v>
      </c>
      <c r="AN114" s="91"/>
      <c r="AO114" s="91" t="s">
        <v>182</v>
      </c>
      <c r="AP114" s="91" t="s">
        <v>1736</v>
      </c>
      <c r="AQ114" s="91" t="s">
        <v>1736</v>
      </c>
      <c r="AR114" s="91"/>
      <c r="AS114" s="91"/>
      <c r="AT114" s="10" t="s">
        <v>1737</v>
      </c>
      <c r="AU114" s="91" t="s">
        <v>1738</v>
      </c>
      <c r="AV114" s="91" t="s">
        <v>150</v>
      </c>
      <c r="AW114" s="93">
        <v>42065</v>
      </c>
      <c r="AX114" s="93">
        <v>42310</v>
      </c>
      <c r="AY114" s="93" t="s">
        <v>150</v>
      </c>
      <c r="AZ114" s="93"/>
      <c r="BA114" s="93"/>
      <c r="BB114" s="93"/>
      <c r="BC114" s="93"/>
      <c r="BD114" s="93"/>
      <c r="BE114" s="94"/>
      <c r="BF114" s="93">
        <v>42947</v>
      </c>
      <c r="BG114" s="93" t="s">
        <v>150</v>
      </c>
      <c r="BH114" s="93">
        <v>43164</v>
      </c>
      <c r="BI114" s="93" t="s">
        <v>150</v>
      </c>
      <c r="BJ114" s="92"/>
      <c r="BK114" s="92"/>
      <c r="BL114" s="92"/>
      <c r="BM114" s="109"/>
      <c r="BN114" s="193" t="s">
        <v>18</v>
      </c>
      <c r="BO114" s="265"/>
      <c r="BP114" s="91"/>
      <c r="BQ114" s="91"/>
      <c r="BR114" s="91">
        <v>0</v>
      </c>
      <c r="BS114" s="91">
        <v>0</v>
      </c>
      <c r="BT114" s="91">
        <v>14</v>
      </c>
      <c r="BU114" s="91">
        <v>0</v>
      </c>
      <c r="BV114" s="91">
        <v>0</v>
      </c>
      <c r="BW114" s="91">
        <v>0</v>
      </c>
      <c r="BX114" s="91">
        <v>0</v>
      </c>
      <c r="BY114" s="91" t="s">
        <v>1739</v>
      </c>
      <c r="BZ114" s="91">
        <v>0</v>
      </c>
      <c r="CA114" s="91"/>
      <c r="CB114" s="95"/>
      <c r="CC114" s="95"/>
      <c r="CD114" s="91"/>
      <c r="CE114" s="91" t="s">
        <v>163</v>
      </c>
      <c r="CF114" s="91"/>
      <c r="CG114" s="91"/>
      <c r="CH114" s="113" t="s">
        <v>168</v>
      </c>
      <c r="CI114" s="91" t="s">
        <v>168</v>
      </c>
      <c r="CJ114" s="91"/>
      <c r="CK114" s="91" t="s">
        <v>809</v>
      </c>
      <c r="CS114" s="364"/>
      <c r="CT114" s="364"/>
      <c r="CU114" s="364"/>
      <c r="CW114" s="364"/>
      <c r="CX114" s="364"/>
    </row>
    <row r="115" spans="1:102" ht="24.95" customHeight="1">
      <c r="A115" s="152">
        <v>118</v>
      </c>
      <c r="B115" s="152" t="s">
        <v>1740</v>
      </c>
      <c r="C115" s="152" t="s">
        <v>1741</v>
      </c>
      <c r="D115" s="152" t="s">
        <v>1742</v>
      </c>
      <c r="E115" s="152" t="s">
        <v>1743</v>
      </c>
      <c r="F115" s="152" t="s">
        <v>25</v>
      </c>
      <c r="G115" s="152">
        <v>5</v>
      </c>
      <c r="H115" s="152" t="s">
        <v>54</v>
      </c>
      <c r="I115" s="152" t="s">
        <v>31</v>
      </c>
      <c r="J115" s="152" t="s">
        <v>1744</v>
      </c>
      <c r="K115" s="152" t="s">
        <v>1745</v>
      </c>
      <c r="L115" s="152" t="s">
        <v>31</v>
      </c>
      <c r="M115" s="152" t="s">
        <v>150</v>
      </c>
      <c r="N115" s="152">
        <v>12963</v>
      </c>
      <c r="O115" s="242"/>
      <c r="P115" s="243" t="s">
        <v>151</v>
      </c>
      <c r="Q115" s="152"/>
      <c r="R115" s="152" t="s">
        <v>1746</v>
      </c>
      <c r="S115" s="160" t="s">
        <v>1747</v>
      </c>
      <c r="T115" s="347" t="s">
        <v>1748</v>
      </c>
      <c r="U115" s="154" t="s">
        <v>1749</v>
      </c>
      <c r="V115" s="154">
        <v>29252</v>
      </c>
      <c r="W115" s="161" t="s">
        <v>1750</v>
      </c>
      <c r="X115" s="161" t="s">
        <v>156</v>
      </c>
      <c r="Y115" s="161" t="s">
        <v>157</v>
      </c>
      <c r="Z115" s="161" t="s">
        <v>158</v>
      </c>
      <c r="AA115" s="152">
        <v>13</v>
      </c>
      <c r="AB115" s="154">
        <v>41459</v>
      </c>
      <c r="AC115" s="286">
        <v>42064</v>
      </c>
      <c r="AD115" s="154"/>
      <c r="AE115" s="34" t="s">
        <v>1751</v>
      </c>
      <c r="AF115" s="152"/>
      <c r="AG115" s="152"/>
      <c r="AH115" s="152">
        <f t="shared" si="23"/>
        <v>1</v>
      </c>
      <c r="AI115" s="161" t="s">
        <v>161</v>
      </c>
      <c r="AJ115" s="152"/>
      <c r="AK115" s="152"/>
      <c r="AL115" s="152" t="s">
        <v>150</v>
      </c>
      <c r="AM115" s="152"/>
      <c r="AN115" s="152"/>
      <c r="AO115" s="152" t="s">
        <v>164</v>
      </c>
      <c r="AP115" s="152" t="s">
        <v>203</v>
      </c>
      <c r="AQ115" s="152" t="s">
        <v>203</v>
      </c>
      <c r="AR115" s="152"/>
      <c r="AS115" s="152"/>
      <c r="AT115" s="30" t="s">
        <v>328</v>
      </c>
      <c r="AU115" s="152" t="s">
        <v>1752</v>
      </c>
      <c r="AV115" s="152"/>
      <c r="AW115" s="155">
        <v>42065</v>
      </c>
      <c r="AX115" s="155">
        <v>42310</v>
      </c>
      <c r="AY115" s="155" t="s">
        <v>150</v>
      </c>
      <c r="AZ115" s="155">
        <v>42037</v>
      </c>
      <c r="BA115" s="155">
        <v>42471</v>
      </c>
      <c r="BB115" s="155"/>
      <c r="BC115" s="155"/>
      <c r="BD115" s="155"/>
      <c r="BE115" s="156" t="s">
        <v>1753</v>
      </c>
      <c r="BF115" s="155">
        <v>42947</v>
      </c>
      <c r="BG115" s="155" t="s">
        <v>150</v>
      </c>
      <c r="BH115" s="155">
        <v>43164</v>
      </c>
      <c r="BI115" s="155" t="s">
        <v>150</v>
      </c>
      <c r="BJ115" s="154"/>
      <c r="BK115" s="154"/>
      <c r="BL115" s="154"/>
      <c r="BM115" s="157">
        <v>44957</v>
      </c>
      <c r="BN115" s="152" t="s">
        <v>16</v>
      </c>
      <c r="BO115" s="241">
        <f t="shared" si="29"/>
        <v>95</v>
      </c>
      <c r="BP115" s="152">
        <f>DATEDIF(AX115,BM115, "M")+1</f>
        <v>87</v>
      </c>
      <c r="BQ115" s="241" t="s">
        <v>1754</v>
      </c>
      <c r="BR115" s="152">
        <v>0</v>
      </c>
      <c r="BS115" s="152">
        <v>25</v>
      </c>
      <c r="BT115" s="152">
        <v>0</v>
      </c>
      <c r="BU115" s="152">
        <v>3</v>
      </c>
      <c r="BV115" s="152">
        <v>1</v>
      </c>
      <c r="BW115" s="152">
        <v>1</v>
      </c>
      <c r="BX115" s="152">
        <v>1</v>
      </c>
      <c r="BY115" s="152" t="s">
        <v>163</v>
      </c>
      <c r="BZ115" s="152">
        <v>0</v>
      </c>
      <c r="CA115" s="152"/>
      <c r="CB115" s="158"/>
      <c r="CC115" s="158"/>
      <c r="CD115" s="152"/>
      <c r="CE115" s="152" t="s">
        <v>163</v>
      </c>
      <c r="CF115" s="152"/>
      <c r="CG115" s="152"/>
      <c r="CH115" s="375">
        <v>2</v>
      </c>
      <c r="CI115" s="152">
        <v>3</v>
      </c>
      <c r="CJ115" s="152"/>
      <c r="CK115" s="152" t="s">
        <v>809</v>
      </c>
    </row>
    <row r="116" spans="1:102" ht="24.95" customHeight="1">
      <c r="A116" s="91">
        <v>119</v>
      </c>
      <c r="B116" s="91" t="s">
        <v>1755</v>
      </c>
      <c r="C116" s="91" t="s">
        <v>1756</v>
      </c>
      <c r="D116" s="91" t="s">
        <v>1572</v>
      </c>
      <c r="E116" s="91" t="s">
        <v>1757</v>
      </c>
      <c r="F116" s="91" t="s">
        <v>25</v>
      </c>
      <c r="G116" s="91">
        <v>5</v>
      </c>
      <c r="H116" s="91" t="s">
        <v>60</v>
      </c>
      <c r="I116" s="91" t="s">
        <v>35</v>
      </c>
      <c r="J116" s="91" t="s">
        <v>1099</v>
      </c>
      <c r="K116" s="91" t="s">
        <v>1758</v>
      </c>
      <c r="L116" s="91" t="s">
        <v>35</v>
      </c>
      <c r="M116" s="91" t="s">
        <v>150</v>
      </c>
      <c r="N116" s="91"/>
      <c r="O116" s="249" t="s">
        <v>168</v>
      </c>
      <c r="P116" s="250" t="s">
        <v>168</v>
      </c>
      <c r="Q116" s="91"/>
      <c r="R116" s="91" t="s">
        <v>1759</v>
      </c>
      <c r="S116" s="91" t="s">
        <v>1760</v>
      </c>
      <c r="T116" s="341" t="s">
        <v>1761</v>
      </c>
      <c r="U116" s="92" t="s">
        <v>168</v>
      </c>
      <c r="V116" s="92"/>
      <c r="W116" s="164" t="s">
        <v>1762</v>
      </c>
      <c r="X116" s="164" t="s">
        <v>179</v>
      </c>
      <c r="Y116" s="164" t="s">
        <v>163</v>
      </c>
      <c r="Z116" s="164" t="s">
        <v>158</v>
      </c>
      <c r="AA116" s="91">
        <v>15</v>
      </c>
      <c r="AB116" s="92">
        <v>42064</v>
      </c>
      <c r="AC116" s="281">
        <v>42064</v>
      </c>
      <c r="AD116" s="92">
        <v>43930</v>
      </c>
      <c r="AE116" s="50" t="s">
        <v>1763</v>
      </c>
      <c r="AF116" s="50" t="s">
        <v>1764</v>
      </c>
      <c r="AG116" s="50" t="s">
        <v>1765</v>
      </c>
      <c r="AH116" s="91">
        <f t="shared" si="23"/>
        <v>3</v>
      </c>
      <c r="AI116" s="164" t="s">
        <v>161</v>
      </c>
      <c r="AJ116" s="164" t="s">
        <v>161</v>
      </c>
      <c r="AK116" s="164" t="s">
        <v>161</v>
      </c>
      <c r="AL116" s="164" t="s">
        <v>150</v>
      </c>
      <c r="AM116" s="164" t="s">
        <v>163</v>
      </c>
      <c r="AN116" s="164" t="s">
        <v>163</v>
      </c>
      <c r="AO116" s="164"/>
      <c r="AP116" s="164" t="s">
        <v>203</v>
      </c>
      <c r="AQ116" s="164" t="s">
        <v>203</v>
      </c>
      <c r="AR116" s="164"/>
      <c r="AS116" s="164"/>
      <c r="AT116" s="417" t="s">
        <v>580</v>
      </c>
      <c r="AU116" s="91"/>
      <c r="AV116" s="91" t="s">
        <v>163</v>
      </c>
      <c r="AW116" s="93">
        <v>42065</v>
      </c>
      <c r="AX116" s="93">
        <v>42310</v>
      </c>
      <c r="AY116" s="93" t="s">
        <v>150</v>
      </c>
      <c r="AZ116" s="93"/>
      <c r="BA116" s="93"/>
      <c r="BB116" s="93"/>
      <c r="BC116" s="93"/>
      <c r="BD116" s="93"/>
      <c r="BE116" s="94"/>
      <c r="BF116" s="93" t="s">
        <v>722</v>
      </c>
      <c r="BG116" s="93" t="s">
        <v>163</v>
      </c>
      <c r="BH116" s="93" t="s">
        <v>722</v>
      </c>
      <c r="BI116" s="93" t="s">
        <v>163</v>
      </c>
      <c r="BJ116" s="92"/>
      <c r="BK116" s="92"/>
      <c r="BL116" s="92"/>
      <c r="BM116" s="92"/>
      <c r="BN116" s="91" t="s">
        <v>18</v>
      </c>
      <c r="BO116" s="91" t="s">
        <v>18</v>
      </c>
      <c r="BP116" s="91"/>
      <c r="BQ116" s="91"/>
      <c r="BR116" s="91"/>
      <c r="BS116" s="91">
        <v>2</v>
      </c>
      <c r="BT116" s="91">
        <v>0</v>
      </c>
      <c r="BU116" s="91">
        <v>0</v>
      </c>
      <c r="BV116" s="91">
        <v>0</v>
      </c>
      <c r="BW116" s="91">
        <v>0</v>
      </c>
      <c r="BX116" s="91">
        <v>0</v>
      </c>
      <c r="BY116" s="91" t="s">
        <v>163</v>
      </c>
      <c r="BZ116" s="91">
        <v>0</v>
      </c>
      <c r="CA116" s="91"/>
      <c r="CB116" s="95"/>
      <c r="CC116" s="95"/>
      <c r="CD116" s="91"/>
      <c r="CE116" s="91" t="s">
        <v>163</v>
      </c>
      <c r="CF116" s="91"/>
      <c r="CG116" s="91"/>
      <c r="CH116" s="113" t="s">
        <v>168</v>
      </c>
      <c r="CI116" s="91" t="s">
        <v>168</v>
      </c>
      <c r="CJ116" s="91"/>
      <c r="CK116" s="91" t="s">
        <v>809</v>
      </c>
    </row>
    <row r="117" spans="1:102" ht="24.95" customHeight="1">
      <c r="A117" s="91">
        <v>120</v>
      </c>
      <c r="B117" s="91" t="s">
        <v>1766</v>
      </c>
      <c r="C117" s="91" t="s">
        <v>1767</v>
      </c>
      <c r="D117" s="91"/>
      <c r="E117" s="91" t="s">
        <v>1768</v>
      </c>
      <c r="F117" s="91" t="s">
        <v>25</v>
      </c>
      <c r="G117" s="91">
        <v>5</v>
      </c>
      <c r="H117" s="91" t="s">
        <v>53</v>
      </c>
      <c r="I117" s="91" t="s">
        <v>46</v>
      </c>
      <c r="J117" s="91"/>
      <c r="K117" s="91"/>
      <c r="L117" s="91" t="s">
        <v>44</v>
      </c>
      <c r="M117" s="91" t="s">
        <v>150</v>
      </c>
      <c r="N117" s="91" t="s">
        <v>168</v>
      </c>
      <c r="O117" s="91" t="s">
        <v>168</v>
      </c>
      <c r="P117" s="91" t="s">
        <v>168</v>
      </c>
      <c r="Q117" s="91" t="s">
        <v>168</v>
      </c>
      <c r="R117" s="91"/>
      <c r="S117" s="91"/>
      <c r="T117" s="341"/>
      <c r="U117" s="92"/>
      <c r="V117" s="92"/>
      <c r="W117" s="164"/>
      <c r="X117" s="164"/>
      <c r="Y117" s="164"/>
      <c r="Z117" s="164"/>
      <c r="AA117" s="91"/>
      <c r="AB117" s="92"/>
      <c r="AC117" s="281">
        <v>42064</v>
      </c>
      <c r="AD117" s="92">
        <v>43100</v>
      </c>
      <c r="AE117" s="92"/>
      <c r="AF117" s="92"/>
      <c r="AG117" s="92"/>
      <c r="AH117" s="91">
        <f t="shared" si="23"/>
        <v>0</v>
      </c>
      <c r="AI117" s="92"/>
      <c r="AJ117" s="92"/>
      <c r="AK117" s="92"/>
      <c r="AL117" s="92"/>
      <c r="AM117" s="92"/>
      <c r="AN117" s="92"/>
      <c r="AO117" s="92"/>
      <c r="AP117" s="92"/>
      <c r="AQ117" s="92"/>
      <c r="AR117" s="92"/>
      <c r="AS117" s="92"/>
      <c r="AT117" s="400" t="s">
        <v>193</v>
      </c>
      <c r="AU117" s="91"/>
      <c r="AV117" s="92">
        <v>42921</v>
      </c>
      <c r="AW117" s="93">
        <v>42065</v>
      </c>
      <c r="AX117" s="93"/>
      <c r="AY117" s="93"/>
      <c r="AZ117" s="93"/>
      <c r="BA117" s="93"/>
      <c r="BB117" s="93"/>
      <c r="BC117" s="93"/>
      <c r="BD117" s="93"/>
      <c r="BE117" s="94"/>
      <c r="BF117" s="93"/>
      <c r="BG117" s="93"/>
      <c r="BH117" s="93"/>
      <c r="BI117" s="93"/>
      <c r="BJ117" s="92"/>
      <c r="BK117" s="92"/>
      <c r="BL117" s="92"/>
      <c r="BM117" s="92"/>
      <c r="BN117" s="91" t="s">
        <v>18</v>
      </c>
      <c r="BO117" s="218" t="s">
        <v>18</v>
      </c>
      <c r="BP117" s="218"/>
      <c r="BQ117" s="91"/>
      <c r="BR117" s="91"/>
      <c r="BS117" s="91"/>
      <c r="BT117" s="91"/>
      <c r="BU117" s="91"/>
      <c r="BV117" s="91"/>
      <c r="BW117" s="91"/>
      <c r="BX117" s="91"/>
      <c r="BY117" s="91" t="s">
        <v>163</v>
      </c>
      <c r="BZ117" s="91"/>
      <c r="CA117" s="91"/>
      <c r="CB117" s="95"/>
      <c r="CC117" s="95"/>
      <c r="CD117" s="91"/>
      <c r="CE117" s="91"/>
      <c r="CF117" s="91"/>
      <c r="CG117" s="91"/>
      <c r="CH117" s="113"/>
      <c r="CI117" s="91"/>
      <c r="CJ117" s="91"/>
      <c r="CK117" s="91" t="s">
        <v>809</v>
      </c>
    </row>
    <row r="118" spans="1:102" ht="24.95" customHeight="1">
      <c r="A118" s="91">
        <v>121</v>
      </c>
      <c r="B118" s="91" t="s">
        <v>1769</v>
      </c>
      <c r="C118" s="91" t="s">
        <v>1770</v>
      </c>
      <c r="D118" s="91" t="s">
        <v>1771</v>
      </c>
      <c r="E118" s="91" t="s">
        <v>1772</v>
      </c>
      <c r="F118" s="91" t="s">
        <v>25</v>
      </c>
      <c r="G118" s="91">
        <v>5</v>
      </c>
      <c r="H118" s="91" t="s">
        <v>59</v>
      </c>
      <c r="I118" s="91" t="s">
        <v>41</v>
      </c>
      <c r="J118" s="91"/>
      <c r="K118" s="91"/>
      <c r="L118" s="91" t="s">
        <v>41</v>
      </c>
      <c r="M118" s="91" t="s">
        <v>150</v>
      </c>
      <c r="N118" s="91" t="s">
        <v>168</v>
      </c>
      <c r="O118" s="91" t="s">
        <v>168</v>
      </c>
      <c r="P118" s="91" t="s">
        <v>168</v>
      </c>
      <c r="Q118" s="91" t="s">
        <v>168</v>
      </c>
      <c r="R118" s="91"/>
      <c r="S118" s="91"/>
      <c r="T118" s="341"/>
      <c r="U118" s="92"/>
      <c r="V118" s="92"/>
      <c r="W118" s="164"/>
      <c r="X118" s="164"/>
      <c r="Y118" s="164"/>
      <c r="Z118" s="164"/>
      <c r="AA118" s="91"/>
      <c r="AB118" s="92"/>
      <c r="AC118" s="281">
        <v>42064</v>
      </c>
      <c r="AD118" s="92">
        <v>43342</v>
      </c>
      <c r="AE118" s="92"/>
      <c r="AF118" s="92"/>
      <c r="AG118" s="92"/>
      <c r="AH118" s="91">
        <f t="shared" si="23"/>
        <v>0</v>
      </c>
      <c r="AI118" s="92"/>
      <c r="AJ118" s="92"/>
      <c r="AK118" s="92"/>
      <c r="AL118" s="92"/>
      <c r="AM118" s="92"/>
      <c r="AN118" s="92"/>
      <c r="AO118" s="92"/>
      <c r="AP118" s="92"/>
      <c r="AQ118" s="92"/>
      <c r="AR118" s="92"/>
      <c r="AS118" s="92"/>
      <c r="AT118" s="400" t="s">
        <v>193</v>
      </c>
      <c r="AU118" s="91"/>
      <c r="AV118" s="92"/>
      <c r="AW118" s="93">
        <v>42065</v>
      </c>
      <c r="AX118" s="93"/>
      <c r="AY118" s="93"/>
      <c r="AZ118" s="93"/>
      <c r="BA118" s="93"/>
      <c r="BB118" s="93"/>
      <c r="BC118" s="93"/>
      <c r="BD118" s="93"/>
      <c r="BE118" s="94"/>
      <c r="BF118" s="93"/>
      <c r="BG118" s="93"/>
      <c r="BH118" s="93"/>
      <c r="BI118" s="93"/>
      <c r="BJ118" s="92"/>
      <c r="BK118" s="92"/>
      <c r="BL118" s="92"/>
      <c r="BM118" s="92"/>
      <c r="BN118" s="91" t="s">
        <v>18</v>
      </c>
      <c r="BO118" s="218" t="s">
        <v>18</v>
      </c>
      <c r="BP118" s="218"/>
      <c r="BQ118" s="91"/>
      <c r="BR118" s="91"/>
      <c r="BS118" s="91"/>
      <c r="BT118" s="91"/>
      <c r="BU118" s="91"/>
      <c r="BV118" s="91"/>
      <c r="BW118" s="91"/>
      <c r="BX118" s="91"/>
      <c r="BY118" s="91" t="s">
        <v>163</v>
      </c>
      <c r="BZ118" s="91"/>
      <c r="CA118" s="91"/>
      <c r="CB118" s="95"/>
      <c r="CC118" s="95"/>
      <c r="CD118" s="91"/>
      <c r="CE118" s="91"/>
      <c r="CF118" s="91"/>
      <c r="CG118" s="91"/>
      <c r="CH118" s="113"/>
      <c r="CI118" s="91"/>
      <c r="CJ118" s="91"/>
      <c r="CK118" s="91" t="s">
        <v>809</v>
      </c>
    </row>
    <row r="119" spans="1:102" ht="24.95" customHeight="1">
      <c r="A119" s="91">
        <v>122</v>
      </c>
      <c r="B119" s="91" t="s">
        <v>1773</v>
      </c>
      <c r="C119" s="91" t="s">
        <v>1774</v>
      </c>
      <c r="D119" s="91" t="s">
        <v>1775</v>
      </c>
      <c r="E119" s="91" t="s">
        <v>1776</v>
      </c>
      <c r="F119" s="91" t="s">
        <v>24</v>
      </c>
      <c r="G119" s="91">
        <v>5</v>
      </c>
      <c r="H119" s="91" t="s">
        <v>52</v>
      </c>
      <c r="I119" s="91" t="s">
        <v>42</v>
      </c>
      <c r="J119" s="91"/>
      <c r="K119" s="91"/>
      <c r="L119" s="91" t="s">
        <v>42</v>
      </c>
      <c r="M119" s="91" t="s">
        <v>150</v>
      </c>
      <c r="N119" s="91" t="s">
        <v>168</v>
      </c>
      <c r="O119" s="91" t="s">
        <v>168</v>
      </c>
      <c r="P119" s="91" t="s">
        <v>168</v>
      </c>
      <c r="Q119" s="91" t="s">
        <v>168</v>
      </c>
      <c r="R119" s="91"/>
      <c r="S119" s="91"/>
      <c r="T119" s="341"/>
      <c r="U119" s="92"/>
      <c r="V119" s="92"/>
      <c r="W119" s="164"/>
      <c r="X119" s="164"/>
      <c r="Y119" s="164"/>
      <c r="Z119" s="164"/>
      <c r="AA119" s="91"/>
      <c r="AB119" s="92"/>
      <c r="AC119" s="281">
        <v>42064</v>
      </c>
      <c r="AD119" s="92">
        <v>43342</v>
      </c>
      <c r="AE119" s="92"/>
      <c r="AF119" s="92"/>
      <c r="AG119" s="92"/>
      <c r="AH119" s="91">
        <f t="shared" si="23"/>
        <v>0</v>
      </c>
      <c r="AI119" s="92"/>
      <c r="AJ119" s="92"/>
      <c r="AK119" s="92"/>
      <c r="AL119" s="92"/>
      <c r="AM119" s="92"/>
      <c r="AN119" s="92"/>
      <c r="AO119" s="92"/>
      <c r="AP119" s="92"/>
      <c r="AQ119" s="92"/>
      <c r="AR119" s="92"/>
      <c r="AS119" s="92"/>
      <c r="AT119" s="400" t="s">
        <v>193</v>
      </c>
      <c r="AU119" s="91"/>
      <c r="AV119" s="92">
        <v>42921</v>
      </c>
      <c r="AW119" s="93">
        <v>42065</v>
      </c>
      <c r="AX119" s="93"/>
      <c r="AY119" s="93"/>
      <c r="AZ119" s="93"/>
      <c r="BA119" s="93"/>
      <c r="BB119" s="93"/>
      <c r="BC119" s="93"/>
      <c r="BD119" s="93"/>
      <c r="BE119" s="94"/>
      <c r="BF119" s="93"/>
      <c r="BG119" s="93"/>
      <c r="BH119" s="93"/>
      <c r="BI119" s="93"/>
      <c r="BJ119" s="92"/>
      <c r="BK119" s="92"/>
      <c r="BL119" s="92"/>
      <c r="BM119" s="92"/>
      <c r="BN119" s="115" t="s">
        <v>18</v>
      </c>
      <c r="BO119" s="218" t="s">
        <v>18</v>
      </c>
      <c r="BP119" s="218"/>
      <c r="BQ119" s="91"/>
      <c r="BR119" s="91"/>
      <c r="BS119" s="91"/>
      <c r="BT119" s="91"/>
      <c r="BU119" s="91"/>
      <c r="BV119" s="91"/>
      <c r="BW119" s="91"/>
      <c r="BX119" s="91"/>
      <c r="BY119" s="91" t="s">
        <v>163</v>
      </c>
      <c r="BZ119" s="91"/>
      <c r="CA119" s="91"/>
      <c r="CB119" s="95"/>
      <c r="CC119" s="95"/>
      <c r="CD119" s="91"/>
      <c r="CE119" s="91"/>
      <c r="CF119" s="91"/>
      <c r="CG119" s="91"/>
      <c r="CH119" s="113"/>
      <c r="CI119" s="91"/>
      <c r="CJ119" s="91"/>
      <c r="CK119" s="91" t="s">
        <v>809</v>
      </c>
    </row>
    <row r="120" spans="1:102" ht="24.95" customHeight="1">
      <c r="A120" s="165">
        <v>123</v>
      </c>
      <c r="B120" s="165" t="s">
        <v>1777</v>
      </c>
      <c r="C120" s="165" t="s">
        <v>1778</v>
      </c>
      <c r="D120" s="165" t="s">
        <v>1779</v>
      </c>
      <c r="E120" s="165" t="s">
        <v>1780</v>
      </c>
      <c r="F120" s="165" t="s">
        <v>24</v>
      </c>
      <c r="G120" s="165">
        <v>6</v>
      </c>
      <c r="H120" s="165" t="s">
        <v>52</v>
      </c>
      <c r="I120" s="165" t="s">
        <v>38</v>
      </c>
      <c r="J120" s="165" t="s">
        <v>602</v>
      </c>
      <c r="K120" s="165" t="s">
        <v>1781</v>
      </c>
      <c r="L120" s="165" t="s">
        <v>45</v>
      </c>
      <c r="M120" s="165" t="s">
        <v>163</v>
      </c>
      <c r="N120" s="165">
        <v>1617548</v>
      </c>
      <c r="O120" s="251" t="s">
        <v>322</v>
      </c>
      <c r="P120" s="252" t="s">
        <v>322</v>
      </c>
      <c r="Q120" s="165" t="s">
        <v>322</v>
      </c>
      <c r="R120" s="165" t="s">
        <v>1782</v>
      </c>
      <c r="S120" s="165" t="s">
        <v>1783</v>
      </c>
      <c r="T120" s="349" t="s">
        <v>1784</v>
      </c>
      <c r="U120" s="166" t="s">
        <v>1785</v>
      </c>
      <c r="V120" s="166">
        <v>28260</v>
      </c>
      <c r="W120" s="172" t="s">
        <v>1786</v>
      </c>
      <c r="X120" s="172" t="s">
        <v>179</v>
      </c>
      <c r="Y120" s="172" t="s">
        <v>163</v>
      </c>
      <c r="Z120" s="172" t="s">
        <v>158</v>
      </c>
      <c r="AA120" s="165">
        <v>8</v>
      </c>
      <c r="AB120" s="166">
        <v>42816</v>
      </c>
      <c r="AC120" s="287">
        <v>42430</v>
      </c>
      <c r="AD120" s="166"/>
      <c r="AE120" s="165" t="s">
        <v>610</v>
      </c>
      <c r="AF120" s="165" t="s">
        <v>1787</v>
      </c>
      <c r="AG120" s="165"/>
      <c r="AH120" s="165">
        <f t="shared" si="23"/>
        <v>2</v>
      </c>
      <c r="AI120" s="172" t="s">
        <v>161</v>
      </c>
      <c r="AJ120" s="165" t="s">
        <v>162</v>
      </c>
      <c r="AK120" s="165"/>
      <c r="AL120" s="165" t="s">
        <v>150</v>
      </c>
      <c r="AM120" s="165" t="s">
        <v>150</v>
      </c>
      <c r="AN120" s="165"/>
      <c r="AO120" s="165" t="s">
        <v>182</v>
      </c>
      <c r="AP120" s="165" t="s">
        <v>1265</v>
      </c>
      <c r="AQ120" s="165" t="s">
        <v>1788</v>
      </c>
      <c r="AR120" s="165" t="s">
        <v>150</v>
      </c>
      <c r="AS120" s="165"/>
      <c r="AT120" s="36" t="s">
        <v>38</v>
      </c>
      <c r="AU120" s="165" t="s">
        <v>1789</v>
      </c>
      <c r="AV120" s="166"/>
      <c r="AW120" s="167">
        <v>42428</v>
      </c>
      <c r="AX120" s="167">
        <v>42681</v>
      </c>
      <c r="AY120" s="167" t="s">
        <v>150</v>
      </c>
      <c r="AZ120" s="167">
        <v>43005</v>
      </c>
      <c r="BA120" s="167">
        <v>43063</v>
      </c>
      <c r="BB120" s="167"/>
      <c r="BC120" s="167"/>
      <c r="BD120" s="167"/>
      <c r="BE120" s="168" t="s">
        <v>1786</v>
      </c>
      <c r="BF120" s="167">
        <v>43309</v>
      </c>
      <c r="BG120" s="167" t="s">
        <v>150</v>
      </c>
      <c r="BH120" s="167">
        <v>43528</v>
      </c>
      <c r="BI120" s="167" t="s">
        <v>150</v>
      </c>
      <c r="BJ120" s="166"/>
      <c r="BK120" s="166"/>
      <c r="BL120" s="166"/>
      <c r="BM120" s="169">
        <v>44461</v>
      </c>
      <c r="BN120" s="165" t="s">
        <v>16</v>
      </c>
      <c r="BO120" s="171">
        <f>DATEDIF(AW120,BM120, "M")+1</f>
        <v>67</v>
      </c>
      <c r="BP120" s="165">
        <f t="shared" ref="BP120:BP122" si="30">DATEDIF(AX120,BM120, "M")+1</f>
        <v>59</v>
      </c>
      <c r="BQ120" s="165" t="s">
        <v>1786</v>
      </c>
      <c r="BR120" s="165">
        <v>6</v>
      </c>
      <c r="BS120" s="165">
        <v>13</v>
      </c>
      <c r="BT120" s="165">
        <v>3</v>
      </c>
      <c r="BU120" s="165">
        <v>0</v>
      </c>
      <c r="BV120" s="165">
        <v>0</v>
      </c>
      <c r="BW120" s="165">
        <v>0</v>
      </c>
      <c r="BX120" s="165">
        <v>0</v>
      </c>
      <c r="BY120" s="165" t="s">
        <v>163</v>
      </c>
      <c r="BZ120" s="165">
        <v>0</v>
      </c>
      <c r="CA120" s="165"/>
      <c r="CB120" s="170"/>
      <c r="CC120" s="170"/>
      <c r="CD120" s="165"/>
      <c r="CE120" s="165" t="s">
        <v>163</v>
      </c>
      <c r="CF120" s="165"/>
      <c r="CG120" s="165"/>
      <c r="CH120" s="376">
        <v>0</v>
      </c>
      <c r="CI120" s="165">
        <v>0</v>
      </c>
      <c r="CJ120" s="165">
        <v>2</v>
      </c>
      <c r="CK120" s="165" t="s">
        <v>809</v>
      </c>
    </row>
    <row r="121" spans="1:102" ht="24.95" customHeight="1">
      <c r="A121" s="165">
        <v>124</v>
      </c>
      <c r="B121" s="165" t="s">
        <v>1790</v>
      </c>
      <c r="C121" s="165" t="s">
        <v>1791</v>
      </c>
      <c r="D121" s="165" t="s">
        <v>1792</v>
      </c>
      <c r="E121" s="165" t="s">
        <v>1793</v>
      </c>
      <c r="F121" s="165" t="s">
        <v>24</v>
      </c>
      <c r="G121" s="165">
        <v>6</v>
      </c>
      <c r="H121" s="165" t="s">
        <v>52</v>
      </c>
      <c r="I121" s="165" t="s">
        <v>42</v>
      </c>
      <c r="J121" s="165" t="s">
        <v>1794</v>
      </c>
      <c r="K121" s="165" t="s">
        <v>1795</v>
      </c>
      <c r="L121" s="165" t="s">
        <v>42</v>
      </c>
      <c r="M121" s="165" t="s">
        <v>150</v>
      </c>
      <c r="N121" s="165" t="s">
        <v>1796</v>
      </c>
      <c r="O121" s="251" t="s">
        <v>151</v>
      </c>
      <c r="P121" s="252" t="s">
        <v>151</v>
      </c>
      <c r="Q121" s="165" t="s">
        <v>151</v>
      </c>
      <c r="R121" s="165" t="s">
        <v>1797</v>
      </c>
      <c r="S121" s="165" t="s">
        <v>1798</v>
      </c>
      <c r="T121" s="349" t="s">
        <v>1799</v>
      </c>
      <c r="U121" s="166" t="s">
        <v>1800</v>
      </c>
      <c r="V121" s="166">
        <v>30764</v>
      </c>
      <c r="W121" s="172" t="s">
        <v>1801</v>
      </c>
      <c r="X121" s="172" t="s">
        <v>179</v>
      </c>
      <c r="Y121" s="172" t="s">
        <v>163</v>
      </c>
      <c r="Z121" s="172" t="s">
        <v>158</v>
      </c>
      <c r="AA121" s="165">
        <v>34.5</v>
      </c>
      <c r="AB121" s="166">
        <v>42704</v>
      </c>
      <c r="AC121" s="287">
        <v>42430</v>
      </c>
      <c r="AD121" s="166"/>
      <c r="AE121" s="253" t="s">
        <v>1802</v>
      </c>
      <c r="AF121" s="165" t="s">
        <v>1803</v>
      </c>
      <c r="AG121" s="165"/>
      <c r="AH121" s="165">
        <f t="shared" si="23"/>
        <v>2</v>
      </c>
      <c r="AI121" s="172" t="s">
        <v>161</v>
      </c>
      <c r="AJ121" s="165"/>
      <c r="AK121" s="165"/>
      <c r="AL121" s="165" t="s">
        <v>150</v>
      </c>
      <c r="AM121" s="165"/>
      <c r="AN121" s="165"/>
      <c r="AO121" s="165" t="s">
        <v>164</v>
      </c>
      <c r="AP121" s="165" t="s">
        <v>1183</v>
      </c>
      <c r="AQ121" s="165" t="s">
        <v>1183</v>
      </c>
      <c r="AR121" s="165"/>
      <c r="AS121" s="165"/>
      <c r="AT121" s="36" t="s">
        <v>420</v>
      </c>
      <c r="AU121" s="165" t="s">
        <v>1804</v>
      </c>
      <c r="AV121" s="166"/>
      <c r="AW121" s="167">
        <v>42428</v>
      </c>
      <c r="AX121" s="167">
        <v>42681</v>
      </c>
      <c r="AY121" s="167" t="s">
        <v>150</v>
      </c>
      <c r="AZ121" s="167"/>
      <c r="BA121" s="167"/>
      <c r="BB121" s="167"/>
      <c r="BC121" s="167"/>
      <c r="BD121" s="167"/>
      <c r="BE121" s="168" t="s">
        <v>1805</v>
      </c>
      <c r="BF121" s="167">
        <v>43309</v>
      </c>
      <c r="BG121" s="167" t="s">
        <v>150</v>
      </c>
      <c r="BH121" s="167">
        <v>43528</v>
      </c>
      <c r="BI121" s="167" t="s">
        <v>150</v>
      </c>
      <c r="BJ121" s="166"/>
      <c r="BK121" s="166"/>
      <c r="BL121" s="166"/>
      <c r="BM121" s="169">
        <v>44069</v>
      </c>
      <c r="BN121" s="165" t="s">
        <v>16</v>
      </c>
      <c r="BO121" s="171">
        <f>DATEDIF(AW121,BM121, "M")+1</f>
        <v>54</v>
      </c>
      <c r="BP121" s="165">
        <f t="shared" si="30"/>
        <v>46</v>
      </c>
      <c r="BQ121" s="172" t="s">
        <v>1806</v>
      </c>
      <c r="BR121" s="165">
        <v>0</v>
      </c>
      <c r="BS121" s="165">
        <v>1</v>
      </c>
      <c r="BT121" s="165">
        <v>1</v>
      </c>
      <c r="BU121" s="165">
        <v>0</v>
      </c>
      <c r="BV121" s="165">
        <v>0</v>
      </c>
      <c r="BW121" s="165">
        <v>0</v>
      </c>
      <c r="BX121" s="165">
        <v>0</v>
      </c>
      <c r="BY121" s="165" t="s">
        <v>163</v>
      </c>
      <c r="BZ121" s="165">
        <v>0</v>
      </c>
      <c r="CA121" s="165"/>
      <c r="CB121" s="170">
        <v>43941</v>
      </c>
      <c r="CC121" s="170">
        <v>43993</v>
      </c>
      <c r="CD121" s="165">
        <v>2</v>
      </c>
      <c r="CE121" s="165" t="s">
        <v>163</v>
      </c>
      <c r="CF121" s="165"/>
      <c r="CG121" s="165"/>
      <c r="CH121" s="376">
        <v>1</v>
      </c>
      <c r="CI121" s="165">
        <v>1</v>
      </c>
      <c r="CJ121" s="165"/>
      <c r="CK121" s="165" t="s">
        <v>809</v>
      </c>
    </row>
    <row r="122" spans="1:102" ht="24.95" customHeight="1">
      <c r="A122" s="165">
        <v>125</v>
      </c>
      <c r="B122" s="165" t="s">
        <v>1807</v>
      </c>
      <c r="C122" s="165" t="s">
        <v>1808</v>
      </c>
      <c r="D122" s="165" t="s">
        <v>1809</v>
      </c>
      <c r="E122" s="165" t="s">
        <v>1810</v>
      </c>
      <c r="F122" s="165" t="s">
        <v>24</v>
      </c>
      <c r="G122" s="165">
        <v>6</v>
      </c>
      <c r="H122" s="165" t="s">
        <v>53</v>
      </c>
      <c r="I122" s="165" t="s">
        <v>46</v>
      </c>
      <c r="J122" s="165" t="s">
        <v>1421</v>
      </c>
      <c r="K122" s="165" t="s">
        <v>1811</v>
      </c>
      <c r="L122" s="165" t="s">
        <v>44</v>
      </c>
      <c r="M122" s="165" t="s">
        <v>150</v>
      </c>
      <c r="N122" s="173" t="s">
        <v>1812</v>
      </c>
      <c r="O122" s="251" t="s">
        <v>151</v>
      </c>
      <c r="P122" s="252" t="s">
        <v>151</v>
      </c>
      <c r="Q122" s="165"/>
      <c r="R122" s="165" t="s">
        <v>1813</v>
      </c>
      <c r="S122" s="165" t="s">
        <v>1814</v>
      </c>
      <c r="T122" s="350" t="s">
        <v>1815</v>
      </c>
      <c r="U122" s="166" t="s">
        <v>912</v>
      </c>
      <c r="V122" s="166">
        <v>30609</v>
      </c>
      <c r="W122" s="172" t="s">
        <v>1816</v>
      </c>
      <c r="X122" s="172" t="s">
        <v>156</v>
      </c>
      <c r="Y122" s="172" t="s">
        <v>163</v>
      </c>
      <c r="Z122" s="172" t="s">
        <v>158</v>
      </c>
      <c r="AA122" s="165">
        <v>24</v>
      </c>
      <c r="AB122" s="166">
        <v>42826</v>
      </c>
      <c r="AC122" s="287">
        <v>42430</v>
      </c>
      <c r="AD122" s="166"/>
      <c r="AE122" s="253" t="s">
        <v>1817</v>
      </c>
      <c r="AF122" s="253" t="s">
        <v>1818</v>
      </c>
      <c r="AG122" s="165"/>
      <c r="AH122" s="165">
        <f t="shared" si="23"/>
        <v>2</v>
      </c>
      <c r="AI122" s="172" t="s">
        <v>282</v>
      </c>
      <c r="AJ122" s="172" t="s">
        <v>161</v>
      </c>
      <c r="AK122" s="165"/>
      <c r="AL122" s="165" t="s">
        <v>163</v>
      </c>
      <c r="AM122" s="165" t="s">
        <v>150</v>
      </c>
      <c r="AN122" s="165"/>
      <c r="AO122" s="165" t="s">
        <v>164</v>
      </c>
      <c r="AP122" s="165" t="s">
        <v>203</v>
      </c>
      <c r="AQ122" s="165" t="s">
        <v>203</v>
      </c>
      <c r="AR122" s="165"/>
      <c r="AS122" s="165"/>
      <c r="AT122" s="36" t="s">
        <v>1819</v>
      </c>
      <c r="AU122" s="165" t="s">
        <v>1820</v>
      </c>
      <c r="AV122" s="166"/>
      <c r="AW122" s="167">
        <v>42428</v>
      </c>
      <c r="AX122" s="167">
        <v>42681</v>
      </c>
      <c r="AY122" s="167" t="s">
        <v>150</v>
      </c>
      <c r="AZ122" s="167">
        <v>42978</v>
      </c>
      <c r="BA122" s="167">
        <v>42997</v>
      </c>
      <c r="BB122" s="167">
        <v>43012</v>
      </c>
      <c r="BC122" s="167"/>
      <c r="BD122" s="167"/>
      <c r="BE122" s="168" t="s">
        <v>1821</v>
      </c>
      <c r="BF122" s="167">
        <v>43309</v>
      </c>
      <c r="BG122" s="167" t="s">
        <v>150</v>
      </c>
      <c r="BH122" s="167">
        <v>43528</v>
      </c>
      <c r="BI122" s="167" t="s">
        <v>150</v>
      </c>
      <c r="BJ122" s="166">
        <v>44463</v>
      </c>
      <c r="BK122" s="166"/>
      <c r="BL122" s="166"/>
      <c r="BM122" s="169">
        <v>45898</v>
      </c>
      <c r="BN122" s="165" t="s">
        <v>16</v>
      </c>
      <c r="BO122" s="171">
        <f>DATEDIF(AW122,BM122, "M")+1</f>
        <v>115</v>
      </c>
      <c r="BP122" s="165">
        <f t="shared" si="30"/>
        <v>106</v>
      </c>
      <c r="BQ122" s="165"/>
      <c r="BR122" s="165"/>
      <c r="BS122" s="165">
        <v>2</v>
      </c>
      <c r="BT122" s="165">
        <v>0</v>
      </c>
      <c r="BU122" s="165">
        <v>1</v>
      </c>
      <c r="BV122" s="165">
        <v>0</v>
      </c>
      <c r="BW122" s="165">
        <v>0</v>
      </c>
      <c r="BX122" s="165">
        <v>0</v>
      </c>
      <c r="BY122" s="165" t="s">
        <v>163</v>
      </c>
      <c r="BZ122" s="165">
        <v>0</v>
      </c>
      <c r="CA122" s="165"/>
      <c r="CB122" s="170"/>
      <c r="CC122" s="170"/>
      <c r="CD122" s="165"/>
      <c r="CE122" s="165" t="s">
        <v>163</v>
      </c>
      <c r="CF122" s="165"/>
      <c r="CG122" s="165"/>
      <c r="CH122" s="376"/>
      <c r="CI122" s="165"/>
      <c r="CJ122" s="165"/>
      <c r="CK122" s="165" t="s">
        <v>1822</v>
      </c>
    </row>
    <row r="123" spans="1:102" ht="24.95" customHeight="1">
      <c r="A123" s="165">
        <v>126</v>
      </c>
      <c r="B123" s="165" t="s">
        <v>1823</v>
      </c>
      <c r="C123" s="165" t="s">
        <v>1824</v>
      </c>
      <c r="D123" s="165" t="s">
        <v>1825</v>
      </c>
      <c r="E123" s="165" t="s">
        <v>1826</v>
      </c>
      <c r="F123" s="165" t="s">
        <v>24</v>
      </c>
      <c r="G123" s="165">
        <v>6</v>
      </c>
      <c r="H123" s="165" t="s">
        <v>54</v>
      </c>
      <c r="I123" s="165" t="s">
        <v>45</v>
      </c>
      <c r="J123" s="165" t="s">
        <v>363</v>
      </c>
      <c r="K123" s="165" t="s">
        <v>1827</v>
      </c>
      <c r="L123" s="165" t="s">
        <v>45</v>
      </c>
      <c r="M123" s="165" t="s">
        <v>150</v>
      </c>
      <c r="N123" s="165">
        <v>6815541</v>
      </c>
      <c r="O123" s="251" t="s">
        <v>322</v>
      </c>
      <c r="P123" s="252" t="s">
        <v>322</v>
      </c>
      <c r="Q123" s="165" t="s">
        <v>1828</v>
      </c>
      <c r="R123" s="165" t="s">
        <v>1829</v>
      </c>
      <c r="S123" s="175" t="s">
        <v>1830</v>
      </c>
      <c r="T123" s="350" t="s">
        <v>1831</v>
      </c>
      <c r="U123" s="166" t="s">
        <v>1832</v>
      </c>
      <c r="V123" s="166">
        <v>32614</v>
      </c>
      <c r="W123" s="172" t="s">
        <v>1833</v>
      </c>
      <c r="X123" s="172" t="s">
        <v>179</v>
      </c>
      <c r="Y123" s="172" t="s">
        <v>163</v>
      </c>
      <c r="Z123" s="172" t="s">
        <v>158</v>
      </c>
      <c r="AA123" s="165">
        <v>5.5</v>
      </c>
      <c r="AB123" s="166">
        <v>42464</v>
      </c>
      <c r="AC123" s="287">
        <v>42430</v>
      </c>
      <c r="AD123" s="166"/>
      <c r="AE123" s="253" t="s">
        <v>1834</v>
      </c>
      <c r="AF123" s="165"/>
      <c r="AG123" s="165"/>
      <c r="AH123" s="165">
        <f t="shared" si="23"/>
        <v>1</v>
      </c>
      <c r="AI123" s="37" t="s">
        <v>161</v>
      </c>
      <c r="AJ123" s="165"/>
      <c r="AK123" s="165"/>
      <c r="AL123" s="165" t="s">
        <v>163</v>
      </c>
      <c r="AM123" s="165"/>
      <c r="AN123" s="165"/>
      <c r="AO123" s="165" t="s">
        <v>182</v>
      </c>
      <c r="AP123" s="165" t="s">
        <v>1835</v>
      </c>
      <c r="AQ123" s="165" t="s">
        <v>1835</v>
      </c>
      <c r="AR123" s="165" t="s">
        <v>163</v>
      </c>
      <c r="AS123" s="165"/>
      <c r="AT123" s="36" t="s">
        <v>1836</v>
      </c>
      <c r="AU123" s="165" t="s">
        <v>1837</v>
      </c>
      <c r="AV123" s="166"/>
      <c r="AW123" s="167">
        <v>42428</v>
      </c>
      <c r="AX123" s="167">
        <v>42681</v>
      </c>
      <c r="AY123" s="167" t="s">
        <v>150</v>
      </c>
      <c r="AZ123" s="167">
        <v>42753</v>
      </c>
      <c r="BA123" s="167">
        <v>43242</v>
      </c>
      <c r="BB123" s="165"/>
      <c r="BC123" s="165"/>
      <c r="BD123" s="165"/>
      <c r="BE123" s="168" t="s">
        <v>1838</v>
      </c>
      <c r="BF123" s="167">
        <v>43309</v>
      </c>
      <c r="BG123" s="167" t="s">
        <v>150</v>
      </c>
      <c r="BH123" s="167">
        <v>43528</v>
      </c>
      <c r="BI123" s="167" t="s">
        <v>150</v>
      </c>
      <c r="BJ123" s="166"/>
      <c r="BK123" s="166"/>
      <c r="BL123" s="166"/>
      <c r="BM123" s="169">
        <v>43768</v>
      </c>
      <c r="BN123" s="165" t="s">
        <v>16</v>
      </c>
      <c r="BO123" s="171">
        <f>DATEDIF(AW123,BM123, "M")+1</f>
        <v>45</v>
      </c>
      <c r="BP123" s="165">
        <f>DATEDIF(AX123,BM123, "M")+1</f>
        <v>36</v>
      </c>
      <c r="BQ123" s="165"/>
      <c r="BR123" s="165">
        <v>2</v>
      </c>
      <c r="BS123" s="165">
        <v>14</v>
      </c>
      <c r="BT123" s="165">
        <v>7</v>
      </c>
      <c r="BU123" s="165">
        <v>2</v>
      </c>
      <c r="BV123" s="165">
        <v>3</v>
      </c>
      <c r="BW123" s="165">
        <v>0</v>
      </c>
      <c r="BX123" s="165">
        <v>0</v>
      </c>
      <c r="BY123" s="165" t="s">
        <v>163</v>
      </c>
      <c r="BZ123" s="165">
        <v>0</v>
      </c>
      <c r="CA123" s="165"/>
      <c r="CB123" s="170">
        <v>44896</v>
      </c>
      <c r="CC123" s="170">
        <v>44985</v>
      </c>
      <c r="CD123" s="165">
        <v>3</v>
      </c>
      <c r="CE123" s="165" t="s">
        <v>163</v>
      </c>
      <c r="CF123" s="165"/>
      <c r="CG123" s="165"/>
      <c r="CH123" s="376">
        <v>0</v>
      </c>
      <c r="CI123" s="165">
        <v>0</v>
      </c>
      <c r="CJ123" s="165">
        <v>3</v>
      </c>
      <c r="CK123" s="165" t="s">
        <v>809</v>
      </c>
    </row>
    <row r="124" spans="1:102" ht="24.95" customHeight="1">
      <c r="A124" s="165">
        <v>127</v>
      </c>
      <c r="B124" s="165" t="s">
        <v>1839</v>
      </c>
      <c r="C124" s="165" t="s">
        <v>1840</v>
      </c>
      <c r="D124" s="165"/>
      <c r="E124" s="165" t="s">
        <v>1841</v>
      </c>
      <c r="F124" s="165" t="s">
        <v>25</v>
      </c>
      <c r="G124" s="165">
        <v>6</v>
      </c>
      <c r="H124" s="165" t="s">
        <v>55</v>
      </c>
      <c r="I124" s="165" t="s">
        <v>43</v>
      </c>
      <c r="J124" s="165" t="s">
        <v>602</v>
      </c>
      <c r="K124" s="165" t="s">
        <v>290</v>
      </c>
      <c r="L124" s="165" t="s">
        <v>45</v>
      </c>
      <c r="M124" s="165" t="s">
        <v>150</v>
      </c>
      <c r="N124" s="165">
        <v>1584607</v>
      </c>
      <c r="O124" s="251" t="s">
        <v>151</v>
      </c>
      <c r="P124" s="252" t="s">
        <v>151</v>
      </c>
      <c r="Q124" s="165"/>
      <c r="R124" s="165" t="s">
        <v>1842</v>
      </c>
      <c r="S124" s="165" t="s">
        <v>1843</v>
      </c>
      <c r="T124" s="350" t="s">
        <v>1844</v>
      </c>
      <c r="U124" s="166" t="s">
        <v>817</v>
      </c>
      <c r="V124" s="166">
        <v>28875</v>
      </c>
      <c r="W124" s="172" t="s">
        <v>1845</v>
      </c>
      <c r="X124" s="172" t="s">
        <v>179</v>
      </c>
      <c r="Y124" s="172" t="s">
        <v>163</v>
      </c>
      <c r="Z124" s="172" t="s">
        <v>158</v>
      </c>
      <c r="AA124" s="165">
        <v>31.5</v>
      </c>
      <c r="AB124" s="166">
        <v>42810</v>
      </c>
      <c r="AC124" s="287">
        <v>42430</v>
      </c>
      <c r="AD124" s="166"/>
      <c r="AE124" s="253" t="s">
        <v>1846</v>
      </c>
      <c r="AF124" s="253" t="s">
        <v>1847</v>
      </c>
      <c r="AG124" s="165"/>
      <c r="AH124" s="165">
        <f t="shared" si="23"/>
        <v>2</v>
      </c>
      <c r="AI124" s="37" t="s">
        <v>282</v>
      </c>
      <c r="AJ124" s="165" t="s">
        <v>161</v>
      </c>
      <c r="AK124" s="165"/>
      <c r="AL124" s="165" t="s">
        <v>163</v>
      </c>
      <c r="AM124" s="165" t="s">
        <v>163</v>
      </c>
      <c r="AN124" s="165"/>
      <c r="AO124" s="165" t="s">
        <v>164</v>
      </c>
      <c r="AP124" s="172" t="s">
        <v>181</v>
      </c>
      <c r="AQ124" s="172" t="s">
        <v>203</v>
      </c>
      <c r="AR124" s="172" t="s">
        <v>163</v>
      </c>
      <c r="AS124" s="172"/>
      <c r="AT124" s="36" t="s">
        <v>219</v>
      </c>
      <c r="AU124" s="165" t="s">
        <v>1848</v>
      </c>
      <c r="AV124" s="166"/>
      <c r="AW124" s="167">
        <v>42428</v>
      </c>
      <c r="AX124" s="167">
        <v>42681</v>
      </c>
      <c r="AY124" s="167" t="s">
        <v>150</v>
      </c>
      <c r="AZ124" s="167">
        <v>43433</v>
      </c>
      <c r="BA124" s="167">
        <v>43437</v>
      </c>
      <c r="BB124" s="165"/>
      <c r="BC124" s="165"/>
      <c r="BD124" s="165"/>
      <c r="BE124" s="168" t="s">
        <v>1849</v>
      </c>
      <c r="BF124" s="315">
        <v>44937</v>
      </c>
      <c r="BG124" s="315" t="s">
        <v>163</v>
      </c>
      <c r="BH124" s="315">
        <v>44431</v>
      </c>
      <c r="BI124" s="313" t="s">
        <v>163</v>
      </c>
      <c r="BJ124" s="166"/>
      <c r="BK124" s="166"/>
      <c r="BL124" s="166"/>
      <c r="BM124" s="169">
        <v>45591</v>
      </c>
      <c r="BN124" s="165" t="s">
        <v>16</v>
      </c>
      <c r="BO124" s="171">
        <f>DATEDIF(AW124,BM124, "M")+1</f>
        <v>104</v>
      </c>
      <c r="BP124" s="165">
        <f>DATEDIF(AX124,BM124, "M")+1</f>
        <v>96</v>
      </c>
      <c r="BQ124" s="172" t="s">
        <v>1845</v>
      </c>
      <c r="BR124" s="165">
        <v>1</v>
      </c>
      <c r="BS124" s="165">
        <v>1</v>
      </c>
      <c r="BT124" s="165">
        <v>0</v>
      </c>
      <c r="BU124" s="165">
        <v>0</v>
      </c>
      <c r="BV124" s="165">
        <v>0</v>
      </c>
      <c r="BW124" s="165">
        <v>0</v>
      </c>
      <c r="BX124" s="165">
        <v>0</v>
      </c>
      <c r="BY124" s="165" t="s">
        <v>163</v>
      </c>
      <c r="BZ124" s="165">
        <v>0</v>
      </c>
      <c r="CA124" s="165"/>
      <c r="CB124" s="170"/>
      <c r="CC124" s="170"/>
      <c r="CD124" s="165"/>
      <c r="CE124" s="165" t="s">
        <v>163</v>
      </c>
      <c r="CF124" s="165"/>
      <c r="CG124" s="165"/>
      <c r="CH124" s="376">
        <v>2</v>
      </c>
      <c r="CI124" s="165">
        <v>4</v>
      </c>
      <c r="CJ124" s="165"/>
      <c r="CK124" s="165" t="s">
        <v>1822</v>
      </c>
    </row>
    <row r="125" spans="1:102" ht="24.95" customHeight="1">
      <c r="A125" s="165">
        <v>128</v>
      </c>
      <c r="B125" s="165" t="s">
        <v>1850</v>
      </c>
      <c r="C125" s="165" t="s">
        <v>1851</v>
      </c>
      <c r="D125" s="165"/>
      <c r="E125" s="165" t="s">
        <v>1852</v>
      </c>
      <c r="F125" s="165" t="s">
        <v>25</v>
      </c>
      <c r="G125" s="165">
        <v>6</v>
      </c>
      <c r="H125" s="165" t="s">
        <v>54</v>
      </c>
      <c r="I125" s="165" t="s">
        <v>31</v>
      </c>
      <c r="J125" s="165" t="s">
        <v>1071</v>
      </c>
      <c r="K125" s="165" t="s">
        <v>560</v>
      </c>
      <c r="L125" s="165" t="s">
        <v>31</v>
      </c>
      <c r="M125" s="165" t="s">
        <v>150</v>
      </c>
      <c r="N125" s="165">
        <v>98769</v>
      </c>
      <c r="O125" s="251" t="s">
        <v>151</v>
      </c>
      <c r="P125" s="252" t="s">
        <v>151</v>
      </c>
      <c r="Q125" s="165" t="s">
        <v>151</v>
      </c>
      <c r="R125" s="165" t="s">
        <v>1853</v>
      </c>
      <c r="S125" s="165" t="s">
        <v>1854</v>
      </c>
      <c r="T125" s="349" t="s">
        <v>1855</v>
      </c>
      <c r="U125" s="166" t="s">
        <v>1856</v>
      </c>
      <c r="V125" s="166">
        <v>29721</v>
      </c>
      <c r="W125" s="172" t="s">
        <v>1857</v>
      </c>
      <c r="X125" s="172" t="s">
        <v>179</v>
      </c>
      <c r="Y125" s="172" t="s">
        <v>163</v>
      </c>
      <c r="Z125" s="172" t="s">
        <v>158</v>
      </c>
      <c r="AA125" s="165">
        <v>5.5</v>
      </c>
      <c r="AB125" s="166">
        <v>42590</v>
      </c>
      <c r="AC125" s="287">
        <v>42430</v>
      </c>
      <c r="AD125" s="166"/>
      <c r="AE125" s="253" t="s">
        <v>1858</v>
      </c>
      <c r="AF125" s="165"/>
      <c r="AG125" s="165"/>
      <c r="AH125" s="165">
        <f t="shared" si="23"/>
        <v>1</v>
      </c>
      <c r="AI125" s="172" t="s">
        <v>161</v>
      </c>
      <c r="AJ125" s="165"/>
      <c r="AK125" s="165"/>
      <c r="AL125" s="165" t="s">
        <v>150</v>
      </c>
      <c r="AM125" s="165"/>
      <c r="AN125" s="165"/>
      <c r="AO125" s="165" t="s">
        <v>164</v>
      </c>
      <c r="AP125" s="172" t="s">
        <v>1859</v>
      </c>
      <c r="AQ125" s="172" t="s">
        <v>250</v>
      </c>
      <c r="AR125" s="172" t="s">
        <v>150</v>
      </c>
      <c r="AS125" s="172"/>
      <c r="AT125" s="36" t="s">
        <v>328</v>
      </c>
      <c r="AU125" s="165" t="s">
        <v>1860</v>
      </c>
      <c r="AV125" s="166"/>
      <c r="AW125" s="167">
        <v>42428</v>
      </c>
      <c r="AX125" s="167">
        <v>42681</v>
      </c>
      <c r="AY125" s="167" t="s">
        <v>150</v>
      </c>
      <c r="AZ125" s="167">
        <v>42752</v>
      </c>
      <c r="BA125" s="167">
        <v>42752</v>
      </c>
      <c r="BB125" s="166">
        <v>43116</v>
      </c>
      <c r="BC125" s="166"/>
      <c r="BD125" s="166"/>
      <c r="BE125" s="168" t="s">
        <v>1861</v>
      </c>
      <c r="BF125" s="167">
        <v>43309</v>
      </c>
      <c r="BG125" s="167" t="s">
        <v>150</v>
      </c>
      <c r="BH125" s="167">
        <v>43528</v>
      </c>
      <c r="BI125" s="167" t="s">
        <v>150</v>
      </c>
      <c r="BJ125" s="166"/>
      <c r="BK125" s="166"/>
      <c r="BL125" s="166"/>
      <c r="BM125" s="169">
        <v>44276</v>
      </c>
      <c r="BN125" s="165" t="s">
        <v>16</v>
      </c>
      <c r="BO125" s="165">
        <f t="shared" ref="BO125" si="31">DATEDIF(AW125,BM125, "M")+1</f>
        <v>61</v>
      </c>
      <c r="BP125" s="165">
        <f t="shared" ref="BP125:BP129" si="32">DATEDIF(AX125,BM125, "M")+1</f>
        <v>53</v>
      </c>
      <c r="BQ125" s="165"/>
      <c r="BR125" s="165">
        <v>4</v>
      </c>
      <c r="BS125" s="165">
        <v>2</v>
      </c>
      <c r="BT125" s="165">
        <v>0</v>
      </c>
      <c r="BU125" s="165">
        <v>0</v>
      </c>
      <c r="BV125" s="165">
        <v>1</v>
      </c>
      <c r="BW125" s="165">
        <v>0</v>
      </c>
      <c r="BX125" s="165">
        <v>0</v>
      </c>
      <c r="BY125" s="165" t="s">
        <v>163</v>
      </c>
      <c r="BZ125" s="165">
        <v>0</v>
      </c>
      <c r="CA125" s="165"/>
      <c r="CB125" s="170">
        <v>43907</v>
      </c>
      <c r="CC125" s="170">
        <v>44242</v>
      </c>
      <c r="CD125" s="165">
        <v>11</v>
      </c>
      <c r="CE125" s="165" t="s">
        <v>163</v>
      </c>
      <c r="CF125" s="165"/>
      <c r="CG125" s="165"/>
      <c r="CH125" s="376">
        <v>2</v>
      </c>
      <c r="CI125" s="165">
        <v>2</v>
      </c>
      <c r="CJ125" s="165"/>
      <c r="CK125" s="165" t="s">
        <v>1862</v>
      </c>
    </row>
    <row r="126" spans="1:102" ht="24.95" customHeight="1">
      <c r="A126" s="165">
        <v>129</v>
      </c>
      <c r="B126" s="165" t="s">
        <v>1863</v>
      </c>
      <c r="C126" s="165" t="s">
        <v>1864</v>
      </c>
      <c r="D126" s="165" t="s">
        <v>1865</v>
      </c>
      <c r="E126" s="165" t="s">
        <v>1866</v>
      </c>
      <c r="F126" s="165" t="s">
        <v>24</v>
      </c>
      <c r="G126" s="165">
        <v>6</v>
      </c>
      <c r="H126" s="165" t="s">
        <v>58</v>
      </c>
      <c r="I126" s="165" t="s">
        <v>45</v>
      </c>
      <c r="J126" s="165" t="s">
        <v>1867</v>
      </c>
      <c r="K126" s="165" t="s">
        <v>1868</v>
      </c>
      <c r="L126" s="165" t="s">
        <v>45</v>
      </c>
      <c r="M126" s="165" t="s">
        <v>150</v>
      </c>
      <c r="N126" s="254" t="s">
        <v>1869</v>
      </c>
      <c r="O126" s="255"/>
      <c r="P126" s="256" t="s">
        <v>151</v>
      </c>
      <c r="Q126" s="165" t="s">
        <v>151</v>
      </c>
      <c r="R126" s="386" t="s">
        <v>1870</v>
      </c>
      <c r="S126" s="386" t="s">
        <v>1871</v>
      </c>
      <c r="T126" s="350" t="s">
        <v>1872</v>
      </c>
      <c r="U126" s="166" t="s">
        <v>1873</v>
      </c>
      <c r="V126" s="166">
        <v>29976</v>
      </c>
      <c r="W126" s="172" t="s">
        <v>1874</v>
      </c>
      <c r="X126" s="172" t="s">
        <v>179</v>
      </c>
      <c r="Y126" s="172" t="s">
        <v>163</v>
      </c>
      <c r="Z126" s="172" t="s">
        <v>158</v>
      </c>
      <c r="AA126" s="165">
        <v>13.5</v>
      </c>
      <c r="AB126" s="166">
        <v>42036</v>
      </c>
      <c r="AC126" s="287">
        <v>42430</v>
      </c>
      <c r="AD126" s="166"/>
      <c r="AE126" s="37" t="s">
        <v>1875</v>
      </c>
      <c r="AF126" s="257"/>
      <c r="AG126" s="257"/>
      <c r="AH126" s="165">
        <f t="shared" si="23"/>
        <v>1</v>
      </c>
      <c r="AI126" s="172" t="s">
        <v>161</v>
      </c>
      <c r="AJ126" s="257"/>
      <c r="AK126" s="257"/>
      <c r="AL126" s="257" t="s">
        <v>150</v>
      </c>
      <c r="AM126" s="257"/>
      <c r="AN126" s="257"/>
      <c r="AO126" s="255" t="s">
        <v>164</v>
      </c>
      <c r="AP126" s="258" t="s">
        <v>370</v>
      </c>
      <c r="AQ126" s="258" t="s">
        <v>343</v>
      </c>
      <c r="AR126" s="255" t="s">
        <v>150</v>
      </c>
      <c r="AS126" s="255"/>
      <c r="AT126" s="418" t="s">
        <v>372</v>
      </c>
      <c r="AU126" s="165" t="s">
        <v>1876</v>
      </c>
      <c r="AV126" s="166"/>
      <c r="AW126" s="167">
        <v>42428</v>
      </c>
      <c r="AX126" s="167">
        <v>42675</v>
      </c>
      <c r="AY126" s="167" t="s">
        <v>150</v>
      </c>
      <c r="AZ126" s="167">
        <v>42430</v>
      </c>
      <c r="BA126" s="167">
        <v>42430</v>
      </c>
      <c r="BB126" s="167">
        <v>42461</v>
      </c>
      <c r="BC126" s="167"/>
      <c r="BD126" s="167"/>
      <c r="BE126" s="168" t="s">
        <v>1877</v>
      </c>
      <c r="BF126" s="167">
        <v>43309</v>
      </c>
      <c r="BG126" s="167" t="s">
        <v>150</v>
      </c>
      <c r="BH126" s="167">
        <v>43528</v>
      </c>
      <c r="BI126" s="167" t="s">
        <v>150</v>
      </c>
      <c r="BJ126" s="166">
        <v>43313</v>
      </c>
      <c r="BK126" s="166">
        <v>43313</v>
      </c>
      <c r="BL126" s="166">
        <v>43393</v>
      </c>
      <c r="BM126" s="169">
        <v>43398</v>
      </c>
      <c r="BN126" s="165" t="s">
        <v>16</v>
      </c>
      <c r="BO126" s="165">
        <f>DATEDIF(AW126,BM126, "M")+1</f>
        <v>32</v>
      </c>
      <c r="BP126" s="165">
        <f t="shared" si="32"/>
        <v>24</v>
      </c>
      <c r="BQ126" s="172" t="s">
        <v>1878</v>
      </c>
      <c r="BR126" s="165">
        <v>1</v>
      </c>
      <c r="BS126" s="165">
        <v>8</v>
      </c>
      <c r="BT126" s="165">
        <v>20</v>
      </c>
      <c r="BU126" s="165">
        <v>7</v>
      </c>
      <c r="BV126" s="165">
        <v>1</v>
      </c>
      <c r="BW126" s="165">
        <v>0</v>
      </c>
      <c r="BX126" s="165">
        <v>0</v>
      </c>
      <c r="BY126" s="165" t="s">
        <v>163</v>
      </c>
      <c r="BZ126" s="165">
        <v>0</v>
      </c>
      <c r="CA126" s="165"/>
      <c r="CB126" s="170"/>
      <c r="CC126" s="170"/>
      <c r="CD126" s="165"/>
      <c r="CE126" s="165" t="s">
        <v>163</v>
      </c>
      <c r="CF126" s="165"/>
      <c r="CG126" s="165"/>
      <c r="CH126" s="376">
        <v>2</v>
      </c>
      <c r="CI126" s="165">
        <v>2</v>
      </c>
      <c r="CJ126" s="165"/>
      <c r="CK126" s="165" t="s">
        <v>1862</v>
      </c>
    </row>
    <row r="127" spans="1:102" ht="24.95" customHeight="1">
      <c r="A127" s="165">
        <v>130</v>
      </c>
      <c r="B127" s="165" t="s">
        <v>1879</v>
      </c>
      <c r="C127" s="165" t="s">
        <v>1880</v>
      </c>
      <c r="D127" s="165"/>
      <c r="E127" s="165" t="s">
        <v>1881</v>
      </c>
      <c r="F127" s="165" t="s">
        <v>25</v>
      </c>
      <c r="G127" s="165">
        <v>6</v>
      </c>
      <c r="H127" s="165" t="s">
        <v>60</v>
      </c>
      <c r="I127" s="165" t="s">
        <v>35</v>
      </c>
      <c r="J127" s="165" t="s">
        <v>1882</v>
      </c>
      <c r="K127" s="165" t="s">
        <v>1883</v>
      </c>
      <c r="L127" s="165" t="s">
        <v>35</v>
      </c>
      <c r="M127" s="165" t="s">
        <v>150</v>
      </c>
      <c r="N127" s="165" t="s">
        <v>1884</v>
      </c>
      <c r="O127" s="251" t="s">
        <v>151</v>
      </c>
      <c r="P127" s="252" t="s">
        <v>151</v>
      </c>
      <c r="Q127" s="165" t="s">
        <v>151</v>
      </c>
      <c r="R127" s="165" t="s">
        <v>1885</v>
      </c>
      <c r="S127" s="165" t="s">
        <v>1886</v>
      </c>
      <c r="T127" s="349" t="s">
        <v>1887</v>
      </c>
      <c r="U127" s="166" t="s">
        <v>1888</v>
      </c>
      <c r="V127" s="166">
        <v>30230</v>
      </c>
      <c r="W127" s="172" t="s">
        <v>1889</v>
      </c>
      <c r="X127" s="172" t="s">
        <v>179</v>
      </c>
      <c r="Y127" s="172" t="s">
        <v>157</v>
      </c>
      <c r="Z127" s="172" t="s">
        <v>158</v>
      </c>
      <c r="AA127" s="165">
        <v>17.5</v>
      </c>
      <c r="AB127" s="166">
        <v>42638</v>
      </c>
      <c r="AC127" s="287">
        <v>42430</v>
      </c>
      <c r="AD127" s="166"/>
      <c r="AE127" s="253" t="s">
        <v>1890</v>
      </c>
      <c r="AF127" s="253" t="s">
        <v>1891</v>
      </c>
      <c r="AG127" s="165" t="s">
        <v>1892</v>
      </c>
      <c r="AH127" s="165">
        <f t="shared" ref="AH127:AH158" si="33">COUNTA(AE127:AG127)</f>
        <v>3</v>
      </c>
      <c r="AI127" s="172" t="s">
        <v>161</v>
      </c>
      <c r="AJ127" s="172" t="s">
        <v>161</v>
      </c>
      <c r="AK127" s="165" t="s">
        <v>1893</v>
      </c>
      <c r="AL127" s="165" t="s">
        <v>150</v>
      </c>
      <c r="AM127" s="165" t="s">
        <v>163</v>
      </c>
      <c r="AN127" s="165" t="s">
        <v>163</v>
      </c>
      <c r="AO127" s="165" t="s">
        <v>164</v>
      </c>
      <c r="AP127" s="172" t="s">
        <v>579</v>
      </c>
      <c r="AQ127" s="165" t="s">
        <v>203</v>
      </c>
      <c r="AR127" s="165" t="s">
        <v>150</v>
      </c>
      <c r="AS127" s="258" t="s">
        <v>1894</v>
      </c>
      <c r="AT127" s="36" t="s">
        <v>580</v>
      </c>
      <c r="AU127" s="165" t="s">
        <v>1895</v>
      </c>
      <c r="AV127" s="166"/>
      <c r="AW127" s="167">
        <v>42428</v>
      </c>
      <c r="AX127" s="167">
        <v>42681</v>
      </c>
      <c r="AY127" s="167" t="s">
        <v>150</v>
      </c>
      <c r="AZ127" s="167">
        <v>42745</v>
      </c>
      <c r="BA127" s="167">
        <v>42858</v>
      </c>
      <c r="BB127" s="167"/>
      <c r="BC127" s="167"/>
      <c r="BD127" s="167"/>
      <c r="BE127" s="168" t="s">
        <v>1889</v>
      </c>
      <c r="BF127" s="167">
        <v>43309</v>
      </c>
      <c r="BG127" s="167" t="s">
        <v>150</v>
      </c>
      <c r="BH127" s="167">
        <v>43528</v>
      </c>
      <c r="BI127" s="167" t="s">
        <v>150</v>
      </c>
      <c r="BJ127" s="166"/>
      <c r="BK127" s="166">
        <v>44476</v>
      </c>
      <c r="BL127" s="166"/>
      <c r="BM127" s="169">
        <v>44607</v>
      </c>
      <c r="BN127" s="165" t="s">
        <v>16</v>
      </c>
      <c r="BO127" s="165">
        <f t="shared" ref="BO127" si="34">DATEDIF(AW127,BM127, "M")+1</f>
        <v>72</v>
      </c>
      <c r="BP127" s="165">
        <f t="shared" si="32"/>
        <v>64</v>
      </c>
      <c r="BQ127" s="165" t="s">
        <v>1896</v>
      </c>
      <c r="BR127" s="165">
        <v>4</v>
      </c>
      <c r="BS127" s="165">
        <v>20</v>
      </c>
      <c r="BT127" s="165">
        <v>5</v>
      </c>
      <c r="BU127" s="165">
        <v>3</v>
      </c>
      <c r="BV127" s="165">
        <v>2</v>
      </c>
      <c r="BW127" s="165">
        <v>0</v>
      </c>
      <c r="BX127" s="165">
        <v>0</v>
      </c>
      <c r="BY127" s="165" t="s">
        <v>163</v>
      </c>
      <c r="BZ127" s="165">
        <v>0</v>
      </c>
      <c r="CA127" s="165"/>
      <c r="CB127" s="170"/>
      <c r="CC127" s="170"/>
      <c r="CD127" s="165"/>
      <c r="CE127" s="165" t="s">
        <v>163</v>
      </c>
      <c r="CF127" s="165"/>
      <c r="CG127" s="165"/>
      <c r="CH127" s="376">
        <v>2</v>
      </c>
      <c r="CI127" s="165">
        <v>4</v>
      </c>
      <c r="CJ127" s="165"/>
      <c r="CK127" s="165" t="s">
        <v>1897</v>
      </c>
    </row>
    <row r="128" spans="1:102" ht="24.95" customHeight="1">
      <c r="A128" s="165">
        <v>131</v>
      </c>
      <c r="B128" s="165" t="s">
        <v>1898</v>
      </c>
      <c r="C128" s="165" t="s">
        <v>619</v>
      </c>
      <c r="D128" s="165" t="s">
        <v>1899</v>
      </c>
      <c r="E128" s="165" t="s">
        <v>1900</v>
      </c>
      <c r="F128" s="165" t="s">
        <v>25</v>
      </c>
      <c r="G128" s="165">
        <v>6</v>
      </c>
      <c r="H128" s="165" t="s">
        <v>54</v>
      </c>
      <c r="I128" s="165" t="s">
        <v>39</v>
      </c>
      <c r="J128" s="165" t="s">
        <v>1901</v>
      </c>
      <c r="K128" s="165" t="s">
        <v>1901</v>
      </c>
      <c r="L128" s="165" t="s">
        <v>39</v>
      </c>
      <c r="M128" s="165" t="s">
        <v>150</v>
      </c>
      <c r="N128" s="171" t="s">
        <v>1902</v>
      </c>
      <c r="O128" s="259" t="s">
        <v>151</v>
      </c>
      <c r="P128" s="260" t="s">
        <v>151</v>
      </c>
      <c r="Q128" s="165" t="s">
        <v>151</v>
      </c>
      <c r="R128" s="165" t="s">
        <v>1903</v>
      </c>
      <c r="S128" s="165" t="s">
        <v>1904</v>
      </c>
      <c r="T128" s="350" t="s">
        <v>1905</v>
      </c>
      <c r="U128" s="166" t="s">
        <v>1906</v>
      </c>
      <c r="V128" s="166">
        <v>28952</v>
      </c>
      <c r="W128" s="172" t="s">
        <v>1907</v>
      </c>
      <c r="X128" s="172" t="s">
        <v>179</v>
      </c>
      <c r="Y128" s="172" t="s">
        <v>163</v>
      </c>
      <c r="Z128" s="172" t="s">
        <v>158</v>
      </c>
      <c r="AA128" s="165">
        <v>24.5</v>
      </c>
      <c r="AB128" s="166">
        <v>42683</v>
      </c>
      <c r="AC128" s="287">
        <v>42430</v>
      </c>
      <c r="AD128" s="166"/>
      <c r="AE128" s="37" t="s">
        <v>1908</v>
      </c>
      <c r="AF128" s="257" t="s">
        <v>1909</v>
      </c>
      <c r="AG128" s="257"/>
      <c r="AH128" s="165">
        <f t="shared" si="33"/>
        <v>2</v>
      </c>
      <c r="AI128" s="172" t="s">
        <v>161</v>
      </c>
      <c r="AJ128" s="257"/>
      <c r="AK128" s="257"/>
      <c r="AL128" s="257" t="s">
        <v>150</v>
      </c>
      <c r="AM128" s="257"/>
      <c r="AN128" s="257"/>
      <c r="AO128" s="257" t="s">
        <v>164</v>
      </c>
      <c r="AP128" s="172" t="s">
        <v>181</v>
      </c>
      <c r="AQ128" s="261" t="s">
        <v>250</v>
      </c>
      <c r="AR128" s="261" t="s">
        <v>150</v>
      </c>
      <c r="AS128" s="261" t="s">
        <v>915</v>
      </c>
      <c r="AT128" s="419" t="s">
        <v>1910</v>
      </c>
      <c r="AU128" s="165" t="s">
        <v>1911</v>
      </c>
      <c r="AV128" s="166"/>
      <c r="AW128" s="167">
        <v>42428</v>
      </c>
      <c r="AX128" s="167">
        <v>42681</v>
      </c>
      <c r="AY128" s="167" t="s">
        <v>150</v>
      </c>
      <c r="AZ128" s="167">
        <v>43034</v>
      </c>
      <c r="BA128" s="167">
        <v>43046</v>
      </c>
      <c r="BB128" s="167"/>
      <c r="BC128" s="167"/>
      <c r="BD128" s="167"/>
      <c r="BE128" s="168" t="s">
        <v>1912</v>
      </c>
      <c r="BF128" s="167">
        <v>43309</v>
      </c>
      <c r="BG128" s="167" t="s">
        <v>150</v>
      </c>
      <c r="BH128" s="167">
        <v>43528</v>
      </c>
      <c r="BI128" s="167" t="s">
        <v>150</v>
      </c>
      <c r="BJ128" s="166"/>
      <c r="BK128" s="166"/>
      <c r="BL128" s="166"/>
      <c r="BM128" s="169">
        <v>43637</v>
      </c>
      <c r="BN128" s="165" t="s">
        <v>16</v>
      </c>
      <c r="BO128" s="165">
        <f>DATEDIF(AW128,BM128, "M")+1</f>
        <v>40</v>
      </c>
      <c r="BP128" s="165">
        <f t="shared" si="32"/>
        <v>32</v>
      </c>
      <c r="BQ128" s="165"/>
      <c r="BR128" s="165">
        <v>2</v>
      </c>
      <c r="BS128" s="165">
        <v>3</v>
      </c>
      <c r="BT128" s="165">
        <v>0</v>
      </c>
      <c r="BU128" s="165">
        <v>0</v>
      </c>
      <c r="BV128" s="165">
        <v>0</v>
      </c>
      <c r="BW128" s="165">
        <v>0</v>
      </c>
      <c r="BX128" s="165">
        <v>0</v>
      </c>
      <c r="BY128" s="165" t="s">
        <v>163</v>
      </c>
      <c r="BZ128" s="165">
        <v>0</v>
      </c>
      <c r="CA128" s="165"/>
      <c r="CB128" s="170"/>
      <c r="CC128" s="170"/>
      <c r="CD128" s="165"/>
      <c r="CE128" s="165" t="s">
        <v>163</v>
      </c>
      <c r="CF128" s="165"/>
      <c r="CG128" s="165"/>
      <c r="CH128" s="376">
        <v>1</v>
      </c>
      <c r="CI128" s="165">
        <v>2</v>
      </c>
      <c r="CJ128" s="165"/>
      <c r="CK128" s="165" t="s">
        <v>809</v>
      </c>
    </row>
    <row r="129" spans="1:90" ht="24.95" customHeight="1">
      <c r="A129" s="165">
        <v>132</v>
      </c>
      <c r="B129" s="165" t="s">
        <v>1913</v>
      </c>
      <c r="C129" s="165" t="s">
        <v>1914</v>
      </c>
      <c r="D129" s="165"/>
      <c r="E129" s="165" t="s">
        <v>1915</v>
      </c>
      <c r="F129" s="165" t="s">
        <v>25</v>
      </c>
      <c r="G129" s="165">
        <v>6</v>
      </c>
      <c r="H129" s="165" t="s">
        <v>53</v>
      </c>
      <c r="I129" s="165" t="s">
        <v>46</v>
      </c>
      <c r="J129" s="165" t="s">
        <v>1916</v>
      </c>
      <c r="K129" s="165" t="s">
        <v>1917</v>
      </c>
      <c r="L129" s="165" t="s">
        <v>45</v>
      </c>
      <c r="M129" s="165" t="s">
        <v>163</v>
      </c>
      <c r="N129" s="165">
        <v>1598631</v>
      </c>
      <c r="O129" s="251" t="s">
        <v>322</v>
      </c>
      <c r="P129" s="252" t="s">
        <v>151</v>
      </c>
      <c r="Q129" s="165"/>
      <c r="R129" s="165" t="s">
        <v>1918</v>
      </c>
      <c r="S129" s="165" t="s">
        <v>1919</v>
      </c>
      <c r="T129" s="350" t="s">
        <v>1920</v>
      </c>
      <c r="U129" s="166" t="s">
        <v>575</v>
      </c>
      <c r="V129" s="166">
        <v>32242</v>
      </c>
      <c r="W129" s="172" t="s">
        <v>1921</v>
      </c>
      <c r="X129" s="172" t="s">
        <v>805</v>
      </c>
      <c r="Y129" s="172" t="s">
        <v>157</v>
      </c>
      <c r="Z129" s="172" t="s">
        <v>158</v>
      </c>
      <c r="AA129" s="165">
        <v>25</v>
      </c>
      <c r="AB129" s="166">
        <v>42622</v>
      </c>
      <c r="AC129" s="287">
        <v>42430</v>
      </c>
      <c r="AD129" s="166"/>
      <c r="AE129" s="253" t="s">
        <v>1922</v>
      </c>
      <c r="AF129" s="37" t="s">
        <v>1923</v>
      </c>
      <c r="AG129" s="165"/>
      <c r="AH129" s="165">
        <f t="shared" si="33"/>
        <v>2</v>
      </c>
      <c r="AI129" s="37" t="s">
        <v>162</v>
      </c>
      <c r="AJ129" s="172" t="s">
        <v>161</v>
      </c>
      <c r="AK129" s="165"/>
      <c r="AL129" s="165" t="s">
        <v>150</v>
      </c>
      <c r="AM129" s="165" t="s">
        <v>150</v>
      </c>
      <c r="AN129" s="165"/>
      <c r="AO129" s="165" t="s">
        <v>182</v>
      </c>
      <c r="AP129" s="172" t="s">
        <v>1924</v>
      </c>
      <c r="AQ129" s="165" t="s">
        <v>593</v>
      </c>
      <c r="AR129" s="165"/>
      <c r="AS129" s="165"/>
      <c r="AT129" s="36" t="s">
        <v>298</v>
      </c>
      <c r="AU129" s="165" t="s">
        <v>1925</v>
      </c>
      <c r="AV129" s="166"/>
      <c r="AW129" s="167">
        <v>42428</v>
      </c>
      <c r="AX129" s="167">
        <v>42681</v>
      </c>
      <c r="AY129" s="167" t="s">
        <v>150</v>
      </c>
      <c r="AZ129" s="167">
        <v>43257</v>
      </c>
      <c r="BA129" s="167">
        <v>43326</v>
      </c>
      <c r="BB129" s="167">
        <v>42992</v>
      </c>
      <c r="BC129" s="167"/>
      <c r="BD129" s="167"/>
      <c r="BE129" s="168" t="s">
        <v>1926</v>
      </c>
      <c r="BF129" s="167">
        <v>43309</v>
      </c>
      <c r="BG129" s="167" t="s">
        <v>150</v>
      </c>
      <c r="BH129" s="167">
        <v>43528</v>
      </c>
      <c r="BI129" s="167" t="s">
        <v>150</v>
      </c>
      <c r="BJ129" s="166">
        <v>45502</v>
      </c>
      <c r="BK129" s="166"/>
      <c r="BL129" s="166"/>
      <c r="BM129" s="169">
        <v>45610</v>
      </c>
      <c r="BN129" s="174" t="s">
        <v>16</v>
      </c>
      <c r="BO129" s="165">
        <f>DATEDIF(AW129,BM129, "M")+1</f>
        <v>105</v>
      </c>
      <c r="BP129" s="165">
        <f t="shared" si="32"/>
        <v>97</v>
      </c>
      <c r="BQ129" s="165" t="s">
        <v>1927</v>
      </c>
      <c r="BR129" s="165">
        <v>0</v>
      </c>
      <c r="BS129" s="165">
        <v>2</v>
      </c>
      <c r="BT129" s="165">
        <v>0</v>
      </c>
      <c r="BU129" s="165">
        <v>0</v>
      </c>
      <c r="BV129" s="165">
        <v>0</v>
      </c>
      <c r="BW129" s="165">
        <v>0</v>
      </c>
      <c r="BX129" s="165">
        <v>0</v>
      </c>
      <c r="BY129" s="165" t="s">
        <v>163</v>
      </c>
      <c r="BZ129" s="165">
        <v>0</v>
      </c>
      <c r="CA129" s="165"/>
      <c r="CB129" s="170"/>
      <c r="CC129" s="170"/>
      <c r="CD129" s="165"/>
      <c r="CE129" s="165" t="s">
        <v>163</v>
      </c>
      <c r="CF129" s="165"/>
      <c r="CG129" s="165"/>
      <c r="CH129" s="376">
        <v>0</v>
      </c>
      <c r="CI129" s="165" t="s">
        <v>168</v>
      </c>
      <c r="CJ129" s="165"/>
      <c r="CK129" s="165" t="s">
        <v>1822</v>
      </c>
    </row>
    <row r="130" spans="1:90" ht="24.95" customHeight="1">
      <c r="A130" s="165">
        <v>133</v>
      </c>
      <c r="B130" s="165" t="s">
        <v>1928</v>
      </c>
      <c r="C130" s="165" t="s">
        <v>1929</v>
      </c>
      <c r="D130" s="165" t="s">
        <v>1930</v>
      </c>
      <c r="E130" s="165" t="s">
        <v>1931</v>
      </c>
      <c r="F130" s="165" t="s">
        <v>24</v>
      </c>
      <c r="G130" s="165">
        <v>6</v>
      </c>
      <c r="H130" s="165" t="s">
        <v>60</v>
      </c>
      <c r="I130" s="165" t="s">
        <v>35</v>
      </c>
      <c r="J130" s="165" t="s">
        <v>1209</v>
      </c>
      <c r="K130" s="165" t="s">
        <v>1932</v>
      </c>
      <c r="L130" s="165" t="s">
        <v>35</v>
      </c>
      <c r="M130" s="165" t="s">
        <v>150</v>
      </c>
      <c r="N130" s="165" t="s">
        <v>1933</v>
      </c>
      <c r="O130" s="251" t="s">
        <v>151</v>
      </c>
      <c r="P130" s="252" t="s">
        <v>151</v>
      </c>
      <c r="Q130" s="165" t="s">
        <v>151</v>
      </c>
      <c r="R130" s="165" t="s">
        <v>1934</v>
      </c>
      <c r="S130" s="165" t="s">
        <v>1935</v>
      </c>
      <c r="T130" s="349" t="s">
        <v>1936</v>
      </c>
      <c r="U130" s="166" t="s">
        <v>1937</v>
      </c>
      <c r="V130" s="166">
        <v>26039</v>
      </c>
      <c r="W130" s="172" t="s">
        <v>1938</v>
      </c>
      <c r="X130" s="172" t="s">
        <v>179</v>
      </c>
      <c r="Y130" s="172" t="s">
        <v>163</v>
      </c>
      <c r="Z130" s="172" t="s">
        <v>158</v>
      </c>
      <c r="AA130" s="165">
        <v>8</v>
      </c>
      <c r="AB130" s="166">
        <v>42464</v>
      </c>
      <c r="AC130" s="287">
        <v>42430</v>
      </c>
      <c r="AD130" s="166"/>
      <c r="AE130" s="253" t="s">
        <v>1939</v>
      </c>
      <c r="AF130" s="37" t="s">
        <v>1940</v>
      </c>
      <c r="AG130" s="165"/>
      <c r="AH130" s="165">
        <f t="shared" si="33"/>
        <v>2</v>
      </c>
      <c r="AI130" s="172" t="s">
        <v>161</v>
      </c>
      <c r="AJ130" s="172" t="s">
        <v>161</v>
      </c>
      <c r="AK130" s="165"/>
      <c r="AL130" s="165" t="s">
        <v>163</v>
      </c>
      <c r="AM130" s="165" t="s">
        <v>150</v>
      </c>
      <c r="AN130" s="165"/>
      <c r="AO130" s="165" t="s">
        <v>164</v>
      </c>
      <c r="AP130" s="172" t="s">
        <v>203</v>
      </c>
      <c r="AQ130" s="38" t="s">
        <v>250</v>
      </c>
      <c r="AR130" s="165" t="s">
        <v>150</v>
      </c>
      <c r="AS130" s="165"/>
      <c r="AT130" s="36" t="s">
        <v>580</v>
      </c>
      <c r="AU130" s="165" t="s">
        <v>1941</v>
      </c>
      <c r="AV130" s="166"/>
      <c r="AW130" s="167">
        <v>42428</v>
      </c>
      <c r="AX130" s="167">
        <v>42681</v>
      </c>
      <c r="AY130" s="167" t="s">
        <v>150</v>
      </c>
      <c r="AZ130" s="167">
        <v>42564</v>
      </c>
      <c r="BA130" s="167">
        <v>42718</v>
      </c>
      <c r="BB130" s="165"/>
      <c r="BC130" s="165"/>
      <c r="BD130" s="165"/>
      <c r="BE130" s="168" t="s">
        <v>1942</v>
      </c>
      <c r="BF130" s="167">
        <v>43309</v>
      </c>
      <c r="BG130" s="167" t="s">
        <v>150</v>
      </c>
      <c r="BH130" s="167">
        <v>43528</v>
      </c>
      <c r="BI130" s="167" t="s">
        <v>150</v>
      </c>
      <c r="BJ130" s="166"/>
      <c r="BK130" s="166">
        <v>44511</v>
      </c>
      <c r="BL130" s="166"/>
      <c r="BM130" s="169">
        <v>44607</v>
      </c>
      <c r="BN130" s="165" t="s">
        <v>16</v>
      </c>
      <c r="BO130" s="165">
        <f t="shared" ref="BO130" si="35">DATEDIF(AW130,BM130, "M")+1</f>
        <v>72</v>
      </c>
      <c r="BP130" s="165">
        <f t="shared" ref="BP130:BP143" si="36">DATEDIF(AX130,BM130, "M")+1</f>
        <v>64</v>
      </c>
      <c r="BQ130" s="172" t="s">
        <v>1943</v>
      </c>
      <c r="BR130" s="165">
        <v>5</v>
      </c>
      <c r="BS130" s="165">
        <v>15</v>
      </c>
      <c r="BT130" s="165">
        <v>3</v>
      </c>
      <c r="BU130" s="165">
        <v>1</v>
      </c>
      <c r="BV130" s="165">
        <v>1</v>
      </c>
      <c r="BW130" s="165">
        <v>0</v>
      </c>
      <c r="BX130" s="165">
        <v>0</v>
      </c>
      <c r="BY130" s="165" t="s">
        <v>163</v>
      </c>
      <c r="BZ130" s="165">
        <v>0</v>
      </c>
      <c r="CA130" s="165"/>
      <c r="CB130" s="170"/>
      <c r="CC130" s="170"/>
      <c r="CD130" s="165"/>
      <c r="CE130" s="165" t="s">
        <v>163</v>
      </c>
      <c r="CF130" s="165"/>
      <c r="CG130" s="165"/>
      <c r="CH130" s="376">
        <v>4</v>
      </c>
      <c r="CI130" s="165">
        <v>4</v>
      </c>
      <c r="CJ130" s="165"/>
      <c r="CK130" s="165" t="s">
        <v>1822</v>
      </c>
    </row>
    <row r="131" spans="1:90" ht="24.95" customHeight="1">
      <c r="A131" s="165">
        <v>134</v>
      </c>
      <c r="B131" s="165" t="s">
        <v>1944</v>
      </c>
      <c r="C131" s="165" t="s">
        <v>1945</v>
      </c>
      <c r="D131" s="165" t="s">
        <v>1946</v>
      </c>
      <c r="E131" s="165" t="s">
        <v>1947</v>
      </c>
      <c r="F131" s="165" t="s">
        <v>25</v>
      </c>
      <c r="G131" s="165">
        <v>6</v>
      </c>
      <c r="H131" s="165" t="s">
        <v>54</v>
      </c>
      <c r="I131" s="165" t="s">
        <v>31</v>
      </c>
      <c r="J131" s="165" t="s">
        <v>936</v>
      </c>
      <c r="K131" s="165" t="s">
        <v>936</v>
      </c>
      <c r="L131" s="165" t="s">
        <v>31</v>
      </c>
      <c r="M131" s="165" t="s">
        <v>150</v>
      </c>
      <c r="N131" s="165">
        <v>121147</v>
      </c>
      <c r="O131" s="251" t="s">
        <v>322</v>
      </c>
      <c r="P131" s="252" t="s">
        <v>240</v>
      </c>
      <c r="Q131" s="165" t="s">
        <v>151</v>
      </c>
      <c r="R131" s="386" t="s">
        <v>1948</v>
      </c>
      <c r="S131" s="165" t="s">
        <v>1949</v>
      </c>
      <c r="T131" s="350" t="s">
        <v>1950</v>
      </c>
      <c r="U131" s="166" t="s">
        <v>1951</v>
      </c>
      <c r="V131" s="166">
        <v>30695</v>
      </c>
      <c r="W131" s="172" t="s">
        <v>1952</v>
      </c>
      <c r="X131" s="172" t="s">
        <v>179</v>
      </c>
      <c r="Y131" s="172" t="s">
        <v>163</v>
      </c>
      <c r="Z131" s="172" t="s">
        <v>158</v>
      </c>
      <c r="AA131" s="165">
        <v>17.5</v>
      </c>
      <c r="AB131" s="166">
        <v>41358</v>
      </c>
      <c r="AC131" s="287">
        <v>42430</v>
      </c>
      <c r="AD131" s="166"/>
      <c r="AE131" s="253" t="s">
        <v>1953</v>
      </c>
      <c r="AF131" s="165"/>
      <c r="AG131" s="165"/>
      <c r="AH131" s="165">
        <f t="shared" si="33"/>
        <v>1</v>
      </c>
      <c r="AI131" s="172" t="s">
        <v>161</v>
      </c>
      <c r="AJ131" s="172"/>
      <c r="AK131" s="165"/>
      <c r="AL131" s="165" t="s">
        <v>150</v>
      </c>
      <c r="AM131" s="165"/>
      <c r="AN131" s="165"/>
      <c r="AO131" s="165" t="s">
        <v>164</v>
      </c>
      <c r="AP131" s="172" t="s">
        <v>1954</v>
      </c>
      <c r="AQ131" s="165" t="s">
        <v>1955</v>
      </c>
      <c r="AR131" s="165" t="s">
        <v>150</v>
      </c>
      <c r="AS131" s="165"/>
      <c r="AT131" s="36" t="s">
        <v>328</v>
      </c>
      <c r="AU131" s="165" t="s">
        <v>1956</v>
      </c>
      <c r="AV131" s="166"/>
      <c r="AW131" s="167">
        <v>42428</v>
      </c>
      <c r="AX131" s="167">
        <v>42681</v>
      </c>
      <c r="AY131" s="167" t="s">
        <v>150</v>
      </c>
      <c r="AZ131" s="167">
        <v>42420</v>
      </c>
      <c r="BA131" s="167">
        <v>42500</v>
      </c>
      <c r="BB131" s="167">
        <v>42921</v>
      </c>
      <c r="BC131" s="167"/>
      <c r="BD131" s="167"/>
      <c r="BE131" s="168" t="s">
        <v>1957</v>
      </c>
      <c r="BF131" s="167">
        <v>43309</v>
      </c>
      <c r="BG131" s="167" t="s">
        <v>150</v>
      </c>
      <c r="BH131" s="167">
        <v>43528</v>
      </c>
      <c r="BI131" s="167" t="s">
        <v>150</v>
      </c>
      <c r="BJ131" s="166"/>
      <c r="BK131" s="166"/>
      <c r="BL131" s="166"/>
      <c r="BM131" s="169">
        <v>43585</v>
      </c>
      <c r="BN131" s="165" t="s">
        <v>16</v>
      </c>
      <c r="BO131" s="171">
        <f t="shared" ref="BO131:BO141" si="37">DATEDIF(AW131,BM131, "M")+1</f>
        <v>39</v>
      </c>
      <c r="BP131" s="165">
        <f t="shared" si="36"/>
        <v>30</v>
      </c>
      <c r="BQ131" s="165"/>
      <c r="BR131" s="165">
        <v>1</v>
      </c>
      <c r="BS131" s="165">
        <v>3</v>
      </c>
      <c r="BT131" s="165">
        <v>14</v>
      </c>
      <c r="BU131" s="165">
        <v>1</v>
      </c>
      <c r="BV131" s="165">
        <v>0</v>
      </c>
      <c r="BW131" s="165">
        <v>0</v>
      </c>
      <c r="BX131" s="165">
        <v>0</v>
      </c>
      <c r="BY131" s="165" t="s">
        <v>163</v>
      </c>
      <c r="BZ131" s="165">
        <v>0</v>
      </c>
      <c r="CA131" s="165"/>
      <c r="CB131" s="170"/>
      <c r="CC131" s="170"/>
      <c r="CD131" s="165"/>
      <c r="CE131" s="165" t="s">
        <v>163</v>
      </c>
      <c r="CF131" s="165"/>
      <c r="CG131" s="165"/>
      <c r="CH131" s="376">
        <v>0</v>
      </c>
      <c r="CI131" s="165">
        <v>0</v>
      </c>
      <c r="CJ131" s="165"/>
      <c r="CK131" s="165" t="s">
        <v>809</v>
      </c>
    </row>
    <row r="132" spans="1:90" ht="24.95" customHeight="1">
      <c r="A132" s="165">
        <v>135</v>
      </c>
      <c r="B132" s="165" t="s">
        <v>1958</v>
      </c>
      <c r="C132" s="165" t="s">
        <v>270</v>
      </c>
      <c r="D132" s="165" t="s">
        <v>1959</v>
      </c>
      <c r="E132" s="165" t="s">
        <v>1960</v>
      </c>
      <c r="F132" s="165" t="s">
        <v>25</v>
      </c>
      <c r="G132" s="165">
        <v>6</v>
      </c>
      <c r="H132" s="165" t="s">
        <v>54</v>
      </c>
      <c r="I132" s="165" t="s">
        <v>39</v>
      </c>
      <c r="J132" s="165" t="s">
        <v>1961</v>
      </c>
      <c r="K132" s="165" t="s">
        <v>1961</v>
      </c>
      <c r="L132" s="165" t="s">
        <v>39</v>
      </c>
      <c r="M132" s="165" t="s">
        <v>150</v>
      </c>
      <c r="N132" s="171" t="s">
        <v>1962</v>
      </c>
      <c r="O132" s="259" t="s">
        <v>151</v>
      </c>
      <c r="P132" s="260" t="s">
        <v>151</v>
      </c>
      <c r="Q132" s="165" t="s">
        <v>151</v>
      </c>
      <c r="R132" s="165" t="s">
        <v>1963</v>
      </c>
      <c r="S132" s="175" t="s">
        <v>1964</v>
      </c>
      <c r="T132" s="350" t="s">
        <v>1965</v>
      </c>
      <c r="U132" s="166" t="s">
        <v>1966</v>
      </c>
      <c r="V132" s="166">
        <v>29489</v>
      </c>
      <c r="W132" s="172" t="s">
        <v>1967</v>
      </c>
      <c r="X132" s="172" t="s">
        <v>179</v>
      </c>
      <c r="Y132" s="172" t="s">
        <v>163</v>
      </c>
      <c r="Z132" s="172" t="s">
        <v>158</v>
      </c>
      <c r="AA132" s="165">
        <v>22</v>
      </c>
      <c r="AB132" s="166">
        <v>42724</v>
      </c>
      <c r="AC132" s="287">
        <v>42430</v>
      </c>
      <c r="AD132" s="166"/>
      <c r="AE132" s="37" t="s">
        <v>1968</v>
      </c>
      <c r="AF132" s="165"/>
      <c r="AG132" s="165"/>
      <c r="AH132" s="165">
        <f t="shared" si="33"/>
        <v>1</v>
      </c>
      <c r="AI132" s="172" t="s">
        <v>161</v>
      </c>
      <c r="AJ132" s="172"/>
      <c r="AK132" s="165"/>
      <c r="AL132" s="165" t="s">
        <v>150</v>
      </c>
      <c r="AM132" s="165"/>
      <c r="AN132" s="165"/>
      <c r="AO132" s="171" t="s">
        <v>164</v>
      </c>
      <c r="AP132" s="262" t="s">
        <v>181</v>
      </c>
      <c r="AQ132" s="172" t="s">
        <v>1969</v>
      </c>
      <c r="AR132" s="171" t="s">
        <v>150</v>
      </c>
      <c r="AS132" s="171"/>
      <c r="AT132" s="419" t="s">
        <v>285</v>
      </c>
      <c r="AU132" s="165" t="s">
        <v>1970</v>
      </c>
      <c r="AV132" s="166"/>
      <c r="AW132" s="167">
        <v>42428</v>
      </c>
      <c r="AX132" s="167">
        <v>42681</v>
      </c>
      <c r="AY132" s="167" t="s">
        <v>150</v>
      </c>
      <c r="AZ132" s="167">
        <v>43202</v>
      </c>
      <c r="BA132" s="167">
        <v>43046</v>
      </c>
      <c r="BB132" s="167"/>
      <c r="BC132" s="167"/>
      <c r="BD132" s="167"/>
      <c r="BE132" s="168" t="s">
        <v>1971</v>
      </c>
      <c r="BF132" s="167">
        <v>43309</v>
      </c>
      <c r="BG132" s="167" t="s">
        <v>150</v>
      </c>
      <c r="BH132" s="167">
        <v>43528</v>
      </c>
      <c r="BI132" s="167" t="s">
        <v>150</v>
      </c>
      <c r="BJ132" s="166"/>
      <c r="BK132" s="166"/>
      <c r="BL132" s="166"/>
      <c r="BM132" s="169">
        <v>43678</v>
      </c>
      <c r="BN132" s="165" t="s">
        <v>16</v>
      </c>
      <c r="BO132" s="171">
        <f t="shared" si="37"/>
        <v>42</v>
      </c>
      <c r="BP132" s="165">
        <f t="shared" si="36"/>
        <v>33</v>
      </c>
      <c r="BQ132" s="165"/>
      <c r="BR132" s="165">
        <v>0</v>
      </c>
      <c r="BS132" s="165">
        <v>0</v>
      </c>
      <c r="BT132" s="165">
        <v>0</v>
      </c>
      <c r="BU132" s="165">
        <v>0</v>
      </c>
      <c r="BV132" s="165">
        <v>0</v>
      </c>
      <c r="BW132" s="165">
        <v>0</v>
      </c>
      <c r="BX132" s="165">
        <v>0</v>
      </c>
      <c r="BY132" s="165" t="s">
        <v>163</v>
      </c>
      <c r="BZ132" s="165">
        <v>0</v>
      </c>
      <c r="CA132" s="165"/>
      <c r="CB132" s="170"/>
      <c r="CC132" s="170"/>
      <c r="CD132" s="165"/>
      <c r="CE132" s="165" t="s">
        <v>163</v>
      </c>
      <c r="CF132" s="165"/>
      <c r="CG132" s="165"/>
      <c r="CH132" s="376">
        <v>2</v>
      </c>
      <c r="CI132" s="165">
        <v>2</v>
      </c>
      <c r="CJ132" s="165"/>
      <c r="CK132" s="165" t="s">
        <v>1822</v>
      </c>
    </row>
    <row r="133" spans="1:90" ht="24.95" customHeight="1">
      <c r="A133" s="165">
        <v>136</v>
      </c>
      <c r="B133" s="165" t="s">
        <v>1972</v>
      </c>
      <c r="C133" s="165" t="s">
        <v>1973</v>
      </c>
      <c r="D133" s="165" t="s">
        <v>1343</v>
      </c>
      <c r="E133" s="165" t="s">
        <v>1974</v>
      </c>
      <c r="F133" s="165" t="s">
        <v>25</v>
      </c>
      <c r="G133" s="165">
        <v>6</v>
      </c>
      <c r="H133" s="165" t="s">
        <v>53</v>
      </c>
      <c r="I133" s="165" t="s">
        <v>46</v>
      </c>
      <c r="J133" s="165" t="s">
        <v>1975</v>
      </c>
      <c r="K133" s="165" t="s">
        <v>1744</v>
      </c>
      <c r="L133" s="165" t="s">
        <v>44</v>
      </c>
      <c r="M133" s="165" t="s">
        <v>150</v>
      </c>
      <c r="N133" s="165" t="s">
        <v>1976</v>
      </c>
      <c r="O133" s="251" t="s">
        <v>151</v>
      </c>
      <c r="P133" s="252" t="s">
        <v>151</v>
      </c>
      <c r="Q133" s="165" t="s">
        <v>151</v>
      </c>
      <c r="R133" s="165" t="s">
        <v>1977</v>
      </c>
      <c r="S133" s="165" t="s">
        <v>1978</v>
      </c>
      <c r="T133" s="349" t="s">
        <v>1979</v>
      </c>
      <c r="U133" s="166" t="s">
        <v>1980</v>
      </c>
      <c r="V133" s="166">
        <v>28999</v>
      </c>
      <c r="W133" s="172" t="s">
        <v>1981</v>
      </c>
      <c r="X133" s="172" t="s">
        <v>179</v>
      </c>
      <c r="Y133" s="172" t="s">
        <v>163</v>
      </c>
      <c r="Z133" s="172" t="s">
        <v>158</v>
      </c>
      <c r="AA133" s="165">
        <v>7.5</v>
      </c>
      <c r="AB133" s="166">
        <v>41828</v>
      </c>
      <c r="AC133" s="287">
        <v>42430</v>
      </c>
      <c r="AD133" s="166"/>
      <c r="AE133" s="253" t="s">
        <v>1982</v>
      </c>
      <c r="AF133" s="253" t="s">
        <v>1983</v>
      </c>
      <c r="AG133" s="165" t="s">
        <v>1984</v>
      </c>
      <c r="AH133" s="165">
        <f t="shared" si="33"/>
        <v>3</v>
      </c>
      <c r="AI133" s="172" t="s">
        <v>161</v>
      </c>
      <c r="AJ133" s="172" t="s">
        <v>161</v>
      </c>
      <c r="AK133" s="172" t="s">
        <v>161</v>
      </c>
      <c r="AL133" s="172" t="s">
        <v>150</v>
      </c>
      <c r="AM133" s="172" t="s">
        <v>163</v>
      </c>
      <c r="AN133" s="172" t="s">
        <v>163</v>
      </c>
      <c r="AO133" s="172" t="s">
        <v>164</v>
      </c>
      <c r="AP133" s="172" t="s">
        <v>250</v>
      </c>
      <c r="AQ133" s="172" t="s">
        <v>250</v>
      </c>
      <c r="AR133" s="172" t="s">
        <v>150</v>
      </c>
      <c r="AS133" s="172"/>
      <c r="AT133" s="36" t="s">
        <v>298</v>
      </c>
      <c r="AU133" s="165" t="s">
        <v>1985</v>
      </c>
      <c r="AV133" s="166"/>
      <c r="AW133" s="167">
        <v>42428</v>
      </c>
      <c r="AX133" s="167">
        <v>42681</v>
      </c>
      <c r="AY133" s="167" t="s">
        <v>150</v>
      </c>
      <c r="AZ133" s="167">
        <v>42720</v>
      </c>
      <c r="BA133" s="167">
        <v>43048</v>
      </c>
      <c r="BB133" s="167"/>
      <c r="BC133" s="167"/>
      <c r="BD133" s="167"/>
      <c r="BE133" s="168" t="s">
        <v>1981</v>
      </c>
      <c r="BF133" s="167">
        <v>43309</v>
      </c>
      <c r="BG133" s="167" t="s">
        <v>150</v>
      </c>
      <c r="BH133" s="167">
        <v>43528</v>
      </c>
      <c r="BI133" s="167" t="s">
        <v>150</v>
      </c>
      <c r="BJ133" s="166"/>
      <c r="BK133" s="166">
        <v>43934</v>
      </c>
      <c r="BL133" s="166">
        <v>43948</v>
      </c>
      <c r="BM133" s="169">
        <v>43948</v>
      </c>
      <c r="BN133" s="165" t="s">
        <v>16</v>
      </c>
      <c r="BO133" s="171">
        <f t="shared" si="37"/>
        <v>50</v>
      </c>
      <c r="BP133" s="165">
        <f t="shared" si="36"/>
        <v>42</v>
      </c>
      <c r="BQ133" s="165"/>
      <c r="BR133" s="165">
        <v>3</v>
      </c>
      <c r="BS133" s="165">
        <v>2</v>
      </c>
      <c r="BT133" s="165">
        <v>2</v>
      </c>
      <c r="BU133" s="165">
        <v>1</v>
      </c>
      <c r="BV133" s="165">
        <v>0</v>
      </c>
      <c r="BW133" s="165">
        <v>0</v>
      </c>
      <c r="BX133" s="165">
        <v>0</v>
      </c>
      <c r="BY133" s="165" t="s">
        <v>163</v>
      </c>
      <c r="BZ133" s="165">
        <v>0</v>
      </c>
      <c r="CA133" s="165"/>
      <c r="CB133" s="170"/>
      <c r="CC133" s="170"/>
      <c r="CD133" s="165"/>
      <c r="CE133" s="165" t="s">
        <v>163</v>
      </c>
      <c r="CF133" s="165"/>
      <c r="CG133" s="165"/>
      <c r="CH133" s="376">
        <v>2</v>
      </c>
      <c r="CI133" s="165">
        <v>2</v>
      </c>
      <c r="CJ133" s="165"/>
      <c r="CK133" s="165" t="s">
        <v>1822</v>
      </c>
    </row>
    <row r="134" spans="1:90" ht="24.95" customHeight="1">
      <c r="A134" s="165">
        <v>137</v>
      </c>
      <c r="B134" s="165" t="s">
        <v>1986</v>
      </c>
      <c r="C134" s="165" t="s">
        <v>1987</v>
      </c>
      <c r="D134" s="165"/>
      <c r="E134" s="165" t="s">
        <v>1988</v>
      </c>
      <c r="F134" s="165" t="s">
        <v>25</v>
      </c>
      <c r="G134" s="165">
        <v>6</v>
      </c>
      <c r="H134" s="165" t="s">
        <v>54</v>
      </c>
      <c r="I134" s="165" t="s">
        <v>31</v>
      </c>
      <c r="J134" s="165" t="s">
        <v>1744</v>
      </c>
      <c r="K134" s="165" t="s">
        <v>1745</v>
      </c>
      <c r="L134" s="165" t="s">
        <v>31</v>
      </c>
      <c r="M134" s="165" t="s">
        <v>150</v>
      </c>
      <c r="N134" s="165">
        <v>136414</v>
      </c>
      <c r="O134" s="251" t="s">
        <v>151</v>
      </c>
      <c r="P134" s="252" t="s">
        <v>151</v>
      </c>
      <c r="Q134" s="165" t="s">
        <v>151</v>
      </c>
      <c r="R134" s="165" t="s">
        <v>1989</v>
      </c>
      <c r="S134" s="165" t="s">
        <v>1990</v>
      </c>
      <c r="T134" s="349" t="s">
        <v>1991</v>
      </c>
      <c r="U134" s="166" t="s">
        <v>1749</v>
      </c>
      <c r="V134" s="166">
        <v>28027</v>
      </c>
      <c r="W134" s="172" t="s">
        <v>1992</v>
      </c>
      <c r="X134" s="172" t="s">
        <v>179</v>
      </c>
      <c r="Y134" s="172" t="s">
        <v>163</v>
      </c>
      <c r="Z134" s="172" t="s">
        <v>158</v>
      </c>
      <c r="AA134" s="165">
        <v>18.5</v>
      </c>
      <c r="AB134" s="166">
        <v>41403</v>
      </c>
      <c r="AC134" s="287">
        <v>42430</v>
      </c>
      <c r="AD134" s="166"/>
      <c r="AE134" s="253" t="s">
        <v>1993</v>
      </c>
      <c r="AF134" s="253" t="s">
        <v>1994</v>
      </c>
      <c r="AG134" s="165"/>
      <c r="AH134" s="165">
        <f t="shared" si="33"/>
        <v>2</v>
      </c>
      <c r="AI134" s="172" t="s">
        <v>161</v>
      </c>
      <c r="AJ134" s="172" t="s">
        <v>161</v>
      </c>
      <c r="AK134" s="165"/>
      <c r="AL134" s="165" t="s">
        <v>150</v>
      </c>
      <c r="AM134" s="165"/>
      <c r="AN134" s="165"/>
      <c r="AO134" s="165" t="s">
        <v>164</v>
      </c>
      <c r="AP134" s="172" t="s">
        <v>445</v>
      </c>
      <c r="AQ134" s="165" t="s">
        <v>1440</v>
      </c>
      <c r="AR134" s="165" t="s">
        <v>150</v>
      </c>
      <c r="AS134" s="165"/>
      <c r="AT134" s="36" t="s">
        <v>328</v>
      </c>
      <c r="AU134" s="165" t="s">
        <v>1995</v>
      </c>
      <c r="AV134" s="166"/>
      <c r="AW134" s="167">
        <v>42428</v>
      </c>
      <c r="AX134" s="167">
        <v>42681</v>
      </c>
      <c r="AY134" s="167" t="s">
        <v>150</v>
      </c>
      <c r="AZ134" s="167">
        <v>42857</v>
      </c>
      <c r="BA134" s="167">
        <v>43049</v>
      </c>
      <c r="BB134" s="167">
        <v>43046</v>
      </c>
      <c r="BC134" s="167"/>
      <c r="BD134" s="167"/>
      <c r="BE134" s="168" t="s">
        <v>1996</v>
      </c>
      <c r="BF134" s="167">
        <v>43309</v>
      </c>
      <c r="BG134" s="167" t="s">
        <v>150</v>
      </c>
      <c r="BH134" s="167">
        <v>43528</v>
      </c>
      <c r="BI134" s="167" t="s">
        <v>150</v>
      </c>
      <c r="BJ134" s="166"/>
      <c r="BK134" s="166">
        <v>44442</v>
      </c>
      <c r="BL134" s="166">
        <v>44453</v>
      </c>
      <c r="BM134" s="169">
        <v>44453</v>
      </c>
      <c r="BN134" s="165" t="s">
        <v>16</v>
      </c>
      <c r="BO134" s="171">
        <f t="shared" si="37"/>
        <v>67</v>
      </c>
      <c r="BP134" s="165">
        <f t="shared" si="36"/>
        <v>59</v>
      </c>
      <c r="BQ134" s="165"/>
      <c r="BR134" s="165">
        <v>2</v>
      </c>
      <c r="BS134" s="165">
        <v>4</v>
      </c>
      <c r="BT134" s="165">
        <v>0</v>
      </c>
      <c r="BU134" s="165">
        <v>1</v>
      </c>
      <c r="BV134" s="165">
        <v>1</v>
      </c>
      <c r="BW134" s="165">
        <v>0</v>
      </c>
      <c r="BX134" s="165">
        <v>0</v>
      </c>
      <c r="BY134" s="165" t="s">
        <v>163</v>
      </c>
      <c r="BZ134" s="165">
        <v>0</v>
      </c>
      <c r="CA134" s="165"/>
      <c r="CB134" s="170"/>
      <c r="CC134" s="170"/>
      <c r="CD134" s="165"/>
      <c r="CE134" s="165" t="s">
        <v>163</v>
      </c>
      <c r="CF134" s="165"/>
      <c r="CG134" s="165"/>
      <c r="CH134" s="376">
        <v>1</v>
      </c>
      <c r="CI134" s="165">
        <v>2</v>
      </c>
      <c r="CJ134" s="165"/>
      <c r="CK134" s="165" t="s">
        <v>1822</v>
      </c>
    </row>
    <row r="135" spans="1:90" s="53" customFormat="1" ht="24.95" customHeight="1">
      <c r="A135" s="165">
        <v>138</v>
      </c>
      <c r="B135" s="165" t="s">
        <v>1997</v>
      </c>
      <c r="C135" s="165" t="s">
        <v>1998</v>
      </c>
      <c r="D135" s="165" t="s">
        <v>1999</v>
      </c>
      <c r="E135" s="165" t="s">
        <v>2000</v>
      </c>
      <c r="F135" s="165" t="s">
        <v>24</v>
      </c>
      <c r="G135" s="165">
        <v>6</v>
      </c>
      <c r="H135" s="165" t="s">
        <v>54</v>
      </c>
      <c r="I135" s="165" t="s">
        <v>39</v>
      </c>
      <c r="J135" s="165" t="s">
        <v>602</v>
      </c>
      <c r="K135" s="165" t="s">
        <v>290</v>
      </c>
      <c r="L135" s="165" t="s">
        <v>39</v>
      </c>
      <c r="M135" s="165" t="s">
        <v>150</v>
      </c>
      <c r="N135" s="165" t="s">
        <v>2001</v>
      </c>
      <c r="O135" s="251" t="s">
        <v>151</v>
      </c>
      <c r="P135" s="252" t="s">
        <v>151</v>
      </c>
      <c r="Q135" s="165" t="s">
        <v>151</v>
      </c>
      <c r="R135" s="165" t="s">
        <v>2002</v>
      </c>
      <c r="S135" s="165" t="s">
        <v>2003</v>
      </c>
      <c r="T135" s="349" t="s">
        <v>2004</v>
      </c>
      <c r="U135" s="166" t="s">
        <v>789</v>
      </c>
      <c r="V135" s="166">
        <v>26659</v>
      </c>
      <c r="W135" s="172" t="s">
        <v>2005</v>
      </c>
      <c r="X135" s="172" t="s">
        <v>179</v>
      </c>
      <c r="Y135" s="172" t="s">
        <v>163</v>
      </c>
      <c r="Z135" s="172" t="s">
        <v>158</v>
      </c>
      <c r="AA135" s="165">
        <v>15.5</v>
      </c>
      <c r="AB135" s="166">
        <v>41862</v>
      </c>
      <c r="AC135" s="287">
        <v>42430</v>
      </c>
      <c r="AD135" s="166"/>
      <c r="AE135" s="253" t="s">
        <v>2006</v>
      </c>
      <c r="AF135" s="253" t="s">
        <v>2007</v>
      </c>
      <c r="AG135" s="165"/>
      <c r="AH135" s="165">
        <f t="shared" si="33"/>
        <v>2</v>
      </c>
      <c r="AI135" s="172" t="s">
        <v>161</v>
      </c>
      <c r="AJ135" s="172" t="s">
        <v>161</v>
      </c>
      <c r="AK135" s="165"/>
      <c r="AL135" s="165" t="s">
        <v>163</v>
      </c>
      <c r="AM135" s="165" t="s">
        <v>150</v>
      </c>
      <c r="AN135" s="165"/>
      <c r="AO135" s="165" t="s">
        <v>164</v>
      </c>
      <c r="AP135" s="172" t="s">
        <v>250</v>
      </c>
      <c r="AQ135" s="258" t="s">
        <v>313</v>
      </c>
      <c r="AR135" s="172" t="s">
        <v>150</v>
      </c>
      <c r="AS135" s="172"/>
      <c r="AT135" s="36" t="s">
        <v>285</v>
      </c>
      <c r="AU135" s="165" t="s">
        <v>2008</v>
      </c>
      <c r="AV135" s="166"/>
      <c r="AW135" s="167">
        <v>42428</v>
      </c>
      <c r="AX135" s="167">
        <v>42681</v>
      </c>
      <c r="AY135" s="167" t="s">
        <v>150</v>
      </c>
      <c r="AZ135" s="167">
        <v>43069</v>
      </c>
      <c r="BA135" s="167">
        <v>43130</v>
      </c>
      <c r="BB135" s="166">
        <v>43130</v>
      </c>
      <c r="BC135" s="166"/>
      <c r="BD135" s="166"/>
      <c r="BE135" s="168" t="s">
        <v>2009</v>
      </c>
      <c r="BF135" s="167">
        <v>43309</v>
      </c>
      <c r="BG135" s="167" t="s">
        <v>150</v>
      </c>
      <c r="BH135" s="167">
        <v>43528</v>
      </c>
      <c r="BI135" s="167" t="s">
        <v>150</v>
      </c>
      <c r="BJ135" s="166"/>
      <c r="BK135" s="166"/>
      <c r="BL135" s="166"/>
      <c r="BM135" s="169">
        <v>43813</v>
      </c>
      <c r="BN135" s="165" t="s">
        <v>16</v>
      </c>
      <c r="BO135" s="171">
        <f t="shared" si="37"/>
        <v>46</v>
      </c>
      <c r="BP135" s="165">
        <f t="shared" si="36"/>
        <v>38</v>
      </c>
      <c r="BQ135" s="165"/>
      <c r="BR135" s="165">
        <v>11</v>
      </c>
      <c r="BS135" s="165">
        <v>7</v>
      </c>
      <c r="BT135" s="165">
        <v>5</v>
      </c>
      <c r="BU135" s="165">
        <v>0</v>
      </c>
      <c r="BV135" s="165">
        <v>1</v>
      </c>
      <c r="BW135" s="165">
        <v>0</v>
      </c>
      <c r="BX135" s="165">
        <v>0</v>
      </c>
      <c r="BY135" s="165" t="s">
        <v>163</v>
      </c>
      <c r="BZ135" s="165">
        <v>0</v>
      </c>
      <c r="CA135" s="165"/>
      <c r="CB135" s="170"/>
      <c r="CC135" s="170"/>
      <c r="CD135" s="165"/>
      <c r="CE135" s="165" t="s">
        <v>163</v>
      </c>
      <c r="CF135" s="165"/>
      <c r="CG135" s="165"/>
      <c r="CH135" s="376">
        <v>3</v>
      </c>
      <c r="CI135" s="165">
        <v>3</v>
      </c>
      <c r="CJ135" s="165"/>
      <c r="CK135" s="165" t="s">
        <v>1822</v>
      </c>
      <c r="CL135"/>
    </row>
    <row r="136" spans="1:90" s="53" customFormat="1" ht="24.95" customHeight="1">
      <c r="A136" s="165">
        <v>139</v>
      </c>
      <c r="B136" s="165" t="s">
        <v>2010</v>
      </c>
      <c r="C136" s="165" t="s">
        <v>2011</v>
      </c>
      <c r="D136" s="165"/>
      <c r="E136" s="165" t="s">
        <v>2012</v>
      </c>
      <c r="F136" s="165" t="s">
        <v>24</v>
      </c>
      <c r="G136" s="165">
        <v>6</v>
      </c>
      <c r="H136" s="165" t="s">
        <v>55</v>
      </c>
      <c r="I136" s="165" t="s">
        <v>43</v>
      </c>
      <c r="J136" s="165" t="s">
        <v>2013</v>
      </c>
      <c r="K136" s="165" t="s">
        <v>2014</v>
      </c>
      <c r="L136" s="165" t="s">
        <v>45</v>
      </c>
      <c r="M136" s="165" t="s">
        <v>163</v>
      </c>
      <c r="N136" s="165">
        <v>1586122</v>
      </c>
      <c r="O136" s="251" t="s">
        <v>151</v>
      </c>
      <c r="P136" s="252" t="s">
        <v>151</v>
      </c>
      <c r="Q136" s="165" t="s">
        <v>151</v>
      </c>
      <c r="R136" s="165" t="s">
        <v>2015</v>
      </c>
      <c r="S136" s="165" t="s">
        <v>2016</v>
      </c>
      <c r="T136" s="349" t="s">
        <v>2017</v>
      </c>
      <c r="U136" s="166" t="s">
        <v>2018</v>
      </c>
      <c r="V136" s="166">
        <v>27124</v>
      </c>
      <c r="W136" s="172" t="s">
        <v>2019</v>
      </c>
      <c r="X136" s="172" t="s">
        <v>156</v>
      </c>
      <c r="Y136" s="172" t="s">
        <v>163</v>
      </c>
      <c r="Z136" s="172" t="s">
        <v>158</v>
      </c>
      <c r="AA136" s="165">
        <v>36</v>
      </c>
      <c r="AB136" s="166">
        <v>42782</v>
      </c>
      <c r="AC136" s="287">
        <v>42430</v>
      </c>
      <c r="AD136" s="166"/>
      <c r="AE136" s="253" t="s">
        <v>2020</v>
      </c>
      <c r="AF136" s="253" t="s">
        <v>2021</v>
      </c>
      <c r="AG136" s="165"/>
      <c r="AH136" s="165">
        <f t="shared" si="33"/>
        <v>2</v>
      </c>
      <c r="AI136" s="172" t="s">
        <v>282</v>
      </c>
      <c r="AJ136" s="172" t="s">
        <v>202</v>
      </c>
      <c r="AK136" s="165"/>
      <c r="AL136" s="165" t="s">
        <v>163</v>
      </c>
      <c r="AM136" s="165" t="s">
        <v>150</v>
      </c>
      <c r="AN136" s="165"/>
      <c r="AO136" s="165" t="s">
        <v>164</v>
      </c>
      <c r="AP136" s="172" t="s">
        <v>2022</v>
      </c>
      <c r="AQ136" s="165" t="s">
        <v>250</v>
      </c>
      <c r="AR136" s="165" t="s">
        <v>150</v>
      </c>
      <c r="AS136" s="165"/>
      <c r="AT136" s="36" t="s">
        <v>219</v>
      </c>
      <c r="AU136" s="165" t="s">
        <v>2023</v>
      </c>
      <c r="AV136" s="166"/>
      <c r="AW136" s="167">
        <v>42428</v>
      </c>
      <c r="AX136" s="167">
        <v>42681</v>
      </c>
      <c r="AY136" s="167" t="s">
        <v>150</v>
      </c>
      <c r="AZ136" s="167">
        <v>42993</v>
      </c>
      <c r="BA136" s="167">
        <v>43174</v>
      </c>
      <c r="BB136" s="167"/>
      <c r="BC136" s="167"/>
      <c r="BD136" s="167"/>
      <c r="BE136" s="168"/>
      <c r="BF136" s="167">
        <v>43675</v>
      </c>
      <c r="BG136" s="167" t="s">
        <v>163</v>
      </c>
      <c r="BH136" s="167">
        <v>43891</v>
      </c>
      <c r="BI136" s="167" t="s">
        <v>163</v>
      </c>
      <c r="BJ136" s="166"/>
      <c r="BK136" s="166"/>
      <c r="BL136" s="166"/>
      <c r="BM136" s="169">
        <v>44067</v>
      </c>
      <c r="BN136" s="165" t="s">
        <v>16</v>
      </c>
      <c r="BO136" s="171">
        <f t="shared" si="37"/>
        <v>54</v>
      </c>
      <c r="BP136" s="165">
        <f t="shared" si="36"/>
        <v>46</v>
      </c>
      <c r="BQ136" s="172" t="s">
        <v>2024</v>
      </c>
      <c r="BR136" s="165">
        <v>0</v>
      </c>
      <c r="BS136" s="165">
        <v>1</v>
      </c>
      <c r="BT136" s="165">
        <v>1</v>
      </c>
      <c r="BU136" s="165">
        <v>1</v>
      </c>
      <c r="BV136" s="165">
        <v>0</v>
      </c>
      <c r="BW136" s="165">
        <v>0</v>
      </c>
      <c r="BX136" s="165">
        <v>0</v>
      </c>
      <c r="BY136" s="165" t="s">
        <v>163</v>
      </c>
      <c r="BZ136" s="165">
        <v>0</v>
      </c>
      <c r="CA136" s="165"/>
      <c r="CB136" s="170"/>
      <c r="CC136" s="170"/>
      <c r="CD136" s="165"/>
      <c r="CE136" s="165" t="s">
        <v>163</v>
      </c>
      <c r="CF136" s="165"/>
      <c r="CG136" s="165"/>
      <c r="CH136" s="376">
        <v>2</v>
      </c>
      <c r="CI136" s="165">
        <v>2</v>
      </c>
      <c r="CJ136" s="165"/>
      <c r="CK136" s="165" t="s">
        <v>809</v>
      </c>
      <c r="CL136"/>
    </row>
    <row r="137" spans="1:90" s="53" customFormat="1" ht="24.95" customHeight="1">
      <c r="A137" s="165">
        <v>140</v>
      </c>
      <c r="B137" s="165" t="s">
        <v>2025</v>
      </c>
      <c r="C137" s="165" t="s">
        <v>629</v>
      </c>
      <c r="D137" s="165" t="s">
        <v>2026</v>
      </c>
      <c r="E137" s="165" t="s">
        <v>2027</v>
      </c>
      <c r="F137" s="165" t="s">
        <v>24</v>
      </c>
      <c r="G137" s="165">
        <v>6</v>
      </c>
      <c r="H137" s="165" t="s">
        <v>52</v>
      </c>
      <c r="I137" s="165" t="s">
        <v>42</v>
      </c>
      <c r="J137" s="165" t="s">
        <v>2028</v>
      </c>
      <c r="K137" s="165" t="s">
        <v>2029</v>
      </c>
      <c r="L137" s="165" t="s">
        <v>42</v>
      </c>
      <c r="M137" s="165" t="s">
        <v>150</v>
      </c>
      <c r="N137" s="165" t="s">
        <v>2030</v>
      </c>
      <c r="O137" s="251" t="s">
        <v>151</v>
      </c>
      <c r="P137" s="252" t="s">
        <v>151</v>
      </c>
      <c r="Q137" s="165" t="s">
        <v>151</v>
      </c>
      <c r="R137" s="165" t="s">
        <v>2031</v>
      </c>
      <c r="S137" s="165" t="s">
        <v>2032</v>
      </c>
      <c r="T137" s="349" t="s">
        <v>2033</v>
      </c>
      <c r="U137" s="166" t="s">
        <v>2034</v>
      </c>
      <c r="V137" s="166">
        <v>27626</v>
      </c>
      <c r="W137" s="172" t="s">
        <v>2035</v>
      </c>
      <c r="X137" s="172" t="s">
        <v>179</v>
      </c>
      <c r="Y137" s="172" t="s">
        <v>163</v>
      </c>
      <c r="Z137" s="172" t="s">
        <v>158</v>
      </c>
      <c r="AA137" s="165">
        <v>23.5</v>
      </c>
      <c r="AB137" s="166">
        <v>42272</v>
      </c>
      <c r="AC137" s="287">
        <v>42430</v>
      </c>
      <c r="AD137" s="166"/>
      <c r="AE137" s="253" t="s">
        <v>2036</v>
      </c>
      <c r="AF137" s="253" t="s">
        <v>2037</v>
      </c>
      <c r="AG137" s="165"/>
      <c r="AH137" s="165">
        <f t="shared" si="33"/>
        <v>2</v>
      </c>
      <c r="AI137" s="172" t="s">
        <v>161</v>
      </c>
      <c r="AJ137" s="172" t="s">
        <v>161</v>
      </c>
      <c r="AK137" s="165"/>
      <c r="AL137" s="165" t="s">
        <v>150</v>
      </c>
      <c r="AM137" s="165"/>
      <c r="AN137" s="165"/>
      <c r="AO137" s="165" t="s">
        <v>164</v>
      </c>
      <c r="AP137" s="172" t="s">
        <v>203</v>
      </c>
      <c r="AQ137" s="172" t="s">
        <v>250</v>
      </c>
      <c r="AR137" s="172" t="s">
        <v>150</v>
      </c>
      <c r="AS137" s="172"/>
      <c r="AT137" s="36" t="s">
        <v>420</v>
      </c>
      <c r="AU137" s="165" t="s">
        <v>2038</v>
      </c>
      <c r="AV137" s="166"/>
      <c r="AW137" s="167">
        <v>42428</v>
      </c>
      <c r="AX137" s="167">
        <v>42681</v>
      </c>
      <c r="AY137" s="167" t="s">
        <v>150</v>
      </c>
      <c r="AZ137" s="167">
        <v>42228</v>
      </c>
      <c r="BA137" s="167">
        <v>42249</v>
      </c>
      <c r="BB137" s="167"/>
      <c r="BC137" s="167"/>
      <c r="BD137" s="167"/>
      <c r="BE137" s="168" t="s">
        <v>2039</v>
      </c>
      <c r="BF137" s="167">
        <v>43309</v>
      </c>
      <c r="BG137" s="167" t="s">
        <v>150</v>
      </c>
      <c r="BH137" s="167">
        <v>43528</v>
      </c>
      <c r="BI137" s="167" t="s">
        <v>150</v>
      </c>
      <c r="BJ137" s="166"/>
      <c r="BK137" s="166"/>
      <c r="BL137" s="166"/>
      <c r="BM137" s="169">
        <v>43819</v>
      </c>
      <c r="BN137" s="165" t="s">
        <v>16</v>
      </c>
      <c r="BO137" s="171">
        <f t="shared" si="37"/>
        <v>46</v>
      </c>
      <c r="BP137" s="165">
        <f t="shared" si="36"/>
        <v>38</v>
      </c>
      <c r="BQ137" s="165"/>
      <c r="BR137" s="165">
        <v>11</v>
      </c>
      <c r="BS137" s="165">
        <v>3</v>
      </c>
      <c r="BT137" s="165">
        <v>5</v>
      </c>
      <c r="BU137" s="165">
        <v>2</v>
      </c>
      <c r="BV137" s="165">
        <v>0</v>
      </c>
      <c r="BW137" s="165">
        <v>0</v>
      </c>
      <c r="BX137" s="165">
        <v>0</v>
      </c>
      <c r="BY137" s="165" t="s">
        <v>163</v>
      </c>
      <c r="BZ137" s="165">
        <v>0</v>
      </c>
      <c r="CA137" s="165"/>
      <c r="CB137" s="170"/>
      <c r="CC137" s="170"/>
      <c r="CD137" s="165"/>
      <c r="CE137" s="165" t="s">
        <v>163</v>
      </c>
      <c r="CF137" s="165"/>
      <c r="CG137" s="165"/>
      <c r="CH137" s="376">
        <v>3</v>
      </c>
      <c r="CI137" s="165">
        <v>3</v>
      </c>
      <c r="CJ137" s="165"/>
      <c r="CK137" s="165" t="s">
        <v>809</v>
      </c>
      <c r="CL137"/>
    </row>
    <row r="138" spans="1:90" s="53" customFormat="1" ht="24.95" customHeight="1">
      <c r="A138" s="165">
        <v>141</v>
      </c>
      <c r="B138" s="165" t="s">
        <v>2040</v>
      </c>
      <c r="C138" s="165" t="s">
        <v>2041</v>
      </c>
      <c r="D138" s="165" t="s">
        <v>2042</v>
      </c>
      <c r="E138" s="165" t="s">
        <v>2043</v>
      </c>
      <c r="F138" s="165" t="s">
        <v>24</v>
      </c>
      <c r="G138" s="165">
        <v>6</v>
      </c>
      <c r="H138" s="165" t="s">
        <v>58</v>
      </c>
      <c r="I138" s="165" t="s">
        <v>45</v>
      </c>
      <c r="J138" s="165" t="s">
        <v>2044</v>
      </c>
      <c r="K138" s="165" t="s">
        <v>2045</v>
      </c>
      <c r="L138" s="165" t="s">
        <v>45</v>
      </c>
      <c r="M138" s="165" t="s">
        <v>150</v>
      </c>
      <c r="N138" s="165">
        <v>781183</v>
      </c>
      <c r="O138" s="251" t="s">
        <v>151</v>
      </c>
      <c r="P138" s="252" t="s">
        <v>151</v>
      </c>
      <c r="Q138" s="165" t="s">
        <v>151</v>
      </c>
      <c r="R138" s="165" t="s">
        <v>2046</v>
      </c>
      <c r="S138" s="165" t="s">
        <v>2047</v>
      </c>
      <c r="T138" s="350" t="s">
        <v>2048</v>
      </c>
      <c r="U138" s="166" t="s">
        <v>2049</v>
      </c>
      <c r="V138" s="166">
        <v>30471</v>
      </c>
      <c r="W138" s="172" t="s">
        <v>2050</v>
      </c>
      <c r="X138" s="172" t="s">
        <v>179</v>
      </c>
      <c r="Y138" s="172" t="s">
        <v>163</v>
      </c>
      <c r="Z138" s="172" t="s">
        <v>158</v>
      </c>
      <c r="AA138" s="165">
        <v>28</v>
      </c>
      <c r="AB138" s="166">
        <v>42036</v>
      </c>
      <c r="AC138" s="287">
        <v>42430</v>
      </c>
      <c r="AD138" s="166"/>
      <c r="AE138" s="253" t="s">
        <v>2051</v>
      </c>
      <c r="AF138" s="253" t="s">
        <v>2052</v>
      </c>
      <c r="AG138" s="165"/>
      <c r="AH138" s="165">
        <f t="shared" si="33"/>
        <v>2</v>
      </c>
      <c r="AI138" s="172" t="s">
        <v>282</v>
      </c>
      <c r="AJ138" s="165" t="s">
        <v>202</v>
      </c>
      <c r="AK138" s="165"/>
      <c r="AL138" s="165" t="s">
        <v>163</v>
      </c>
      <c r="AM138" s="165" t="s">
        <v>163</v>
      </c>
      <c r="AN138" s="165"/>
      <c r="AO138" s="165" t="s">
        <v>182</v>
      </c>
      <c r="AP138" s="172" t="s">
        <v>2053</v>
      </c>
      <c r="AQ138" s="38" t="s">
        <v>182</v>
      </c>
      <c r="AR138" s="165"/>
      <c r="AS138" s="165"/>
      <c r="AT138" s="36" t="s">
        <v>372</v>
      </c>
      <c r="AU138" s="165" t="s">
        <v>2054</v>
      </c>
      <c r="AV138" s="166"/>
      <c r="AW138" s="167">
        <v>42428</v>
      </c>
      <c r="AX138" s="167">
        <v>42681</v>
      </c>
      <c r="AY138" s="167" t="s">
        <v>150</v>
      </c>
      <c r="AZ138" s="167"/>
      <c r="BA138" s="167"/>
      <c r="BB138" s="167"/>
      <c r="BC138" s="167"/>
      <c r="BD138" s="167"/>
      <c r="BE138" s="168" t="s">
        <v>2055</v>
      </c>
      <c r="BF138" s="167">
        <v>43309</v>
      </c>
      <c r="BG138" s="167" t="s">
        <v>150</v>
      </c>
      <c r="BH138" s="167">
        <v>43528</v>
      </c>
      <c r="BI138" s="167" t="s">
        <v>150</v>
      </c>
      <c r="BJ138" s="166">
        <v>44680</v>
      </c>
      <c r="BK138" s="166"/>
      <c r="BL138" s="166"/>
      <c r="BM138" s="169">
        <v>44718</v>
      </c>
      <c r="BN138" s="174" t="s">
        <v>16</v>
      </c>
      <c r="BO138" s="171">
        <f t="shared" si="37"/>
        <v>76</v>
      </c>
      <c r="BP138" s="165">
        <f t="shared" si="36"/>
        <v>67</v>
      </c>
      <c r="BQ138" s="172" t="s">
        <v>2056</v>
      </c>
      <c r="BR138" s="165">
        <v>0</v>
      </c>
      <c r="BS138" s="165">
        <v>18</v>
      </c>
      <c r="BT138" s="165">
        <v>0</v>
      </c>
      <c r="BU138" s="165">
        <v>1</v>
      </c>
      <c r="BV138" s="165">
        <v>0</v>
      </c>
      <c r="BW138" s="165">
        <v>0</v>
      </c>
      <c r="BX138" s="165">
        <v>0</v>
      </c>
      <c r="BY138" s="165" t="s">
        <v>163</v>
      </c>
      <c r="BZ138" s="165">
        <v>0</v>
      </c>
      <c r="CA138" s="165"/>
      <c r="CB138" s="170"/>
      <c r="CC138" s="170"/>
      <c r="CD138" s="165"/>
      <c r="CE138" s="165" t="s">
        <v>163</v>
      </c>
      <c r="CF138" s="165"/>
      <c r="CG138" s="165"/>
      <c r="CH138" s="376">
        <v>3</v>
      </c>
      <c r="CI138" s="165">
        <v>3</v>
      </c>
      <c r="CJ138" s="165"/>
      <c r="CK138" s="165" t="s">
        <v>809</v>
      </c>
      <c r="CL138"/>
    </row>
    <row r="139" spans="1:90" s="53" customFormat="1" ht="24.95" customHeight="1">
      <c r="A139" s="165">
        <v>142</v>
      </c>
      <c r="B139" s="165" t="s">
        <v>2057</v>
      </c>
      <c r="C139" s="165" t="s">
        <v>2058</v>
      </c>
      <c r="D139" s="165" t="s">
        <v>2059</v>
      </c>
      <c r="E139" s="165" t="s">
        <v>2060</v>
      </c>
      <c r="F139" s="165" t="s">
        <v>24</v>
      </c>
      <c r="G139" s="165">
        <v>6</v>
      </c>
      <c r="H139" s="165" t="s">
        <v>54</v>
      </c>
      <c r="I139" s="165" t="s">
        <v>39</v>
      </c>
      <c r="J139" s="165" t="s">
        <v>1421</v>
      </c>
      <c r="K139" s="165" t="s">
        <v>1492</v>
      </c>
      <c r="L139" s="165" t="s">
        <v>39</v>
      </c>
      <c r="M139" s="165" t="s">
        <v>150</v>
      </c>
      <c r="N139" s="165" t="s">
        <v>2061</v>
      </c>
      <c r="O139" s="251" t="s">
        <v>151</v>
      </c>
      <c r="P139" s="252" t="s">
        <v>151</v>
      </c>
      <c r="Q139" s="165"/>
      <c r="R139" s="165" t="s">
        <v>2062</v>
      </c>
      <c r="S139" s="165" t="s">
        <v>2063</v>
      </c>
      <c r="T139" s="349" t="s">
        <v>2064</v>
      </c>
      <c r="U139" s="166" t="s">
        <v>2065</v>
      </c>
      <c r="V139" s="166">
        <v>29550</v>
      </c>
      <c r="W139" s="172" t="s">
        <v>2066</v>
      </c>
      <c r="X139" s="172" t="s">
        <v>179</v>
      </c>
      <c r="Y139" s="172" t="s">
        <v>163</v>
      </c>
      <c r="Z139" s="172" t="s">
        <v>158</v>
      </c>
      <c r="AA139" s="165">
        <v>19</v>
      </c>
      <c r="AB139" s="166">
        <v>41908</v>
      </c>
      <c r="AC139" s="287">
        <v>42430</v>
      </c>
      <c r="AD139" s="166"/>
      <c r="AE139" s="253" t="s">
        <v>2067</v>
      </c>
      <c r="AF139" s="310" t="s">
        <v>2068</v>
      </c>
      <c r="AG139" s="165"/>
      <c r="AH139" s="165">
        <f t="shared" si="33"/>
        <v>2</v>
      </c>
      <c r="AI139" s="37" t="s">
        <v>161</v>
      </c>
      <c r="AJ139" s="165"/>
      <c r="AK139" s="165"/>
      <c r="AL139" s="165" t="s">
        <v>150</v>
      </c>
      <c r="AM139" s="165"/>
      <c r="AN139" s="165"/>
      <c r="AO139" s="165" t="s">
        <v>164</v>
      </c>
      <c r="AP139" s="172" t="s">
        <v>203</v>
      </c>
      <c r="AQ139" s="172" t="s">
        <v>943</v>
      </c>
      <c r="AR139" s="165" t="s">
        <v>150</v>
      </c>
      <c r="AS139" s="165"/>
      <c r="AT139" s="36" t="s">
        <v>285</v>
      </c>
      <c r="AU139" s="165" t="s">
        <v>2069</v>
      </c>
      <c r="AV139" s="166"/>
      <c r="AW139" s="167">
        <v>42428</v>
      </c>
      <c r="AX139" s="167">
        <v>42681</v>
      </c>
      <c r="AY139" s="167" t="s">
        <v>150</v>
      </c>
      <c r="AZ139" s="167"/>
      <c r="BA139" s="167"/>
      <c r="BB139" s="167"/>
      <c r="BC139" s="167"/>
      <c r="BD139" s="167"/>
      <c r="BE139" s="168" t="s">
        <v>2070</v>
      </c>
      <c r="BF139" s="167">
        <v>43309</v>
      </c>
      <c r="BG139" s="167" t="s">
        <v>150</v>
      </c>
      <c r="BH139" s="167">
        <v>44410</v>
      </c>
      <c r="BI139" s="166" t="s">
        <v>163</v>
      </c>
      <c r="BJ139" s="166"/>
      <c r="BK139" s="166"/>
      <c r="BL139" s="166"/>
      <c r="BM139" s="169">
        <v>43281</v>
      </c>
      <c r="BN139" s="165" t="s">
        <v>16</v>
      </c>
      <c r="BO139" s="171">
        <f t="shared" si="37"/>
        <v>29</v>
      </c>
      <c r="BP139" s="165">
        <f t="shared" si="36"/>
        <v>20</v>
      </c>
      <c r="BQ139" s="165"/>
      <c r="BR139" s="165">
        <v>2</v>
      </c>
      <c r="BS139" s="165">
        <v>1</v>
      </c>
      <c r="BT139" s="165">
        <v>8</v>
      </c>
      <c r="BU139" s="165">
        <v>3</v>
      </c>
      <c r="BV139" s="165">
        <v>0</v>
      </c>
      <c r="BW139" s="165">
        <v>0</v>
      </c>
      <c r="BX139" s="165">
        <v>0</v>
      </c>
      <c r="BY139" s="165" t="s">
        <v>163</v>
      </c>
      <c r="BZ139" s="165">
        <v>0</v>
      </c>
      <c r="CA139" s="165"/>
      <c r="CB139" s="170"/>
      <c r="CC139" s="170"/>
      <c r="CD139" s="165"/>
      <c r="CE139" s="165" t="s">
        <v>163</v>
      </c>
      <c r="CF139" s="165"/>
      <c r="CG139" s="165"/>
      <c r="CH139" s="376">
        <v>1</v>
      </c>
      <c r="CI139" s="165">
        <v>1</v>
      </c>
      <c r="CJ139" s="165"/>
      <c r="CK139" s="165" t="s">
        <v>809</v>
      </c>
      <c r="CL139"/>
    </row>
    <row r="140" spans="1:90" s="53" customFormat="1" ht="24.95" customHeight="1">
      <c r="A140" s="165">
        <v>143</v>
      </c>
      <c r="B140" s="165" t="s">
        <v>2071</v>
      </c>
      <c r="C140" s="165" t="s">
        <v>2072</v>
      </c>
      <c r="D140" s="165" t="s">
        <v>2073</v>
      </c>
      <c r="E140" s="165" t="s">
        <v>2074</v>
      </c>
      <c r="F140" s="165" t="s">
        <v>24</v>
      </c>
      <c r="G140" s="165">
        <v>6</v>
      </c>
      <c r="H140" s="165" t="s">
        <v>52</v>
      </c>
      <c r="I140" s="165" t="s">
        <v>42</v>
      </c>
      <c r="J140" s="165" t="s">
        <v>2075</v>
      </c>
      <c r="K140" s="165" t="s">
        <v>2076</v>
      </c>
      <c r="L140" s="165" t="s">
        <v>42</v>
      </c>
      <c r="M140" s="165" t="s">
        <v>150</v>
      </c>
      <c r="N140" s="165" t="s">
        <v>2077</v>
      </c>
      <c r="O140" s="251" t="s">
        <v>151</v>
      </c>
      <c r="P140" s="252" t="s">
        <v>151</v>
      </c>
      <c r="Q140" s="165" t="s">
        <v>151</v>
      </c>
      <c r="R140" s="165" t="s">
        <v>2078</v>
      </c>
      <c r="S140" s="165" t="s">
        <v>2079</v>
      </c>
      <c r="T140" s="349" t="s">
        <v>2080</v>
      </c>
      <c r="U140" s="166" t="s">
        <v>2081</v>
      </c>
      <c r="V140" s="166">
        <v>29969</v>
      </c>
      <c r="W140" s="172" t="s">
        <v>2082</v>
      </c>
      <c r="X140" s="172" t="s">
        <v>2083</v>
      </c>
      <c r="Y140" s="172" t="s">
        <v>157</v>
      </c>
      <c r="Z140" s="172" t="s">
        <v>158</v>
      </c>
      <c r="AA140" s="165">
        <v>17.5</v>
      </c>
      <c r="AB140" s="166">
        <v>42649</v>
      </c>
      <c r="AC140" s="287">
        <v>42430</v>
      </c>
      <c r="AD140" s="166"/>
      <c r="AE140" s="253" t="s">
        <v>2084</v>
      </c>
      <c r="AF140" s="253" t="s">
        <v>2085</v>
      </c>
      <c r="AG140" s="165" t="s">
        <v>2086</v>
      </c>
      <c r="AH140" s="165">
        <f t="shared" si="33"/>
        <v>3</v>
      </c>
      <c r="AI140" s="37" t="s">
        <v>161</v>
      </c>
      <c r="AJ140" s="37" t="s">
        <v>161</v>
      </c>
      <c r="AK140" s="37" t="s">
        <v>161</v>
      </c>
      <c r="AL140" s="37" t="s">
        <v>150</v>
      </c>
      <c r="AM140" s="37" t="s">
        <v>163</v>
      </c>
      <c r="AN140" s="37" t="s">
        <v>163</v>
      </c>
      <c r="AO140" s="37" t="s">
        <v>164</v>
      </c>
      <c r="AP140" s="172" t="s">
        <v>203</v>
      </c>
      <c r="AQ140" s="172" t="s">
        <v>250</v>
      </c>
      <c r="AR140" s="172" t="s">
        <v>150</v>
      </c>
      <c r="AS140" s="172" t="s">
        <v>2087</v>
      </c>
      <c r="AT140" s="36" t="s">
        <v>420</v>
      </c>
      <c r="AU140" s="165" t="s">
        <v>2088</v>
      </c>
      <c r="AV140" s="166"/>
      <c r="AW140" s="167">
        <v>42428</v>
      </c>
      <c r="AX140" s="167">
        <v>42681</v>
      </c>
      <c r="AY140" s="167" t="s">
        <v>150</v>
      </c>
      <c r="AZ140" s="167">
        <v>42653</v>
      </c>
      <c r="BA140" s="167">
        <v>42548</v>
      </c>
      <c r="BB140" s="167"/>
      <c r="BC140" s="167"/>
      <c r="BD140" s="167"/>
      <c r="BE140" s="168" t="s">
        <v>2089</v>
      </c>
      <c r="BF140" s="167">
        <v>43309</v>
      </c>
      <c r="BG140" s="167" t="s">
        <v>150</v>
      </c>
      <c r="BH140" s="167">
        <v>43528</v>
      </c>
      <c r="BI140" s="167" t="s">
        <v>150</v>
      </c>
      <c r="BJ140" s="166"/>
      <c r="BK140" s="166"/>
      <c r="BL140" s="166"/>
      <c r="BM140" s="169">
        <v>43789</v>
      </c>
      <c r="BN140" s="165" t="s">
        <v>16</v>
      </c>
      <c r="BO140" s="171">
        <f t="shared" si="37"/>
        <v>45</v>
      </c>
      <c r="BP140" s="165">
        <f t="shared" si="36"/>
        <v>37</v>
      </c>
      <c r="BQ140" s="165"/>
      <c r="BR140" s="165">
        <v>2</v>
      </c>
      <c r="BS140" s="165">
        <v>2</v>
      </c>
      <c r="BT140" s="165">
        <v>2</v>
      </c>
      <c r="BU140" s="165">
        <v>4</v>
      </c>
      <c r="BV140" s="165">
        <v>0</v>
      </c>
      <c r="BW140" s="165">
        <v>0</v>
      </c>
      <c r="BX140" s="165">
        <v>0</v>
      </c>
      <c r="BY140" s="165" t="s">
        <v>2090</v>
      </c>
      <c r="BZ140" s="165">
        <v>0</v>
      </c>
      <c r="CA140" s="165"/>
      <c r="CB140" s="170"/>
      <c r="CC140" s="170"/>
      <c r="CD140" s="165"/>
      <c r="CE140" s="165" t="s">
        <v>163</v>
      </c>
      <c r="CF140" s="165"/>
      <c r="CG140" s="165"/>
      <c r="CH140" s="376">
        <v>2</v>
      </c>
      <c r="CI140" s="165">
        <v>2</v>
      </c>
      <c r="CJ140" s="165"/>
      <c r="CK140" s="165" t="s">
        <v>1314</v>
      </c>
      <c r="CL140"/>
    </row>
    <row r="141" spans="1:90" s="53" customFormat="1" ht="24.95" customHeight="1">
      <c r="A141" s="165">
        <v>144</v>
      </c>
      <c r="B141" s="165" t="s">
        <v>2091</v>
      </c>
      <c r="C141" s="165" t="s">
        <v>2092</v>
      </c>
      <c r="D141" s="165" t="s">
        <v>2093</v>
      </c>
      <c r="E141" s="165" t="s">
        <v>2094</v>
      </c>
      <c r="F141" s="165" t="s">
        <v>24</v>
      </c>
      <c r="G141" s="165">
        <v>6</v>
      </c>
      <c r="H141" s="165" t="s">
        <v>54</v>
      </c>
      <c r="I141" s="165" t="s">
        <v>31</v>
      </c>
      <c r="J141" s="165" t="s">
        <v>602</v>
      </c>
      <c r="K141" s="165"/>
      <c r="L141" s="165" t="s">
        <v>45</v>
      </c>
      <c r="M141" s="165" t="s">
        <v>163</v>
      </c>
      <c r="N141" s="165" t="s">
        <v>2095</v>
      </c>
      <c r="O141" s="251" t="s">
        <v>151</v>
      </c>
      <c r="P141" s="252" t="s">
        <v>151</v>
      </c>
      <c r="Q141" s="165"/>
      <c r="R141" s="165" t="s">
        <v>2096</v>
      </c>
      <c r="S141" s="175" t="s">
        <v>2097</v>
      </c>
      <c r="T141" s="350" t="s">
        <v>2098</v>
      </c>
      <c r="U141" s="166" t="s">
        <v>789</v>
      </c>
      <c r="V141" s="166">
        <v>26560</v>
      </c>
      <c r="W141" s="172" t="s">
        <v>2099</v>
      </c>
      <c r="X141" s="172" t="s">
        <v>179</v>
      </c>
      <c r="Y141" s="172" t="s">
        <v>163</v>
      </c>
      <c r="Z141" s="172" t="s">
        <v>158</v>
      </c>
      <c r="AA141" s="165">
        <v>4</v>
      </c>
      <c r="AB141" s="166">
        <v>42891</v>
      </c>
      <c r="AC141" s="287">
        <v>42430</v>
      </c>
      <c r="AD141" s="166"/>
      <c r="AE141" s="165" t="s">
        <v>2100</v>
      </c>
      <c r="AF141" s="165" t="s">
        <v>2101</v>
      </c>
      <c r="AG141" s="165"/>
      <c r="AH141" s="165">
        <f t="shared" si="33"/>
        <v>2</v>
      </c>
      <c r="AI141" s="165"/>
      <c r="AJ141" s="165"/>
      <c r="AK141" s="165"/>
      <c r="AL141" s="165"/>
      <c r="AM141" s="165"/>
      <c r="AN141" s="165"/>
      <c r="AO141" s="165" t="s">
        <v>164</v>
      </c>
      <c r="AP141" s="172" t="s">
        <v>1859</v>
      </c>
      <c r="AQ141" s="165" t="s">
        <v>203</v>
      </c>
      <c r="AR141" s="165" t="s">
        <v>150</v>
      </c>
      <c r="AS141" s="165"/>
      <c r="AT141" s="36" t="s">
        <v>328</v>
      </c>
      <c r="AU141" s="165" t="s">
        <v>2102</v>
      </c>
      <c r="AV141" s="166"/>
      <c r="AW141" s="167">
        <v>42428</v>
      </c>
      <c r="AX141" s="167">
        <v>42681</v>
      </c>
      <c r="AY141" s="167" t="s">
        <v>150</v>
      </c>
      <c r="AZ141" s="167">
        <v>43069</v>
      </c>
      <c r="BA141" s="167">
        <v>43138</v>
      </c>
      <c r="BB141" s="167"/>
      <c r="BC141" s="167"/>
      <c r="BD141" s="167"/>
      <c r="BE141" s="168"/>
      <c r="BF141" s="315">
        <v>43675</v>
      </c>
      <c r="BG141" s="315" t="s">
        <v>163</v>
      </c>
      <c r="BH141" s="315"/>
      <c r="BI141" s="315" t="s">
        <v>163</v>
      </c>
      <c r="BJ141" s="166"/>
      <c r="BK141" s="166"/>
      <c r="BL141" s="166"/>
      <c r="BM141" s="176">
        <v>45105</v>
      </c>
      <c r="BN141" s="174" t="s">
        <v>16</v>
      </c>
      <c r="BO141" s="171">
        <f t="shared" si="37"/>
        <v>89</v>
      </c>
      <c r="BP141" s="165">
        <f t="shared" si="36"/>
        <v>80</v>
      </c>
      <c r="BQ141" s="165"/>
      <c r="BR141" s="165">
        <v>3</v>
      </c>
      <c r="BS141" s="165">
        <v>9</v>
      </c>
      <c r="BT141" s="165">
        <v>0</v>
      </c>
      <c r="BU141" s="165">
        <v>2</v>
      </c>
      <c r="BV141" s="165">
        <v>0</v>
      </c>
      <c r="BW141" s="165">
        <v>0</v>
      </c>
      <c r="BX141" s="165">
        <v>0</v>
      </c>
      <c r="BY141" s="165" t="s">
        <v>163</v>
      </c>
      <c r="BZ141" s="165">
        <v>0</v>
      </c>
      <c r="CA141" s="165"/>
      <c r="CB141" s="170"/>
      <c r="CC141" s="170"/>
      <c r="CD141" s="165"/>
      <c r="CE141" s="165" t="s">
        <v>163</v>
      </c>
      <c r="CF141" s="165"/>
      <c r="CG141" s="165"/>
      <c r="CH141" s="376">
        <v>2</v>
      </c>
      <c r="CI141" s="165"/>
      <c r="CJ141" s="165"/>
      <c r="CK141" s="165" t="s">
        <v>809</v>
      </c>
      <c r="CL141"/>
    </row>
    <row r="142" spans="1:90" s="53" customFormat="1" ht="24.95" customHeight="1">
      <c r="A142" s="165">
        <v>145</v>
      </c>
      <c r="B142" s="165" t="s">
        <v>2103</v>
      </c>
      <c r="C142" s="165" t="s">
        <v>2104</v>
      </c>
      <c r="D142" s="165" t="s">
        <v>2105</v>
      </c>
      <c r="E142" s="165" t="s">
        <v>2106</v>
      </c>
      <c r="F142" s="165" t="s">
        <v>24</v>
      </c>
      <c r="G142" s="165">
        <v>6</v>
      </c>
      <c r="H142" s="165" t="s">
        <v>58</v>
      </c>
      <c r="I142" s="165" t="s">
        <v>45</v>
      </c>
      <c r="J142" s="165" t="s">
        <v>2107</v>
      </c>
      <c r="K142" s="165" t="s">
        <v>602</v>
      </c>
      <c r="L142" s="165" t="s">
        <v>45</v>
      </c>
      <c r="M142" s="165" t="s">
        <v>150</v>
      </c>
      <c r="N142" s="165" t="s">
        <v>2108</v>
      </c>
      <c r="O142" s="251" t="s">
        <v>151</v>
      </c>
      <c r="P142" s="252" t="s">
        <v>151</v>
      </c>
      <c r="Q142" s="165" t="s">
        <v>151</v>
      </c>
      <c r="R142" s="175" t="s">
        <v>2109</v>
      </c>
      <c r="S142" s="165" t="s">
        <v>2110</v>
      </c>
      <c r="T142" s="349" t="s">
        <v>2111</v>
      </c>
      <c r="U142" s="166" t="s">
        <v>2112</v>
      </c>
      <c r="V142" s="166">
        <v>26993</v>
      </c>
      <c r="W142" s="172" t="s">
        <v>2113</v>
      </c>
      <c r="X142" s="172" t="s">
        <v>179</v>
      </c>
      <c r="Y142" s="172" t="s">
        <v>163</v>
      </c>
      <c r="Z142" s="172" t="s">
        <v>158</v>
      </c>
      <c r="AA142" s="165">
        <v>12</v>
      </c>
      <c r="AB142" s="166">
        <v>42373</v>
      </c>
      <c r="AC142" s="287">
        <v>42430</v>
      </c>
      <c r="AD142" s="166"/>
      <c r="AE142" s="253" t="s">
        <v>1514</v>
      </c>
      <c r="AF142" s="253" t="s">
        <v>2114</v>
      </c>
      <c r="AG142" s="165"/>
      <c r="AH142" s="165">
        <f t="shared" si="33"/>
        <v>2</v>
      </c>
      <c r="AI142" s="37" t="s">
        <v>161</v>
      </c>
      <c r="AJ142" s="37" t="s">
        <v>161</v>
      </c>
      <c r="AK142" s="165"/>
      <c r="AL142" s="165" t="s">
        <v>150</v>
      </c>
      <c r="AM142" s="165" t="s">
        <v>150</v>
      </c>
      <c r="AN142" s="165"/>
      <c r="AO142" s="165" t="s">
        <v>164</v>
      </c>
      <c r="AP142" s="172" t="s">
        <v>2115</v>
      </c>
      <c r="AQ142" s="165" t="s">
        <v>250</v>
      </c>
      <c r="AR142" s="165"/>
      <c r="AS142" s="165"/>
      <c r="AT142" s="36" t="s">
        <v>372</v>
      </c>
      <c r="AU142" s="165" t="s">
        <v>2116</v>
      </c>
      <c r="AV142" s="166"/>
      <c r="AW142" s="167">
        <v>42428</v>
      </c>
      <c r="AX142" s="167">
        <v>42681</v>
      </c>
      <c r="AY142" s="167" t="s">
        <v>150</v>
      </c>
      <c r="AZ142" s="167">
        <v>42753</v>
      </c>
      <c r="BA142" s="167">
        <v>42762</v>
      </c>
      <c r="BB142" s="167"/>
      <c r="BC142" s="167"/>
      <c r="BD142" s="167"/>
      <c r="BE142" s="168" t="s">
        <v>2117</v>
      </c>
      <c r="BF142" s="167">
        <v>43309</v>
      </c>
      <c r="BG142" s="167" t="s">
        <v>150</v>
      </c>
      <c r="BH142" s="167">
        <v>43528</v>
      </c>
      <c r="BI142" s="167" t="s">
        <v>150</v>
      </c>
      <c r="BJ142" s="166"/>
      <c r="BK142" s="166"/>
      <c r="BL142" s="166"/>
      <c r="BM142" s="169">
        <v>44316</v>
      </c>
      <c r="BN142" s="165" t="s">
        <v>16</v>
      </c>
      <c r="BO142" s="171">
        <f>DATEDIF(AW142,BM142, "M")+1</f>
        <v>63</v>
      </c>
      <c r="BP142" s="165">
        <f t="shared" si="36"/>
        <v>54</v>
      </c>
      <c r="BQ142" s="172" t="s">
        <v>2118</v>
      </c>
      <c r="BR142" s="165">
        <v>2</v>
      </c>
      <c r="BS142" s="165">
        <v>6</v>
      </c>
      <c r="BT142" s="165">
        <v>1</v>
      </c>
      <c r="BU142" s="165">
        <v>3</v>
      </c>
      <c r="BV142" s="165">
        <v>1</v>
      </c>
      <c r="BW142" s="165">
        <v>0</v>
      </c>
      <c r="BX142" s="165">
        <v>0</v>
      </c>
      <c r="BY142" s="165" t="s">
        <v>163</v>
      </c>
      <c r="BZ142" s="165">
        <v>0</v>
      </c>
      <c r="CA142" s="165"/>
      <c r="CB142" s="170"/>
      <c r="CC142" s="170"/>
      <c r="CD142" s="165"/>
      <c r="CE142" s="165" t="s">
        <v>163</v>
      </c>
      <c r="CF142" s="165"/>
      <c r="CG142" s="165"/>
      <c r="CH142" s="376">
        <v>2</v>
      </c>
      <c r="CI142" s="165">
        <v>2</v>
      </c>
      <c r="CJ142" s="165"/>
      <c r="CK142" s="165" t="s">
        <v>809</v>
      </c>
      <c r="CL142"/>
    </row>
    <row r="143" spans="1:90" s="53" customFormat="1" ht="24.95" customHeight="1">
      <c r="A143" s="165">
        <v>146</v>
      </c>
      <c r="B143" s="165" t="s">
        <v>2119</v>
      </c>
      <c r="C143" s="165" t="s">
        <v>2120</v>
      </c>
      <c r="D143" s="165" t="s">
        <v>2121</v>
      </c>
      <c r="E143" s="165" t="s">
        <v>2122</v>
      </c>
      <c r="F143" s="165" t="s">
        <v>24</v>
      </c>
      <c r="G143" s="165">
        <v>6</v>
      </c>
      <c r="H143" s="165" t="s">
        <v>59</v>
      </c>
      <c r="I143" s="165" t="s">
        <v>40</v>
      </c>
      <c r="J143" s="165" t="s">
        <v>2123</v>
      </c>
      <c r="K143" s="165" t="s">
        <v>2124</v>
      </c>
      <c r="L143" s="165" t="s">
        <v>41</v>
      </c>
      <c r="M143" s="165" t="s">
        <v>163</v>
      </c>
      <c r="N143" s="165" t="s">
        <v>2125</v>
      </c>
      <c r="O143" s="251" t="s">
        <v>151</v>
      </c>
      <c r="P143" s="252" t="s">
        <v>151</v>
      </c>
      <c r="Q143" s="165"/>
      <c r="R143" s="165" t="s">
        <v>2126</v>
      </c>
      <c r="S143" s="165" t="s">
        <v>2127</v>
      </c>
      <c r="T143" s="350" t="s">
        <v>2128</v>
      </c>
      <c r="U143" s="166" t="s">
        <v>2129</v>
      </c>
      <c r="V143" s="166">
        <v>28749</v>
      </c>
      <c r="W143" s="172" t="s">
        <v>2130</v>
      </c>
      <c r="X143" s="172" t="s">
        <v>2083</v>
      </c>
      <c r="Y143" s="172" t="s">
        <v>157</v>
      </c>
      <c r="Z143" s="172" t="s">
        <v>158</v>
      </c>
      <c r="AA143" s="165">
        <v>36</v>
      </c>
      <c r="AB143" s="166">
        <v>42663</v>
      </c>
      <c r="AC143" s="287">
        <v>42430</v>
      </c>
      <c r="AD143" s="166"/>
      <c r="AE143" s="253" t="s">
        <v>2131</v>
      </c>
      <c r="AF143" s="165"/>
      <c r="AG143" s="165"/>
      <c r="AH143" s="165">
        <f t="shared" si="33"/>
        <v>1</v>
      </c>
      <c r="AI143" s="172" t="s">
        <v>162</v>
      </c>
      <c r="AJ143" s="165"/>
      <c r="AK143" s="165"/>
      <c r="AL143" s="165" t="s">
        <v>163</v>
      </c>
      <c r="AM143" s="165"/>
      <c r="AN143" s="165"/>
      <c r="AO143" s="165" t="s">
        <v>182</v>
      </c>
      <c r="AP143" s="172" t="s">
        <v>2132</v>
      </c>
      <c r="AQ143" s="165" t="s">
        <v>593</v>
      </c>
      <c r="AR143" s="165"/>
      <c r="AS143" s="165"/>
      <c r="AT143" s="36" t="s">
        <v>1266</v>
      </c>
      <c r="AU143" s="165" t="s">
        <v>2133</v>
      </c>
      <c r="AV143" s="166"/>
      <c r="AW143" s="167">
        <v>42428</v>
      </c>
      <c r="AX143" s="167">
        <v>42681</v>
      </c>
      <c r="AY143" s="167" t="s">
        <v>150</v>
      </c>
      <c r="AZ143" s="167">
        <v>42838</v>
      </c>
      <c r="BA143" s="167">
        <v>42936</v>
      </c>
      <c r="BB143" s="167"/>
      <c r="BC143" s="167"/>
      <c r="BD143" s="167"/>
      <c r="BE143" s="168" t="s">
        <v>2134</v>
      </c>
      <c r="BF143" s="167">
        <v>43309</v>
      </c>
      <c r="BG143" s="167" t="s">
        <v>150</v>
      </c>
      <c r="BH143" s="167">
        <v>43528</v>
      </c>
      <c r="BI143" s="167" t="s">
        <v>150</v>
      </c>
      <c r="BJ143" s="166"/>
      <c r="BK143" s="166"/>
      <c r="BL143" s="166"/>
      <c r="BM143" s="169">
        <v>45443</v>
      </c>
      <c r="BN143" s="177" t="s">
        <v>16</v>
      </c>
      <c r="BO143" s="171">
        <f>DATEDIF(AW143,BM143, "M")+1</f>
        <v>100</v>
      </c>
      <c r="BP143" s="165">
        <f t="shared" si="36"/>
        <v>91</v>
      </c>
      <c r="BQ143" s="165"/>
      <c r="BR143" s="165">
        <v>2</v>
      </c>
      <c r="BS143" s="165">
        <v>1</v>
      </c>
      <c r="BT143" s="165">
        <v>0</v>
      </c>
      <c r="BU143" s="165">
        <v>0</v>
      </c>
      <c r="BV143" s="165">
        <v>0</v>
      </c>
      <c r="BW143" s="165">
        <v>0</v>
      </c>
      <c r="BX143" s="165">
        <v>0</v>
      </c>
      <c r="BY143" s="165" t="s">
        <v>2090</v>
      </c>
      <c r="BZ143" s="165">
        <v>0</v>
      </c>
      <c r="CA143" s="165"/>
      <c r="CB143" s="170"/>
      <c r="CC143" s="170"/>
      <c r="CD143" s="165"/>
      <c r="CE143" s="165" t="s">
        <v>163</v>
      </c>
      <c r="CF143" s="165"/>
      <c r="CG143" s="165"/>
      <c r="CH143" s="376"/>
      <c r="CI143" s="165"/>
      <c r="CJ143" s="165"/>
      <c r="CK143" s="165" t="s">
        <v>1822</v>
      </c>
      <c r="CL143"/>
    </row>
    <row r="144" spans="1:90" ht="24.95" customHeight="1">
      <c r="A144" s="91">
        <v>147</v>
      </c>
      <c r="B144" s="91" t="s">
        <v>2135</v>
      </c>
      <c r="C144" s="91" t="s">
        <v>2136</v>
      </c>
      <c r="D144" s="91" t="s">
        <v>2137</v>
      </c>
      <c r="E144" s="91" t="s">
        <v>2138</v>
      </c>
      <c r="F144" s="91" t="s">
        <v>25</v>
      </c>
      <c r="G144" s="91">
        <v>6</v>
      </c>
      <c r="H144" s="91" t="s">
        <v>52</v>
      </c>
      <c r="I144" s="91" t="s">
        <v>37</v>
      </c>
      <c r="J144" s="91" t="s">
        <v>2139</v>
      </c>
      <c r="K144" s="91" t="s">
        <v>2140</v>
      </c>
      <c r="L144" s="91" t="s">
        <v>45</v>
      </c>
      <c r="M144" s="91" t="s">
        <v>163</v>
      </c>
      <c r="N144" s="91" t="s">
        <v>168</v>
      </c>
      <c r="O144" s="91" t="s">
        <v>168</v>
      </c>
      <c r="P144" s="91" t="s">
        <v>168</v>
      </c>
      <c r="Q144" s="91" t="s">
        <v>168</v>
      </c>
      <c r="R144" s="91" t="s">
        <v>2141</v>
      </c>
      <c r="S144" s="91" t="s">
        <v>2142</v>
      </c>
      <c r="T144" s="341" t="s">
        <v>2143</v>
      </c>
      <c r="U144" s="92"/>
      <c r="V144" s="92"/>
      <c r="W144" s="164"/>
      <c r="X144" s="164"/>
      <c r="Y144" s="164"/>
      <c r="Z144" s="164"/>
      <c r="AA144" s="91"/>
      <c r="AB144" s="92"/>
      <c r="AC144" s="281">
        <v>42795</v>
      </c>
      <c r="AD144" s="92">
        <v>43342</v>
      </c>
      <c r="AE144" s="92"/>
      <c r="AF144" s="92"/>
      <c r="AG144" s="92"/>
      <c r="AH144" s="91">
        <f t="shared" si="33"/>
        <v>0</v>
      </c>
      <c r="AI144" s="92"/>
      <c r="AJ144" s="92"/>
      <c r="AK144" s="92"/>
      <c r="AL144" s="92"/>
      <c r="AM144" s="92"/>
      <c r="AN144" s="92"/>
      <c r="AO144" s="92"/>
      <c r="AP144" s="92"/>
      <c r="AQ144" s="92"/>
      <c r="AR144" s="92"/>
      <c r="AS144" s="92"/>
      <c r="AT144" s="10" t="s">
        <v>204</v>
      </c>
      <c r="AU144" s="91"/>
      <c r="AV144" s="92"/>
      <c r="AW144" s="93">
        <v>42428</v>
      </c>
      <c r="AX144" s="93"/>
      <c r="AY144" s="93"/>
      <c r="AZ144" s="93"/>
      <c r="BA144" s="93"/>
      <c r="BB144" s="93"/>
      <c r="BC144" s="93"/>
      <c r="BD144" s="93"/>
      <c r="BE144" s="94"/>
      <c r="BF144" s="93"/>
      <c r="BG144" s="93"/>
      <c r="BH144" s="93"/>
      <c r="BI144" s="93"/>
      <c r="BJ144" s="92"/>
      <c r="BK144" s="92"/>
      <c r="BL144" s="92"/>
      <c r="BM144" s="92"/>
      <c r="BN144" s="91" t="s">
        <v>18</v>
      </c>
      <c r="BO144" s="218" t="s">
        <v>18</v>
      </c>
      <c r="BP144" s="218"/>
      <c r="BQ144" s="91"/>
      <c r="BR144" s="91"/>
      <c r="BS144" s="91"/>
      <c r="BT144" s="91"/>
      <c r="BU144" s="91"/>
      <c r="BV144" s="91"/>
      <c r="BW144" s="91"/>
      <c r="BX144" s="91"/>
      <c r="BY144" s="91" t="s">
        <v>163</v>
      </c>
      <c r="BZ144" s="91"/>
      <c r="CA144" s="91"/>
      <c r="CB144" s="95"/>
      <c r="CC144" s="95"/>
      <c r="CD144" s="91"/>
      <c r="CE144" s="91"/>
      <c r="CF144" s="91"/>
      <c r="CG144" s="91"/>
      <c r="CH144" s="113"/>
      <c r="CI144" s="91"/>
      <c r="CJ144" s="91"/>
      <c r="CK144" s="91" t="s">
        <v>1822</v>
      </c>
    </row>
    <row r="145" spans="1:90" s="53" customFormat="1" ht="24.95" customHeight="1">
      <c r="A145" s="178">
        <v>148</v>
      </c>
      <c r="B145" s="178" t="s">
        <v>2144</v>
      </c>
      <c r="C145" s="178" t="s">
        <v>2145</v>
      </c>
      <c r="D145" s="178" t="s">
        <v>2146</v>
      </c>
      <c r="E145" s="178" t="s">
        <v>2147</v>
      </c>
      <c r="F145" s="178" t="s">
        <v>24</v>
      </c>
      <c r="G145" s="178">
        <v>7</v>
      </c>
      <c r="H145" s="178" t="s">
        <v>58</v>
      </c>
      <c r="I145" s="178" t="s">
        <v>45</v>
      </c>
      <c r="J145" s="178" t="s">
        <v>2148</v>
      </c>
      <c r="K145" s="178" t="s">
        <v>1781</v>
      </c>
      <c r="L145" s="178" t="s">
        <v>45</v>
      </c>
      <c r="M145" s="178" t="s">
        <v>150</v>
      </c>
      <c r="N145" s="178">
        <v>530939</v>
      </c>
      <c r="O145" s="178" t="s">
        <v>322</v>
      </c>
      <c r="P145" s="178" t="s">
        <v>322</v>
      </c>
      <c r="Q145" s="178" t="s">
        <v>322</v>
      </c>
      <c r="R145" s="384" t="s">
        <v>2149</v>
      </c>
      <c r="S145" s="178" t="s">
        <v>2150</v>
      </c>
      <c r="T145" s="351" t="s">
        <v>2151</v>
      </c>
      <c r="U145" s="179" t="s">
        <v>2152</v>
      </c>
      <c r="V145" s="179">
        <v>27288</v>
      </c>
      <c r="W145" s="187" t="s">
        <v>2153</v>
      </c>
      <c r="X145" s="187" t="s">
        <v>179</v>
      </c>
      <c r="Y145" s="187" t="s">
        <v>163</v>
      </c>
      <c r="Z145" s="187"/>
      <c r="AA145" s="178">
        <v>3.5</v>
      </c>
      <c r="AB145" s="179">
        <v>42614</v>
      </c>
      <c r="AC145" s="288">
        <v>42795</v>
      </c>
      <c r="AD145" s="179"/>
      <c r="AE145" s="179" t="s">
        <v>2154</v>
      </c>
      <c r="AF145" s="179"/>
      <c r="AG145" s="179"/>
      <c r="AH145" s="178">
        <f t="shared" si="33"/>
        <v>1</v>
      </c>
      <c r="AI145" s="179" t="s">
        <v>161</v>
      </c>
      <c r="AJ145" s="179"/>
      <c r="AK145" s="179"/>
      <c r="AL145" s="179" t="s">
        <v>150</v>
      </c>
      <c r="AM145" s="179"/>
      <c r="AN145" s="179"/>
      <c r="AO145" s="179" t="s">
        <v>164</v>
      </c>
      <c r="AP145" s="178" t="s">
        <v>203</v>
      </c>
      <c r="AQ145" s="179" t="s">
        <v>203</v>
      </c>
      <c r="AR145" s="179" t="s">
        <v>150</v>
      </c>
      <c r="AS145" s="179" t="s">
        <v>2155</v>
      </c>
      <c r="AT145" s="420" t="s">
        <v>2156</v>
      </c>
      <c r="AU145" s="178" t="s">
        <v>2157</v>
      </c>
      <c r="AV145" s="179"/>
      <c r="AW145" s="180">
        <v>42793</v>
      </c>
      <c r="AX145" s="180">
        <v>43045</v>
      </c>
      <c r="AY145" s="180" t="s">
        <v>150</v>
      </c>
      <c r="AZ145" s="180"/>
      <c r="BA145" s="180"/>
      <c r="BB145" s="180">
        <v>42944</v>
      </c>
      <c r="BC145" s="180"/>
      <c r="BD145" s="180"/>
      <c r="BE145" s="181" t="s">
        <v>2158</v>
      </c>
      <c r="BF145" s="180">
        <v>43675</v>
      </c>
      <c r="BG145" s="180" t="s">
        <v>150</v>
      </c>
      <c r="BH145" s="180">
        <v>44410</v>
      </c>
      <c r="BI145" s="179" t="s">
        <v>163</v>
      </c>
      <c r="BJ145" s="179"/>
      <c r="BK145" s="179"/>
      <c r="BL145" s="179"/>
      <c r="BM145" s="182">
        <v>45852</v>
      </c>
      <c r="BN145" s="183" t="s">
        <v>16</v>
      </c>
      <c r="BO145" s="263">
        <f>DATEDIF(AW145,BM145, "M")+1</f>
        <v>101</v>
      </c>
      <c r="BP145" s="263">
        <f t="shared" ref="BP145:BP153" si="38">DATEDIF(AX145,BM145, "M")+1</f>
        <v>93</v>
      </c>
      <c r="BQ145" s="178" t="s">
        <v>2159</v>
      </c>
      <c r="BR145" s="178">
        <v>2</v>
      </c>
      <c r="BS145" s="178">
        <v>3</v>
      </c>
      <c r="BT145" s="178"/>
      <c r="BU145" s="178"/>
      <c r="BV145" s="178"/>
      <c r="BW145" s="178"/>
      <c r="BX145" s="178"/>
      <c r="BY145" s="178" t="s">
        <v>163</v>
      </c>
      <c r="BZ145" s="178" t="s">
        <v>163</v>
      </c>
      <c r="CA145" s="178"/>
      <c r="CB145" s="184"/>
      <c r="CC145" s="184"/>
      <c r="CD145" s="178"/>
      <c r="CE145" s="178" t="s">
        <v>163</v>
      </c>
      <c r="CF145" s="178"/>
      <c r="CG145" s="178"/>
      <c r="CH145" s="377">
        <v>1</v>
      </c>
      <c r="CI145" s="178"/>
      <c r="CJ145" s="178"/>
      <c r="CK145" s="178" t="s">
        <v>1822</v>
      </c>
      <c r="CL145"/>
    </row>
    <row r="146" spans="1:90" s="53" customFormat="1" ht="24.95" customHeight="1">
      <c r="A146" s="178">
        <v>149</v>
      </c>
      <c r="B146" s="178" t="s">
        <v>2160</v>
      </c>
      <c r="C146" s="178" t="s">
        <v>2161</v>
      </c>
      <c r="D146" s="178" t="s">
        <v>20</v>
      </c>
      <c r="E146" s="178" t="s">
        <v>2162</v>
      </c>
      <c r="F146" s="178" t="s">
        <v>25</v>
      </c>
      <c r="G146" s="178">
        <v>7</v>
      </c>
      <c r="H146" s="178" t="s">
        <v>60</v>
      </c>
      <c r="I146" s="178" t="s">
        <v>35</v>
      </c>
      <c r="J146" s="178" t="s">
        <v>936</v>
      </c>
      <c r="K146" s="178" t="s">
        <v>2163</v>
      </c>
      <c r="L146" s="178" t="s">
        <v>45</v>
      </c>
      <c r="M146" s="178" t="s">
        <v>163</v>
      </c>
      <c r="N146" s="178">
        <v>1834444</v>
      </c>
      <c r="O146" s="178" t="s">
        <v>322</v>
      </c>
      <c r="P146" s="178" t="s">
        <v>322</v>
      </c>
      <c r="Q146" s="178" t="s">
        <v>322</v>
      </c>
      <c r="R146" s="178" t="s">
        <v>2164</v>
      </c>
      <c r="S146" s="185" t="s">
        <v>2165</v>
      </c>
      <c r="T146" s="352" t="s">
        <v>2166</v>
      </c>
      <c r="U146" s="179" t="s">
        <v>2167</v>
      </c>
      <c r="V146" s="179">
        <v>28693</v>
      </c>
      <c r="W146" s="187" t="s">
        <v>2168</v>
      </c>
      <c r="X146" s="187" t="s">
        <v>179</v>
      </c>
      <c r="Y146" s="187" t="s">
        <v>163</v>
      </c>
      <c r="Z146" s="187"/>
      <c r="AA146" s="178"/>
      <c r="AB146" s="179">
        <v>42889</v>
      </c>
      <c r="AC146" s="288">
        <v>42795</v>
      </c>
      <c r="AD146" s="179"/>
      <c r="AE146" s="179" t="s">
        <v>2169</v>
      </c>
      <c r="AF146" s="179"/>
      <c r="AG146" s="179"/>
      <c r="AH146" s="178">
        <f t="shared" si="33"/>
        <v>1</v>
      </c>
      <c r="AI146" s="179" t="s">
        <v>162</v>
      </c>
      <c r="AJ146" s="179"/>
      <c r="AK146" s="179"/>
      <c r="AL146" s="179" t="s">
        <v>163</v>
      </c>
      <c r="AM146" s="179"/>
      <c r="AN146" s="179"/>
      <c r="AO146" s="179" t="s">
        <v>164</v>
      </c>
      <c r="AP146" s="178" t="s">
        <v>2170</v>
      </c>
      <c r="AQ146" s="179" t="s">
        <v>181</v>
      </c>
      <c r="AR146" s="179"/>
      <c r="AS146" s="179"/>
      <c r="AT146" s="420" t="s">
        <v>580</v>
      </c>
      <c r="AU146" s="185" t="s">
        <v>2171</v>
      </c>
      <c r="AV146" s="179"/>
      <c r="AW146" s="180">
        <v>42793</v>
      </c>
      <c r="AX146" s="180">
        <v>43045</v>
      </c>
      <c r="AY146" s="180" t="s">
        <v>150</v>
      </c>
      <c r="AZ146" s="180">
        <v>43224</v>
      </c>
      <c r="BA146" s="180">
        <v>43222</v>
      </c>
      <c r="BB146" s="180"/>
      <c r="BC146" s="180"/>
      <c r="BD146" s="180"/>
      <c r="BE146" s="181" t="s">
        <v>2172</v>
      </c>
      <c r="BF146" s="180">
        <v>43675</v>
      </c>
      <c r="BG146" s="180" t="s">
        <v>150</v>
      </c>
      <c r="BH146" s="180">
        <v>43891</v>
      </c>
      <c r="BI146" s="180" t="s">
        <v>150</v>
      </c>
      <c r="BJ146" s="179"/>
      <c r="BK146" s="179"/>
      <c r="BL146" s="179"/>
      <c r="BM146" s="182">
        <v>44337</v>
      </c>
      <c r="BN146" s="178" t="s">
        <v>16</v>
      </c>
      <c r="BO146" s="263">
        <f>DATEDIF(AW146,BM146, "M")+1</f>
        <v>51</v>
      </c>
      <c r="BP146" s="263">
        <f t="shared" si="38"/>
        <v>43</v>
      </c>
      <c r="BQ146" s="187" t="s">
        <v>2173</v>
      </c>
      <c r="BR146" s="178">
        <v>1</v>
      </c>
      <c r="BS146" s="178">
        <v>2</v>
      </c>
      <c r="BT146" s="178">
        <v>2</v>
      </c>
      <c r="BU146" s="178"/>
      <c r="BV146" s="178"/>
      <c r="BW146" s="178"/>
      <c r="BX146" s="178"/>
      <c r="BY146" s="178" t="s">
        <v>163</v>
      </c>
      <c r="BZ146" s="178" t="s">
        <v>150</v>
      </c>
      <c r="CA146" s="178" t="s">
        <v>2174</v>
      </c>
      <c r="CB146" s="184">
        <v>42830</v>
      </c>
      <c r="CC146" s="184">
        <v>43982</v>
      </c>
      <c r="CD146" s="178">
        <v>37</v>
      </c>
      <c r="CE146" s="178" t="s">
        <v>163</v>
      </c>
      <c r="CF146" s="178"/>
      <c r="CG146" s="178"/>
      <c r="CH146" s="377">
        <v>0</v>
      </c>
      <c r="CI146" s="178">
        <v>0</v>
      </c>
      <c r="CJ146" s="178"/>
      <c r="CK146" s="178" t="s">
        <v>1822</v>
      </c>
      <c r="CL146"/>
    </row>
    <row r="147" spans="1:90" s="53" customFormat="1" ht="24.95" customHeight="1">
      <c r="A147" s="178">
        <v>150</v>
      </c>
      <c r="B147" s="178" t="s">
        <v>2175</v>
      </c>
      <c r="C147" s="178" t="s">
        <v>2176</v>
      </c>
      <c r="D147" s="178" t="s">
        <v>2177</v>
      </c>
      <c r="E147" s="178" t="s">
        <v>2178</v>
      </c>
      <c r="F147" s="178" t="s">
        <v>24</v>
      </c>
      <c r="G147" s="178">
        <v>7</v>
      </c>
      <c r="H147" s="178" t="s">
        <v>54</v>
      </c>
      <c r="I147" s="178" t="s">
        <v>39</v>
      </c>
      <c r="J147" s="178" t="s">
        <v>1421</v>
      </c>
      <c r="K147" s="178" t="s">
        <v>2179</v>
      </c>
      <c r="L147" s="178" t="s">
        <v>39</v>
      </c>
      <c r="M147" s="178" t="s">
        <v>150</v>
      </c>
      <c r="N147" s="178" t="s">
        <v>2180</v>
      </c>
      <c r="O147" s="178" t="s">
        <v>151</v>
      </c>
      <c r="P147" s="178" t="s">
        <v>151</v>
      </c>
      <c r="Q147" s="178" t="s">
        <v>151</v>
      </c>
      <c r="R147" s="178" t="s">
        <v>2181</v>
      </c>
      <c r="S147" s="384" t="s">
        <v>2182</v>
      </c>
      <c r="T147" s="351" t="s">
        <v>2183</v>
      </c>
      <c r="U147" s="179" t="s">
        <v>2184</v>
      </c>
      <c r="V147" s="179">
        <v>26823</v>
      </c>
      <c r="W147" s="187" t="s">
        <v>2185</v>
      </c>
      <c r="X147" s="187" t="s">
        <v>179</v>
      </c>
      <c r="Y147" s="187" t="s">
        <v>163</v>
      </c>
      <c r="Z147" s="187"/>
      <c r="AA147" s="178"/>
      <c r="AB147" s="179">
        <v>42458</v>
      </c>
      <c r="AC147" s="288">
        <v>42795</v>
      </c>
      <c r="AD147" s="179"/>
      <c r="AE147" s="311" t="s">
        <v>2186</v>
      </c>
      <c r="AF147" s="179"/>
      <c r="AG147" s="179"/>
      <c r="AH147" s="178">
        <f t="shared" si="33"/>
        <v>1</v>
      </c>
      <c r="AI147" s="179" t="s">
        <v>161</v>
      </c>
      <c r="AJ147" s="179"/>
      <c r="AK147" s="179"/>
      <c r="AL147" s="179" t="s">
        <v>150</v>
      </c>
      <c r="AM147" s="179"/>
      <c r="AN147" s="179"/>
      <c r="AO147" s="179" t="s">
        <v>182</v>
      </c>
      <c r="AP147" s="178" t="s">
        <v>2187</v>
      </c>
      <c r="AQ147" s="179" t="s">
        <v>203</v>
      </c>
      <c r="AR147" s="179"/>
      <c r="AS147" s="179"/>
      <c r="AT147" s="420" t="s">
        <v>285</v>
      </c>
      <c r="AU147" s="178" t="s">
        <v>2188</v>
      </c>
      <c r="AV147" s="179"/>
      <c r="AW147" s="180">
        <v>42793</v>
      </c>
      <c r="AX147" s="180">
        <v>43045</v>
      </c>
      <c r="AY147" s="180" t="s">
        <v>150</v>
      </c>
      <c r="AZ147" s="180">
        <v>43348</v>
      </c>
      <c r="BA147" s="180">
        <v>43353</v>
      </c>
      <c r="BB147" s="180"/>
      <c r="BC147" s="180"/>
      <c r="BD147" s="180"/>
      <c r="BE147" s="181" t="s">
        <v>2189</v>
      </c>
      <c r="BF147" s="180">
        <v>43675</v>
      </c>
      <c r="BG147" s="180" t="s">
        <v>150</v>
      </c>
      <c r="BH147" s="180">
        <v>43891</v>
      </c>
      <c r="BI147" s="180" t="s">
        <v>150</v>
      </c>
      <c r="BJ147" s="179"/>
      <c r="BK147" s="179"/>
      <c r="BL147" s="179"/>
      <c r="BM147" s="188">
        <v>43813</v>
      </c>
      <c r="BN147" s="178" t="s">
        <v>16</v>
      </c>
      <c r="BO147" s="263">
        <f t="shared" ref="BO147:BO148" si="39">DATEDIF(AW147,BM147, "M")+1</f>
        <v>34</v>
      </c>
      <c r="BP147" s="263">
        <f t="shared" si="38"/>
        <v>26</v>
      </c>
      <c r="BQ147" s="178"/>
      <c r="BR147" s="178">
        <v>0</v>
      </c>
      <c r="BS147" s="178">
        <v>1</v>
      </c>
      <c r="BT147" s="178">
        <v>2</v>
      </c>
      <c r="BU147" s="178"/>
      <c r="BV147" s="178"/>
      <c r="BW147" s="178"/>
      <c r="BX147" s="178"/>
      <c r="BY147" s="178" t="s">
        <v>163</v>
      </c>
      <c r="BZ147" s="178" t="s">
        <v>163</v>
      </c>
      <c r="CA147" s="178"/>
      <c r="CB147" s="184"/>
      <c r="CC147" s="184"/>
      <c r="CD147" s="178"/>
      <c r="CE147" s="178" t="s">
        <v>163</v>
      </c>
      <c r="CF147" s="178"/>
      <c r="CG147" s="178"/>
      <c r="CH147" s="377">
        <v>3</v>
      </c>
      <c r="CI147" s="178">
        <v>3</v>
      </c>
      <c r="CJ147" s="178"/>
      <c r="CK147" s="178" t="s">
        <v>1822</v>
      </c>
      <c r="CL147"/>
    </row>
    <row r="148" spans="1:90" s="53" customFormat="1" ht="24.95" customHeight="1">
      <c r="A148" s="178">
        <v>151</v>
      </c>
      <c r="B148" s="178" t="s">
        <v>2190</v>
      </c>
      <c r="C148" s="178" t="s">
        <v>2191</v>
      </c>
      <c r="D148" s="178" t="s">
        <v>2192</v>
      </c>
      <c r="E148" s="178" t="s">
        <v>2193</v>
      </c>
      <c r="F148" s="178" t="s">
        <v>24</v>
      </c>
      <c r="G148" s="178">
        <v>7</v>
      </c>
      <c r="H148" s="178" t="s">
        <v>53</v>
      </c>
      <c r="I148" s="178" t="s">
        <v>46</v>
      </c>
      <c r="J148" s="178" t="s">
        <v>2194</v>
      </c>
      <c r="K148" s="178" t="s">
        <v>2140</v>
      </c>
      <c r="L148" s="178" t="s">
        <v>45</v>
      </c>
      <c r="M148" s="178" t="s">
        <v>163</v>
      </c>
      <c r="N148" s="178">
        <v>1487823</v>
      </c>
      <c r="O148" s="178" t="s">
        <v>151</v>
      </c>
      <c r="P148" s="178" t="s">
        <v>151</v>
      </c>
      <c r="Q148" s="178" t="s">
        <v>151</v>
      </c>
      <c r="R148" s="384" t="s">
        <v>2195</v>
      </c>
      <c r="S148" s="384" t="s">
        <v>2196</v>
      </c>
      <c r="T148" s="351" t="s">
        <v>2197</v>
      </c>
      <c r="U148" s="179" t="s">
        <v>2198</v>
      </c>
      <c r="V148" s="179">
        <v>30105</v>
      </c>
      <c r="W148" s="187" t="s">
        <v>2199</v>
      </c>
      <c r="X148" s="187" t="s">
        <v>179</v>
      </c>
      <c r="Y148" s="187" t="s">
        <v>163</v>
      </c>
      <c r="Z148" s="187"/>
      <c r="AA148" s="178">
        <v>18</v>
      </c>
      <c r="AB148" s="179">
        <v>42855</v>
      </c>
      <c r="AC148" s="288">
        <v>42795</v>
      </c>
      <c r="AD148" s="179"/>
      <c r="AE148" s="179" t="s">
        <v>2169</v>
      </c>
      <c r="AF148" s="313" t="s">
        <v>2200</v>
      </c>
      <c r="AG148" s="313" t="s">
        <v>2201</v>
      </c>
      <c r="AH148" s="178">
        <f t="shared" si="33"/>
        <v>3</v>
      </c>
      <c r="AI148" s="179" t="s">
        <v>162</v>
      </c>
      <c r="AJ148" s="179"/>
      <c r="AK148" s="179"/>
      <c r="AL148" s="179" t="s">
        <v>163</v>
      </c>
      <c r="AM148" s="179"/>
      <c r="AN148" s="179"/>
      <c r="AO148" s="179" t="s">
        <v>182</v>
      </c>
      <c r="AP148" s="178" t="s">
        <v>593</v>
      </c>
      <c r="AQ148" s="179" t="s">
        <v>2202</v>
      </c>
      <c r="AR148" s="179"/>
      <c r="AS148" s="179"/>
      <c r="AT148" s="420" t="s">
        <v>298</v>
      </c>
      <c r="AU148" s="178" t="s">
        <v>2203</v>
      </c>
      <c r="AV148" s="179"/>
      <c r="AW148" s="180">
        <v>42793</v>
      </c>
      <c r="AX148" s="180">
        <v>43045</v>
      </c>
      <c r="AY148" s="180" t="s">
        <v>150</v>
      </c>
      <c r="AZ148" s="180">
        <v>43235</v>
      </c>
      <c r="BA148" s="180">
        <v>43329</v>
      </c>
      <c r="BB148" s="180">
        <v>43329</v>
      </c>
      <c r="BC148" s="180"/>
      <c r="BD148" s="180"/>
      <c r="BE148" s="181" t="s">
        <v>2204</v>
      </c>
      <c r="BF148" s="180">
        <v>43675</v>
      </c>
      <c r="BG148" s="180" t="s">
        <v>150</v>
      </c>
      <c r="BH148" s="180">
        <v>43891</v>
      </c>
      <c r="BI148" s="180" t="s">
        <v>150</v>
      </c>
      <c r="BJ148" s="179"/>
      <c r="BK148" s="179"/>
      <c r="BL148" s="179"/>
      <c r="BM148" s="182">
        <v>44337</v>
      </c>
      <c r="BN148" s="178" t="s">
        <v>16</v>
      </c>
      <c r="BO148" s="263">
        <f t="shared" si="39"/>
        <v>51</v>
      </c>
      <c r="BP148" s="263">
        <f t="shared" si="38"/>
        <v>43</v>
      </c>
      <c r="BQ148" s="187" t="s">
        <v>2204</v>
      </c>
      <c r="BR148" s="178">
        <v>1</v>
      </c>
      <c r="BS148" s="178">
        <v>9</v>
      </c>
      <c r="BT148" s="178">
        <v>2</v>
      </c>
      <c r="BU148" s="178"/>
      <c r="BV148" s="178"/>
      <c r="BW148" s="178"/>
      <c r="BX148" s="178"/>
      <c r="BY148" s="178" t="s">
        <v>163</v>
      </c>
      <c r="BZ148" s="178" t="s">
        <v>150</v>
      </c>
      <c r="CA148" s="178" t="s">
        <v>2205</v>
      </c>
      <c r="CB148" s="184">
        <v>43647</v>
      </c>
      <c r="CC148" s="184">
        <v>44196</v>
      </c>
      <c r="CD148" s="178">
        <v>17</v>
      </c>
      <c r="CE148" s="178" t="s">
        <v>163</v>
      </c>
      <c r="CF148" s="178"/>
      <c r="CG148" s="178"/>
      <c r="CH148" s="377">
        <v>2</v>
      </c>
      <c r="CI148" s="178">
        <v>2</v>
      </c>
      <c r="CJ148" s="178"/>
      <c r="CK148" s="178" t="s">
        <v>1822</v>
      </c>
      <c r="CL148"/>
    </row>
    <row r="149" spans="1:90" s="53" customFormat="1" ht="24.95" customHeight="1">
      <c r="A149" s="178">
        <v>152</v>
      </c>
      <c r="B149" s="178" t="s">
        <v>2206</v>
      </c>
      <c r="C149" s="178" t="s">
        <v>1475</v>
      </c>
      <c r="D149" s="178"/>
      <c r="E149" s="178" t="s">
        <v>2207</v>
      </c>
      <c r="F149" s="178" t="s">
        <v>25</v>
      </c>
      <c r="G149" s="178">
        <v>7</v>
      </c>
      <c r="H149" s="178" t="s">
        <v>55</v>
      </c>
      <c r="I149" s="178" t="s">
        <v>43</v>
      </c>
      <c r="J149" s="178" t="s">
        <v>224</v>
      </c>
      <c r="K149" s="178" t="s">
        <v>2208</v>
      </c>
      <c r="L149" s="178" t="s">
        <v>35</v>
      </c>
      <c r="M149" s="178" t="s">
        <v>163</v>
      </c>
      <c r="N149" s="178"/>
      <c r="O149" s="178" t="s">
        <v>151</v>
      </c>
      <c r="P149" s="178" t="s">
        <v>151</v>
      </c>
      <c r="Q149" s="178"/>
      <c r="R149" s="384" t="s">
        <v>2209</v>
      </c>
      <c r="S149" s="384" t="s">
        <v>2210</v>
      </c>
      <c r="T149" s="352" t="s">
        <v>2211</v>
      </c>
      <c r="U149" s="189" t="s">
        <v>2212</v>
      </c>
      <c r="V149" s="179">
        <v>30296</v>
      </c>
      <c r="W149" s="187" t="s">
        <v>2213</v>
      </c>
      <c r="X149" s="187" t="s">
        <v>179</v>
      </c>
      <c r="Y149" s="187"/>
      <c r="Z149" s="187"/>
      <c r="AA149" s="178"/>
      <c r="AB149" s="179">
        <v>42916</v>
      </c>
      <c r="AC149" s="288">
        <v>42795</v>
      </c>
      <c r="AD149" s="179"/>
      <c r="AE149" s="179" t="s">
        <v>2214</v>
      </c>
      <c r="AF149" s="313" t="s">
        <v>2215</v>
      </c>
      <c r="AG149" s="313" t="s">
        <v>2216</v>
      </c>
      <c r="AH149" s="178">
        <f t="shared" si="33"/>
        <v>3</v>
      </c>
      <c r="AI149" s="179" t="s">
        <v>162</v>
      </c>
      <c r="AJ149" s="179"/>
      <c r="AK149" s="179"/>
      <c r="AL149" s="179" t="s">
        <v>150</v>
      </c>
      <c r="AM149" s="179"/>
      <c r="AN149" s="179"/>
      <c r="AO149" s="179" t="s">
        <v>164</v>
      </c>
      <c r="AP149" s="178" t="s">
        <v>181</v>
      </c>
      <c r="AQ149" s="179" t="s">
        <v>250</v>
      </c>
      <c r="AR149" s="179" t="s">
        <v>150</v>
      </c>
      <c r="AS149" s="179"/>
      <c r="AT149" s="420" t="s">
        <v>219</v>
      </c>
      <c r="AU149" s="178" t="s">
        <v>2217</v>
      </c>
      <c r="AV149" s="179"/>
      <c r="AW149" s="180">
        <v>42793</v>
      </c>
      <c r="AX149" s="180">
        <v>43045</v>
      </c>
      <c r="AY149" s="180" t="s">
        <v>150</v>
      </c>
      <c r="AZ149" s="180">
        <v>43290</v>
      </c>
      <c r="BA149" s="180">
        <v>43447</v>
      </c>
      <c r="BB149" s="180"/>
      <c r="BC149" s="180"/>
      <c r="BD149" s="180"/>
      <c r="BE149" s="181" t="s">
        <v>2218</v>
      </c>
      <c r="BF149" s="179">
        <v>44207</v>
      </c>
      <c r="BG149" s="179" t="s">
        <v>163</v>
      </c>
      <c r="BH149" s="179">
        <v>44410</v>
      </c>
      <c r="BI149" s="179" t="s">
        <v>163</v>
      </c>
      <c r="BJ149" s="179"/>
      <c r="BK149" s="179"/>
      <c r="BL149" s="179"/>
      <c r="BM149" s="182">
        <v>45273</v>
      </c>
      <c r="BN149" s="190" t="s">
        <v>16</v>
      </c>
      <c r="BO149" s="263"/>
      <c r="BP149" s="263">
        <f t="shared" si="38"/>
        <v>74</v>
      </c>
      <c r="BQ149" s="178"/>
      <c r="BR149" s="178"/>
      <c r="BS149" s="178"/>
      <c r="BT149" s="178"/>
      <c r="BU149" s="178"/>
      <c r="BV149" s="178"/>
      <c r="BW149" s="178"/>
      <c r="BX149" s="178"/>
      <c r="BY149" s="178" t="s">
        <v>163</v>
      </c>
      <c r="BZ149" s="178"/>
      <c r="CA149" s="178"/>
      <c r="CB149" s="184"/>
      <c r="CC149" s="184"/>
      <c r="CD149" s="178"/>
      <c r="CE149" s="178"/>
      <c r="CF149" s="178"/>
      <c r="CG149" s="178"/>
      <c r="CH149" s="377">
        <v>3</v>
      </c>
      <c r="CI149" s="178"/>
      <c r="CJ149" s="178"/>
      <c r="CK149" s="178" t="s">
        <v>2219</v>
      </c>
      <c r="CL149"/>
    </row>
    <row r="150" spans="1:90" s="53" customFormat="1" ht="24.95" customHeight="1">
      <c r="A150" s="178">
        <v>153</v>
      </c>
      <c r="B150" s="178" t="s">
        <v>2220</v>
      </c>
      <c r="C150" s="178" t="s">
        <v>2221</v>
      </c>
      <c r="D150" s="178" t="s">
        <v>2222</v>
      </c>
      <c r="E150" s="178" t="s">
        <v>2223</v>
      </c>
      <c r="F150" s="178" t="s">
        <v>24</v>
      </c>
      <c r="G150" s="178">
        <v>7</v>
      </c>
      <c r="H150" s="178" t="s">
        <v>52</v>
      </c>
      <c r="I150" s="178" t="s">
        <v>42</v>
      </c>
      <c r="J150" s="178" t="s">
        <v>2224</v>
      </c>
      <c r="K150" s="178" t="s">
        <v>2225</v>
      </c>
      <c r="L150" s="178" t="s">
        <v>42</v>
      </c>
      <c r="M150" s="178" t="s">
        <v>150</v>
      </c>
      <c r="N150" s="178">
        <v>10127492016</v>
      </c>
      <c r="O150" s="178" t="s">
        <v>151</v>
      </c>
      <c r="P150" s="178" t="s">
        <v>151</v>
      </c>
      <c r="Q150" s="178" t="s">
        <v>151</v>
      </c>
      <c r="R150" s="384" t="s">
        <v>2226</v>
      </c>
      <c r="S150" s="384" t="s">
        <v>2227</v>
      </c>
      <c r="T150" s="351" t="s">
        <v>2228</v>
      </c>
      <c r="U150" s="179" t="s">
        <v>2229</v>
      </c>
      <c r="V150" s="179">
        <v>26570</v>
      </c>
      <c r="W150" s="187" t="s">
        <v>2230</v>
      </c>
      <c r="X150" s="187" t="s">
        <v>179</v>
      </c>
      <c r="Y150" s="187" t="s">
        <v>163</v>
      </c>
      <c r="Z150" s="187"/>
      <c r="AA150" s="178">
        <v>21</v>
      </c>
      <c r="AB150" s="179">
        <v>42982</v>
      </c>
      <c r="AC150" s="288">
        <v>42795</v>
      </c>
      <c r="AD150" s="179"/>
      <c r="AE150" s="179" t="s">
        <v>2231</v>
      </c>
      <c r="AF150" s="179" t="s">
        <v>2232</v>
      </c>
      <c r="AG150" s="179" t="s">
        <v>2233</v>
      </c>
      <c r="AH150" s="178">
        <f t="shared" si="33"/>
        <v>3</v>
      </c>
      <c r="AI150" s="179" t="s">
        <v>161</v>
      </c>
      <c r="AJ150" s="179"/>
      <c r="AK150" s="179"/>
      <c r="AL150" s="179" t="s">
        <v>150</v>
      </c>
      <c r="AM150" s="179"/>
      <c r="AN150" s="179"/>
      <c r="AO150" s="179" t="s">
        <v>202</v>
      </c>
      <c r="AP150" s="178" t="s">
        <v>2234</v>
      </c>
      <c r="AQ150" s="179" t="s">
        <v>2235</v>
      </c>
      <c r="AR150" s="179"/>
      <c r="AS150" s="179"/>
      <c r="AT150" s="420" t="s">
        <v>420</v>
      </c>
      <c r="AU150" s="178" t="s">
        <v>2236</v>
      </c>
      <c r="AV150" s="179"/>
      <c r="AW150" s="180">
        <v>42793</v>
      </c>
      <c r="AX150" s="180">
        <v>43045</v>
      </c>
      <c r="AY150" s="180" t="s">
        <v>150</v>
      </c>
      <c r="AZ150" s="180">
        <v>43140</v>
      </c>
      <c r="BA150" s="180">
        <v>43251</v>
      </c>
      <c r="BB150" s="180"/>
      <c r="BC150" s="180"/>
      <c r="BD150" s="180"/>
      <c r="BE150" s="181" t="s">
        <v>2237</v>
      </c>
      <c r="BF150" s="180">
        <v>43675</v>
      </c>
      <c r="BG150" s="180" t="s">
        <v>150</v>
      </c>
      <c r="BH150" s="180">
        <v>43891</v>
      </c>
      <c r="BI150" s="180" t="s">
        <v>150</v>
      </c>
      <c r="BJ150" s="179">
        <v>44260</v>
      </c>
      <c r="BK150" s="179">
        <v>44468</v>
      </c>
      <c r="BL150" s="179"/>
      <c r="BM150" s="182">
        <v>44468</v>
      </c>
      <c r="BN150" s="178" t="s">
        <v>16</v>
      </c>
      <c r="BO150" s="263">
        <f>DATEDIF(AW150,BM150, "M")+1</f>
        <v>56</v>
      </c>
      <c r="BP150" s="263">
        <f t="shared" si="38"/>
        <v>47</v>
      </c>
      <c r="BQ150" s="178"/>
      <c r="BR150" s="178">
        <v>0</v>
      </c>
      <c r="BS150" s="178">
        <v>2</v>
      </c>
      <c r="BT150" s="178">
        <v>0</v>
      </c>
      <c r="BU150" s="178"/>
      <c r="BV150" s="178"/>
      <c r="BW150" s="178"/>
      <c r="BX150" s="178"/>
      <c r="BY150" s="178" t="s">
        <v>163</v>
      </c>
      <c r="BZ150" s="178" t="s">
        <v>163</v>
      </c>
      <c r="CA150" s="178"/>
      <c r="CB150" s="184"/>
      <c r="CC150" s="184"/>
      <c r="CD150" s="178"/>
      <c r="CE150" s="178" t="s">
        <v>163</v>
      </c>
      <c r="CF150" s="178"/>
      <c r="CG150" s="178"/>
      <c r="CH150" s="377">
        <v>5</v>
      </c>
      <c r="CI150" s="178">
        <v>5</v>
      </c>
      <c r="CJ150" s="178"/>
      <c r="CK150" s="178" t="s">
        <v>2219</v>
      </c>
      <c r="CL150"/>
    </row>
    <row r="151" spans="1:90" s="53" customFormat="1" ht="24.95" customHeight="1">
      <c r="A151" s="178">
        <v>154</v>
      </c>
      <c r="B151" s="178" t="s">
        <v>2238</v>
      </c>
      <c r="C151" s="178" t="s">
        <v>1851</v>
      </c>
      <c r="D151" s="178" t="s">
        <v>2239</v>
      </c>
      <c r="E151" s="178" t="s">
        <v>2240</v>
      </c>
      <c r="F151" s="178" t="s">
        <v>24</v>
      </c>
      <c r="G151" s="178">
        <v>7</v>
      </c>
      <c r="H151" s="178" t="s">
        <v>54</v>
      </c>
      <c r="I151" s="178" t="s">
        <v>31</v>
      </c>
      <c r="J151" s="178" t="s">
        <v>602</v>
      </c>
      <c r="K151" s="178" t="s">
        <v>2241</v>
      </c>
      <c r="L151" s="178" t="s">
        <v>31</v>
      </c>
      <c r="M151" s="178" t="s">
        <v>150</v>
      </c>
      <c r="N151" s="178">
        <v>1706</v>
      </c>
      <c r="O151" s="178" t="s">
        <v>151</v>
      </c>
      <c r="P151" s="178" t="s">
        <v>151</v>
      </c>
      <c r="Q151" s="178" t="s">
        <v>151</v>
      </c>
      <c r="R151" s="384" t="s">
        <v>2242</v>
      </c>
      <c r="S151" s="384" t="s">
        <v>2243</v>
      </c>
      <c r="T151" s="352" t="s">
        <v>2244</v>
      </c>
      <c r="U151" s="179"/>
      <c r="V151" s="179">
        <v>27928</v>
      </c>
      <c r="W151" s="187" t="s">
        <v>2245</v>
      </c>
      <c r="X151" s="187" t="s">
        <v>179</v>
      </c>
      <c r="Y151" s="187"/>
      <c r="Z151" s="187"/>
      <c r="AA151" s="178">
        <v>30.5</v>
      </c>
      <c r="AB151" s="179">
        <v>42999</v>
      </c>
      <c r="AC151" s="288">
        <v>42795</v>
      </c>
      <c r="AD151" s="179"/>
      <c r="AE151" s="179" t="s">
        <v>2246</v>
      </c>
      <c r="AF151" s="179" t="s">
        <v>2247</v>
      </c>
      <c r="AG151" s="179"/>
      <c r="AH151" s="178">
        <f t="shared" si="33"/>
        <v>2</v>
      </c>
      <c r="AI151" s="179" t="s">
        <v>161</v>
      </c>
      <c r="AJ151" s="179"/>
      <c r="AK151" s="179"/>
      <c r="AL151" s="179" t="s">
        <v>150</v>
      </c>
      <c r="AM151" s="179"/>
      <c r="AN151" s="179"/>
      <c r="AO151" s="179" t="s">
        <v>164</v>
      </c>
      <c r="AP151" s="178"/>
      <c r="AQ151" s="179" t="s">
        <v>250</v>
      </c>
      <c r="AR151" s="179" t="s">
        <v>150</v>
      </c>
      <c r="AS151" s="179"/>
      <c r="AT151" s="420" t="s">
        <v>328</v>
      </c>
      <c r="AU151" s="178" t="s">
        <v>2248</v>
      </c>
      <c r="AV151" s="179"/>
      <c r="AW151" s="180">
        <v>42793</v>
      </c>
      <c r="AX151" s="180">
        <v>43045</v>
      </c>
      <c r="AY151" s="180" t="s">
        <v>150</v>
      </c>
      <c r="AZ151" s="180"/>
      <c r="BA151" s="180"/>
      <c r="BB151" s="180"/>
      <c r="BC151" s="180"/>
      <c r="BD151" s="180"/>
      <c r="BE151" s="181" t="s">
        <v>2249</v>
      </c>
      <c r="BF151" s="180">
        <v>43675</v>
      </c>
      <c r="BG151" s="180" t="s">
        <v>150</v>
      </c>
      <c r="BH151" s="180">
        <v>43891</v>
      </c>
      <c r="BI151" s="180" t="s">
        <v>150</v>
      </c>
      <c r="BJ151" s="179"/>
      <c r="BK151" s="179">
        <v>44435</v>
      </c>
      <c r="BL151" s="179">
        <v>44452</v>
      </c>
      <c r="BM151" s="182">
        <v>44452</v>
      </c>
      <c r="BN151" s="178" t="s">
        <v>16</v>
      </c>
      <c r="BO151" s="178">
        <f t="shared" ref="BO151:BO152" si="40">DATEDIF(AW151,BM151, "M")+1</f>
        <v>55</v>
      </c>
      <c r="BP151" s="263">
        <f t="shared" si="38"/>
        <v>47</v>
      </c>
      <c r="BQ151" s="187" t="s">
        <v>2250</v>
      </c>
      <c r="BR151" s="178">
        <v>7</v>
      </c>
      <c r="BS151" s="178">
        <v>9</v>
      </c>
      <c r="BT151" s="178">
        <v>4</v>
      </c>
      <c r="BU151" s="178"/>
      <c r="BV151" s="178"/>
      <c r="BW151" s="178"/>
      <c r="BX151" s="178"/>
      <c r="BY151" s="178" t="s">
        <v>163</v>
      </c>
      <c r="BZ151" s="178"/>
      <c r="CA151" s="178"/>
      <c r="CB151" s="184">
        <v>44078</v>
      </c>
      <c r="CC151" s="184">
        <v>44256</v>
      </c>
      <c r="CD151" s="178">
        <v>6</v>
      </c>
      <c r="CE151" s="178"/>
      <c r="CF151" s="178"/>
      <c r="CG151" s="178"/>
      <c r="CH151" s="377">
        <v>4</v>
      </c>
      <c r="CI151" s="178">
        <v>4</v>
      </c>
      <c r="CJ151" s="178"/>
      <c r="CK151" s="178" t="s">
        <v>1822</v>
      </c>
      <c r="CL151"/>
    </row>
    <row r="152" spans="1:90" s="53" customFormat="1" ht="24.95" customHeight="1">
      <c r="A152" s="178">
        <v>155</v>
      </c>
      <c r="B152" s="178" t="s">
        <v>2251</v>
      </c>
      <c r="C152" s="178" t="s">
        <v>2252</v>
      </c>
      <c r="D152" s="178" t="s">
        <v>2253</v>
      </c>
      <c r="E152" s="178" t="s">
        <v>2254</v>
      </c>
      <c r="F152" s="178" t="s">
        <v>24</v>
      </c>
      <c r="G152" s="178">
        <v>7</v>
      </c>
      <c r="H152" s="178" t="s">
        <v>53</v>
      </c>
      <c r="I152" s="178" t="s">
        <v>46</v>
      </c>
      <c r="J152" s="178" t="s">
        <v>602</v>
      </c>
      <c r="K152" s="178" t="s">
        <v>602</v>
      </c>
      <c r="L152" s="178" t="s">
        <v>45</v>
      </c>
      <c r="M152" s="178" t="s">
        <v>163</v>
      </c>
      <c r="N152" s="178">
        <v>1746377</v>
      </c>
      <c r="O152" s="178" t="s">
        <v>151</v>
      </c>
      <c r="P152" s="178" t="s">
        <v>151</v>
      </c>
      <c r="Q152" s="178"/>
      <c r="R152" s="185" t="s">
        <v>2255</v>
      </c>
      <c r="S152" s="178" t="s">
        <v>2256</v>
      </c>
      <c r="T152" s="352" t="s">
        <v>2257</v>
      </c>
      <c r="U152" s="179" t="s">
        <v>817</v>
      </c>
      <c r="V152" s="179">
        <v>29816</v>
      </c>
      <c r="W152" s="187" t="s">
        <v>2258</v>
      </c>
      <c r="X152" s="187" t="s">
        <v>179</v>
      </c>
      <c r="Y152" s="187" t="s">
        <v>163</v>
      </c>
      <c r="Z152" s="187"/>
      <c r="AA152" s="178">
        <v>20</v>
      </c>
      <c r="AB152" s="179">
        <v>42978</v>
      </c>
      <c r="AC152" s="288">
        <v>42795</v>
      </c>
      <c r="AD152" s="179"/>
      <c r="AE152" s="178" t="s">
        <v>2259</v>
      </c>
      <c r="AF152" s="178" t="s">
        <v>2260</v>
      </c>
      <c r="AG152" s="179"/>
      <c r="AH152" s="178">
        <f t="shared" si="33"/>
        <v>2</v>
      </c>
      <c r="AI152" s="179" t="s">
        <v>161</v>
      </c>
      <c r="AJ152" s="179"/>
      <c r="AK152" s="179"/>
      <c r="AL152" s="179" t="s">
        <v>150</v>
      </c>
      <c r="AM152" s="179"/>
      <c r="AN152" s="179"/>
      <c r="AO152" s="179" t="s">
        <v>182</v>
      </c>
      <c r="AP152" s="178" t="s">
        <v>2261</v>
      </c>
      <c r="AQ152" s="179" t="s">
        <v>2262</v>
      </c>
      <c r="AR152" s="179"/>
      <c r="AS152" s="179"/>
      <c r="AT152" s="420" t="s">
        <v>298</v>
      </c>
      <c r="AU152" s="178" t="s">
        <v>2263</v>
      </c>
      <c r="AV152" s="179"/>
      <c r="AW152" s="180">
        <v>42793</v>
      </c>
      <c r="AX152" s="180">
        <v>43045</v>
      </c>
      <c r="AY152" s="180" t="s">
        <v>150</v>
      </c>
      <c r="AZ152" s="180">
        <v>43341</v>
      </c>
      <c r="BA152" s="180">
        <v>43410</v>
      </c>
      <c r="BB152" s="180"/>
      <c r="BC152" s="180"/>
      <c r="BD152" s="180"/>
      <c r="BE152" s="181" t="s">
        <v>2264</v>
      </c>
      <c r="BF152" s="180">
        <v>43675</v>
      </c>
      <c r="BG152" s="180" t="s">
        <v>150</v>
      </c>
      <c r="BH152" s="180">
        <v>43891</v>
      </c>
      <c r="BI152" s="180" t="s">
        <v>150</v>
      </c>
      <c r="BJ152" s="179"/>
      <c r="BK152" s="179"/>
      <c r="BL152" s="179"/>
      <c r="BM152" s="182">
        <v>45248</v>
      </c>
      <c r="BN152" s="190" t="s">
        <v>16</v>
      </c>
      <c r="BO152" s="178">
        <f t="shared" si="40"/>
        <v>81</v>
      </c>
      <c r="BP152" s="263">
        <f t="shared" si="38"/>
        <v>73</v>
      </c>
      <c r="BQ152" s="187" t="s">
        <v>2265</v>
      </c>
      <c r="BR152" s="178">
        <v>1</v>
      </c>
      <c r="BS152" s="178">
        <v>0</v>
      </c>
      <c r="BT152" s="178">
        <v>0</v>
      </c>
      <c r="BU152" s="178"/>
      <c r="BV152" s="178"/>
      <c r="BW152" s="178"/>
      <c r="BX152" s="178"/>
      <c r="BY152" s="178" t="s">
        <v>2266</v>
      </c>
      <c r="BZ152" s="178" t="s">
        <v>163</v>
      </c>
      <c r="CA152" s="178"/>
      <c r="CB152" s="184"/>
      <c r="CC152" s="184"/>
      <c r="CD152" s="178"/>
      <c r="CE152" s="178" t="s">
        <v>163</v>
      </c>
      <c r="CF152" s="178"/>
      <c r="CG152" s="178"/>
      <c r="CH152" s="377">
        <v>2</v>
      </c>
      <c r="CI152" s="178"/>
      <c r="CJ152" s="178"/>
      <c r="CK152" s="178" t="s">
        <v>809</v>
      </c>
      <c r="CL152"/>
    </row>
    <row r="153" spans="1:90" s="53" customFormat="1" ht="24.95" customHeight="1">
      <c r="A153" s="178">
        <v>156</v>
      </c>
      <c r="B153" s="178" t="s">
        <v>2267</v>
      </c>
      <c r="C153" s="178" t="s">
        <v>2268</v>
      </c>
      <c r="D153" s="178" t="s">
        <v>2269</v>
      </c>
      <c r="E153" s="178" t="s">
        <v>2270</v>
      </c>
      <c r="F153" s="178" t="s">
        <v>25</v>
      </c>
      <c r="G153" s="178">
        <v>7</v>
      </c>
      <c r="H153" s="178" t="s">
        <v>53</v>
      </c>
      <c r="I153" s="178" t="s">
        <v>46</v>
      </c>
      <c r="J153" s="178" t="s">
        <v>2271</v>
      </c>
      <c r="K153" s="178" t="s">
        <v>2272</v>
      </c>
      <c r="L153" s="178" t="s">
        <v>44</v>
      </c>
      <c r="M153" s="178" t="s">
        <v>150</v>
      </c>
      <c r="N153" s="186" t="s">
        <v>2273</v>
      </c>
      <c r="O153" s="178" t="s">
        <v>151</v>
      </c>
      <c r="P153" s="178" t="s">
        <v>151</v>
      </c>
      <c r="Q153" s="178" t="s">
        <v>151</v>
      </c>
      <c r="R153" s="178" t="s">
        <v>2274</v>
      </c>
      <c r="S153" s="384" t="s">
        <v>2275</v>
      </c>
      <c r="T153" s="352" t="s">
        <v>2276</v>
      </c>
      <c r="U153" s="179" t="s">
        <v>2277</v>
      </c>
      <c r="V153" s="179">
        <v>27916</v>
      </c>
      <c r="W153" s="187" t="s">
        <v>2278</v>
      </c>
      <c r="X153" s="187" t="s">
        <v>156</v>
      </c>
      <c r="Y153" s="187"/>
      <c r="Z153" s="187"/>
      <c r="AA153" s="178">
        <v>18.5</v>
      </c>
      <c r="AB153" s="179">
        <v>42704</v>
      </c>
      <c r="AC153" s="288">
        <v>42795</v>
      </c>
      <c r="AD153" s="179"/>
      <c r="AE153" s="179" t="s">
        <v>2279</v>
      </c>
      <c r="AF153" s="179" t="s">
        <v>2280</v>
      </c>
      <c r="AG153" s="179"/>
      <c r="AH153" s="178">
        <f t="shared" si="33"/>
        <v>2</v>
      </c>
      <c r="AI153" s="179" t="s">
        <v>161</v>
      </c>
      <c r="AJ153" s="179"/>
      <c r="AK153" s="179"/>
      <c r="AL153" s="179" t="s">
        <v>163</v>
      </c>
      <c r="AM153" s="179"/>
      <c r="AN153" s="179"/>
      <c r="AO153" s="179" t="s">
        <v>164</v>
      </c>
      <c r="AP153" s="178" t="s">
        <v>203</v>
      </c>
      <c r="AQ153" s="179" t="s">
        <v>217</v>
      </c>
      <c r="AR153" s="179" t="s">
        <v>150</v>
      </c>
      <c r="AS153" s="191" t="s">
        <v>2281</v>
      </c>
      <c r="AT153" s="420" t="s">
        <v>298</v>
      </c>
      <c r="AU153" s="178" t="s">
        <v>2282</v>
      </c>
      <c r="AV153" s="179"/>
      <c r="AW153" s="180">
        <v>42793</v>
      </c>
      <c r="AX153" s="180">
        <v>43045</v>
      </c>
      <c r="AY153" s="180" t="s">
        <v>150</v>
      </c>
      <c r="AZ153" s="180">
        <v>42892</v>
      </c>
      <c r="BA153" s="180">
        <v>42975</v>
      </c>
      <c r="BB153" s="180"/>
      <c r="BC153" s="180"/>
      <c r="BD153" s="180"/>
      <c r="BE153" s="181" t="s">
        <v>2283</v>
      </c>
      <c r="BF153" s="180">
        <v>43675</v>
      </c>
      <c r="BG153" s="180" t="s">
        <v>150</v>
      </c>
      <c r="BH153" s="180">
        <v>43891</v>
      </c>
      <c r="BI153" s="180" t="s">
        <v>150</v>
      </c>
      <c r="BJ153" s="179"/>
      <c r="BK153" s="179">
        <v>44147</v>
      </c>
      <c r="BL153" s="179"/>
      <c r="BM153" s="182">
        <v>44181</v>
      </c>
      <c r="BN153" s="178" t="s">
        <v>16</v>
      </c>
      <c r="BO153" s="178">
        <f>DATEDIF(AW153,BM153, "M")+1</f>
        <v>46</v>
      </c>
      <c r="BP153" s="263">
        <f t="shared" si="38"/>
        <v>38</v>
      </c>
      <c r="BQ153" s="187" t="s">
        <v>2284</v>
      </c>
      <c r="BR153" s="178">
        <v>2</v>
      </c>
      <c r="BS153" s="178">
        <v>8</v>
      </c>
      <c r="BT153" s="178">
        <v>2</v>
      </c>
      <c r="BU153" s="178"/>
      <c r="BV153" s="178"/>
      <c r="BW153" s="178"/>
      <c r="BX153" s="178"/>
      <c r="BY153" s="178" t="s">
        <v>163</v>
      </c>
      <c r="BZ153" s="178" t="s">
        <v>163</v>
      </c>
      <c r="CA153" s="178"/>
      <c r="CB153" s="184"/>
      <c r="CC153" s="184"/>
      <c r="CD153" s="178"/>
      <c r="CE153" s="178" t="s">
        <v>163</v>
      </c>
      <c r="CF153" s="178"/>
      <c r="CG153" s="178"/>
      <c r="CH153" s="377">
        <v>3</v>
      </c>
      <c r="CI153" s="178">
        <v>3</v>
      </c>
      <c r="CJ153" s="178"/>
      <c r="CK153" s="178" t="s">
        <v>1822</v>
      </c>
      <c r="CL153"/>
    </row>
    <row r="154" spans="1:90" s="53" customFormat="1" ht="24.95" customHeight="1">
      <c r="A154" s="91">
        <v>157</v>
      </c>
      <c r="B154" s="91" t="s">
        <v>2285</v>
      </c>
      <c r="C154" s="91" t="s">
        <v>2286</v>
      </c>
      <c r="D154" s="91" t="s">
        <v>2287</v>
      </c>
      <c r="E154" s="91" t="s">
        <v>2288</v>
      </c>
      <c r="F154" s="91" t="s">
        <v>24</v>
      </c>
      <c r="G154" s="91">
        <v>7</v>
      </c>
      <c r="H154" s="91" t="s">
        <v>52</v>
      </c>
      <c r="I154" s="91" t="s">
        <v>42</v>
      </c>
      <c r="J154" s="91" t="s">
        <v>2289</v>
      </c>
      <c r="K154" s="91" t="s">
        <v>2290</v>
      </c>
      <c r="L154" s="91" t="s">
        <v>42</v>
      </c>
      <c r="M154" s="91" t="s">
        <v>150</v>
      </c>
      <c r="N154" s="91"/>
      <c r="O154" s="91" t="s">
        <v>151</v>
      </c>
      <c r="P154" s="91" t="s">
        <v>151</v>
      </c>
      <c r="Q154" s="91"/>
      <c r="R154" s="91" t="s">
        <v>2291</v>
      </c>
      <c r="S154" s="91" t="s">
        <v>2292</v>
      </c>
      <c r="T154" s="341" t="s">
        <v>2293</v>
      </c>
      <c r="U154" s="92"/>
      <c r="V154" s="92">
        <v>29274</v>
      </c>
      <c r="W154" s="164" t="s">
        <v>2294</v>
      </c>
      <c r="X154" s="164"/>
      <c r="Y154" s="164"/>
      <c r="Z154" s="164"/>
      <c r="AA154" s="91">
        <v>22.5</v>
      </c>
      <c r="AB154" s="92">
        <v>42978</v>
      </c>
      <c r="AC154" s="281">
        <v>42795</v>
      </c>
      <c r="AD154" s="92">
        <v>44214</v>
      </c>
      <c r="AE154" s="92" t="s">
        <v>2295</v>
      </c>
      <c r="AF154" s="92"/>
      <c r="AG154" s="92"/>
      <c r="AH154" s="91">
        <f t="shared" si="33"/>
        <v>1</v>
      </c>
      <c r="AI154" s="92" t="s">
        <v>161</v>
      </c>
      <c r="AJ154" s="92"/>
      <c r="AK154" s="92"/>
      <c r="AL154" s="92" t="s">
        <v>150</v>
      </c>
      <c r="AM154" s="92"/>
      <c r="AN154" s="92"/>
      <c r="AO154" s="92" t="s">
        <v>164</v>
      </c>
      <c r="AP154" s="91"/>
      <c r="AQ154" s="92"/>
      <c r="AR154" s="92"/>
      <c r="AS154" s="92"/>
      <c r="AT154" s="400" t="s">
        <v>420</v>
      </c>
      <c r="AU154" s="91"/>
      <c r="AV154" s="92"/>
      <c r="AW154" s="93">
        <v>42793</v>
      </c>
      <c r="AX154" s="93">
        <v>43045</v>
      </c>
      <c r="AY154" s="93" t="s">
        <v>150</v>
      </c>
      <c r="AZ154" s="93">
        <v>42970</v>
      </c>
      <c r="BA154" s="93">
        <v>43026</v>
      </c>
      <c r="BB154" s="93">
        <v>43047</v>
      </c>
      <c r="BC154" s="93"/>
      <c r="BD154" s="93"/>
      <c r="BE154" s="94" t="s">
        <v>2296</v>
      </c>
      <c r="BF154" s="93" t="s">
        <v>722</v>
      </c>
      <c r="BG154" s="93" t="s">
        <v>163</v>
      </c>
      <c r="BH154" s="93" t="s">
        <v>722</v>
      </c>
      <c r="BI154" s="93" t="s">
        <v>163</v>
      </c>
      <c r="BJ154" s="92"/>
      <c r="BK154" s="92"/>
      <c r="BL154" s="92"/>
      <c r="BM154" s="192"/>
      <c r="BN154" s="193" t="s">
        <v>18</v>
      </c>
      <c r="BO154" s="265" t="s">
        <v>18</v>
      </c>
      <c r="BP154" s="265"/>
      <c r="BQ154" s="91"/>
      <c r="BR154" s="91"/>
      <c r="BS154" s="91"/>
      <c r="BT154" s="91"/>
      <c r="BU154" s="91"/>
      <c r="BV154" s="91"/>
      <c r="BW154" s="91"/>
      <c r="BX154" s="91"/>
      <c r="BY154" s="91" t="s">
        <v>163</v>
      </c>
      <c r="BZ154" s="91"/>
      <c r="CA154" s="91"/>
      <c r="CB154" s="95"/>
      <c r="CC154" s="95"/>
      <c r="CD154" s="91"/>
      <c r="CE154" s="91"/>
      <c r="CF154" s="91"/>
      <c r="CG154" s="91"/>
      <c r="CH154" s="113"/>
      <c r="CI154" s="91"/>
      <c r="CJ154" s="91"/>
      <c r="CK154" s="91" t="s">
        <v>1822</v>
      </c>
      <c r="CL154"/>
    </row>
    <row r="155" spans="1:90" s="53" customFormat="1" ht="24.95" customHeight="1">
      <c r="A155" s="178">
        <v>158</v>
      </c>
      <c r="B155" s="178" t="s">
        <v>2297</v>
      </c>
      <c r="C155" s="178" t="s">
        <v>2298</v>
      </c>
      <c r="D155" s="178" t="s">
        <v>2299</v>
      </c>
      <c r="E155" s="178" t="s">
        <v>2300</v>
      </c>
      <c r="F155" s="178" t="s">
        <v>24</v>
      </c>
      <c r="G155" s="178">
        <v>7</v>
      </c>
      <c r="H155" s="178" t="s">
        <v>52</v>
      </c>
      <c r="I155" s="178" t="s">
        <v>37</v>
      </c>
      <c r="J155" s="178" t="s">
        <v>2301</v>
      </c>
      <c r="K155" s="178" t="s">
        <v>2302</v>
      </c>
      <c r="L155" s="178" t="s">
        <v>37</v>
      </c>
      <c r="M155" s="178" t="s">
        <v>163</v>
      </c>
      <c r="N155" s="178" t="s">
        <v>2303</v>
      </c>
      <c r="O155" s="178" t="s">
        <v>322</v>
      </c>
      <c r="P155" s="178" t="s">
        <v>322</v>
      </c>
      <c r="Q155" s="178" t="s">
        <v>322</v>
      </c>
      <c r="R155" s="178" t="s">
        <v>2304</v>
      </c>
      <c r="S155" s="178" t="s">
        <v>2305</v>
      </c>
      <c r="T155" s="352" t="s">
        <v>2306</v>
      </c>
      <c r="U155" s="179" t="s">
        <v>2307</v>
      </c>
      <c r="V155" s="179">
        <v>29754</v>
      </c>
      <c r="W155" s="187" t="s">
        <v>2308</v>
      </c>
      <c r="X155" s="187" t="s">
        <v>179</v>
      </c>
      <c r="Y155" s="187" t="s">
        <v>163</v>
      </c>
      <c r="Z155" s="187"/>
      <c r="AA155" s="178"/>
      <c r="AB155" s="179">
        <v>42856</v>
      </c>
      <c r="AC155" s="288">
        <v>42795</v>
      </c>
      <c r="AD155" s="179"/>
      <c r="AE155" s="179" t="s">
        <v>2309</v>
      </c>
      <c r="AF155" s="313" t="s">
        <v>2310</v>
      </c>
      <c r="AG155" s="179"/>
      <c r="AH155" s="178">
        <f t="shared" si="33"/>
        <v>2</v>
      </c>
      <c r="AI155" s="179" t="s">
        <v>161</v>
      </c>
      <c r="AJ155" s="179"/>
      <c r="AK155" s="179"/>
      <c r="AL155" s="179" t="s">
        <v>163</v>
      </c>
      <c r="AM155" s="179"/>
      <c r="AN155" s="179"/>
      <c r="AO155" s="179" t="s">
        <v>164</v>
      </c>
      <c r="AP155" s="178" t="s">
        <v>1281</v>
      </c>
      <c r="AQ155" s="191" t="s">
        <v>203</v>
      </c>
      <c r="AR155" s="179" t="s">
        <v>150</v>
      </c>
      <c r="AS155" s="179"/>
      <c r="AT155" s="420" t="s">
        <v>204</v>
      </c>
      <c r="AU155" s="178" t="s">
        <v>2311</v>
      </c>
      <c r="AV155" s="179"/>
      <c r="AW155" s="180">
        <v>42793</v>
      </c>
      <c r="AX155" s="180">
        <v>43045</v>
      </c>
      <c r="AY155" s="180" t="s">
        <v>150</v>
      </c>
      <c r="AZ155" s="180"/>
      <c r="BA155" s="180"/>
      <c r="BB155" s="180"/>
      <c r="BC155" s="180"/>
      <c r="BD155" s="180"/>
      <c r="BE155" s="181" t="s">
        <v>2312</v>
      </c>
      <c r="BF155" s="180">
        <v>44207</v>
      </c>
      <c r="BG155" s="179" t="s">
        <v>163</v>
      </c>
      <c r="BH155" s="179">
        <v>44410</v>
      </c>
      <c r="BI155" s="179" t="s">
        <v>163</v>
      </c>
      <c r="BJ155" s="179"/>
      <c r="BK155" s="179"/>
      <c r="BL155" s="179"/>
      <c r="BM155" s="182">
        <v>44917</v>
      </c>
      <c r="BN155" s="183" t="s">
        <v>16</v>
      </c>
      <c r="BO155" s="178">
        <f t="shared" ref="BO155:BO157" si="41">DATEDIF(AW155,BM155, "M")+1</f>
        <v>70</v>
      </c>
      <c r="BP155" s="263">
        <f t="shared" ref="BP155:BP157" si="42">DATEDIF(AX155,BM155, "M")+1</f>
        <v>62</v>
      </c>
      <c r="BQ155" s="187" t="s">
        <v>2313</v>
      </c>
      <c r="BR155" s="178">
        <v>3</v>
      </c>
      <c r="BS155" s="178"/>
      <c r="BT155" s="178"/>
      <c r="BU155" s="178"/>
      <c r="BV155" s="178"/>
      <c r="BW155" s="178"/>
      <c r="BX155" s="178"/>
      <c r="BY155" s="178" t="s">
        <v>2314</v>
      </c>
      <c r="BZ155" s="178" t="s">
        <v>163</v>
      </c>
      <c r="CA155" s="178"/>
      <c r="CB155" s="184"/>
      <c r="CC155" s="184"/>
      <c r="CD155" s="178"/>
      <c r="CE155" s="178" t="s">
        <v>163</v>
      </c>
      <c r="CF155" s="178"/>
      <c r="CG155" s="178"/>
      <c r="CH155" s="377">
        <v>0</v>
      </c>
      <c r="CI155" s="178"/>
      <c r="CJ155" s="178"/>
      <c r="CK155" s="178" t="s">
        <v>2219</v>
      </c>
      <c r="CL155"/>
    </row>
    <row r="156" spans="1:90" s="53" customFormat="1" ht="24.95" customHeight="1">
      <c r="A156" s="178">
        <v>159</v>
      </c>
      <c r="B156" s="178" t="s">
        <v>2315</v>
      </c>
      <c r="C156" s="178" t="s">
        <v>2316</v>
      </c>
      <c r="D156" s="178" t="s">
        <v>2317</v>
      </c>
      <c r="E156" s="178" t="s">
        <v>2318</v>
      </c>
      <c r="F156" s="178" t="s">
        <v>24</v>
      </c>
      <c r="G156" s="178">
        <v>7</v>
      </c>
      <c r="H156" s="178" t="s">
        <v>54</v>
      </c>
      <c r="I156" s="178" t="s">
        <v>31</v>
      </c>
      <c r="J156" s="178" t="s">
        <v>2319</v>
      </c>
      <c r="K156" s="178" t="s">
        <v>2320</v>
      </c>
      <c r="L156" s="178" t="s">
        <v>31</v>
      </c>
      <c r="M156" s="178" t="s">
        <v>150</v>
      </c>
      <c r="N156" s="178"/>
      <c r="O156" s="178" t="s">
        <v>151</v>
      </c>
      <c r="P156" s="178" t="s">
        <v>151</v>
      </c>
      <c r="Q156" s="178" t="s">
        <v>151</v>
      </c>
      <c r="R156" s="178" t="s">
        <v>2321</v>
      </c>
      <c r="S156" s="178" t="s">
        <v>2322</v>
      </c>
      <c r="T156" s="352" t="s">
        <v>2323</v>
      </c>
      <c r="U156" s="179" t="s">
        <v>2324</v>
      </c>
      <c r="V156" s="179">
        <v>29035</v>
      </c>
      <c r="W156" s="187" t="s">
        <v>2325</v>
      </c>
      <c r="X156" s="187" t="s">
        <v>179</v>
      </c>
      <c r="Y156" s="187" t="s">
        <v>163</v>
      </c>
      <c r="Z156" s="187"/>
      <c r="AA156" s="178">
        <v>32.5</v>
      </c>
      <c r="AB156" s="179">
        <v>42828</v>
      </c>
      <c r="AC156" s="288">
        <v>42795</v>
      </c>
      <c r="AD156" s="179"/>
      <c r="AE156" s="179" t="s">
        <v>2326</v>
      </c>
      <c r="AF156" s="179"/>
      <c r="AG156" s="179"/>
      <c r="AH156" s="178">
        <f t="shared" si="33"/>
        <v>1</v>
      </c>
      <c r="AI156" s="179" t="s">
        <v>161</v>
      </c>
      <c r="AJ156" s="179"/>
      <c r="AK156" s="179"/>
      <c r="AL156" s="179" t="s">
        <v>150</v>
      </c>
      <c r="AM156" s="179"/>
      <c r="AN156" s="179"/>
      <c r="AO156" s="179" t="s">
        <v>164</v>
      </c>
      <c r="AP156" s="178" t="s">
        <v>2327</v>
      </c>
      <c r="AQ156" s="179" t="s">
        <v>943</v>
      </c>
      <c r="AR156" s="179" t="s">
        <v>150</v>
      </c>
      <c r="AS156" s="179"/>
      <c r="AT156" s="420" t="s">
        <v>328</v>
      </c>
      <c r="AU156" s="178" t="s">
        <v>2328</v>
      </c>
      <c r="AV156" s="179"/>
      <c r="AW156" s="180">
        <v>42793</v>
      </c>
      <c r="AX156" s="180">
        <v>43045</v>
      </c>
      <c r="AY156" s="180" t="s">
        <v>150</v>
      </c>
      <c r="AZ156" s="180"/>
      <c r="BA156" s="180">
        <v>43175</v>
      </c>
      <c r="BB156" s="180"/>
      <c r="BC156" s="180"/>
      <c r="BD156" s="180"/>
      <c r="BE156" s="181" t="s">
        <v>2329</v>
      </c>
      <c r="BF156" s="180">
        <v>43675</v>
      </c>
      <c r="BG156" s="180" t="s">
        <v>150</v>
      </c>
      <c r="BH156" s="180">
        <v>43891</v>
      </c>
      <c r="BI156" s="180" t="s">
        <v>150</v>
      </c>
      <c r="BJ156" s="179"/>
      <c r="BK156" s="179"/>
      <c r="BL156" s="179"/>
      <c r="BM156" s="182">
        <v>44460</v>
      </c>
      <c r="BN156" s="178" t="s">
        <v>16</v>
      </c>
      <c r="BO156" s="178">
        <f t="shared" si="41"/>
        <v>55</v>
      </c>
      <c r="BP156" s="263">
        <f t="shared" si="42"/>
        <v>47</v>
      </c>
      <c r="BQ156" s="178"/>
      <c r="BR156" s="178">
        <v>12</v>
      </c>
      <c r="BS156" s="178">
        <v>14</v>
      </c>
      <c r="BT156" s="178">
        <v>8</v>
      </c>
      <c r="BU156" s="178"/>
      <c r="BV156" s="178"/>
      <c r="BW156" s="178"/>
      <c r="BX156" s="178"/>
      <c r="BY156" s="178" t="s">
        <v>163</v>
      </c>
      <c r="BZ156" s="178" t="s">
        <v>163</v>
      </c>
      <c r="CA156" s="178"/>
      <c r="CB156" s="184">
        <v>44077</v>
      </c>
      <c r="CC156" s="184">
        <v>44287</v>
      </c>
      <c r="CD156" s="178">
        <v>7</v>
      </c>
      <c r="CE156" s="178" t="s">
        <v>163</v>
      </c>
      <c r="CF156" s="178"/>
      <c r="CG156" s="178"/>
      <c r="CH156" s="377">
        <v>4</v>
      </c>
      <c r="CI156" s="178">
        <v>4</v>
      </c>
      <c r="CJ156" s="178"/>
      <c r="CK156" s="178" t="s">
        <v>1822</v>
      </c>
      <c r="CL156"/>
    </row>
    <row r="157" spans="1:90" s="53" customFormat="1" ht="24.95" customHeight="1">
      <c r="A157" s="178">
        <v>160</v>
      </c>
      <c r="B157" s="178" t="s">
        <v>2330</v>
      </c>
      <c r="C157" s="178" t="s">
        <v>2331</v>
      </c>
      <c r="D157" s="178" t="s">
        <v>2332</v>
      </c>
      <c r="E157" s="178" t="s">
        <v>2333</v>
      </c>
      <c r="F157" s="178" t="s">
        <v>24</v>
      </c>
      <c r="G157" s="178">
        <v>7</v>
      </c>
      <c r="H157" s="178" t="s">
        <v>54</v>
      </c>
      <c r="I157" s="178" t="s">
        <v>39</v>
      </c>
      <c r="J157" s="178" t="s">
        <v>439</v>
      </c>
      <c r="K157" s="178" t="s">
        <v>439</v>
      </c>
      <c r="L157" s="178" t="s">
        <v>39</v>
      </c>
      <c r="M157" s="178" t="s">
        <v>150</v>
      </c>
      <c r="N157" s="178" t="s">
        <v>2334</v>
      </c>
      <c r="O157" s="178" t="s">
        <v>151</v>
      </c>
      <c r="P157" s="178" t="s">
        <v>151</v>
      </c>
      <c r="Q157" s="178" t="s">
        <v>151</v>
      </c>
      <c r="R157" s="178" t="s">
        <v>2335</v>
      </c>
      <c r="S157" s="178" t="s">
        <v>2336</v>
      </c>
      <c r="T157" s="352" t="s">
        <v>2337</v>
      </c>
      <c r="U157" s="179" t="s">
        <v>2338</v>
      </c>
      <c r="V157" s="179">
        <v>29757</v>
      </c>
      <c r="W157" s="187" t="s">
        <v>2339</v>
      </c>
      <c r="X157" s="187" t="s">
        <v>179</v>
      </c>
      <c r="Y157" s="187" t="s">
        <v>163</v>
      </c>
      <c r="Z157" s="187"/>
      <c r="AA157" s="178"/>
      <c r="AB157" s="179">
        <v>42683</v>
      </c>
      <c r="AC157" s="288">
        <v>42795</v>
      </c>
      <c r="AD157" s="179"/>
      <c r="AE157" s="179" t="s">
        <v>2340</v>
      </c>
      <c r="AF157" s="179" t="s">
        <v>2341</v>
      </c>
      <c r="AG157" s="179"/>
      <c r="AH157" s="178">
        <f t="shared" si="33"/>
        <v>2</v>
      </c>
      <c r="AI157" s="179" t="s">
        <v>161</v>
      </c>
      <c r="AJ157" s="179"/>
      <c r="AK157" s="179"/>
      <c r="AL157" s="179" t="s">
        <v>150</v>
      </c>
      <c r="AM157" s="179"/>
      <c r="AN157" s="179"/>
      <c r="AO157" s="179" t="s">
        <v>164</v>
      </c>
      <c r="AP157" s="178" t="s">
        <v>249</v>
      </c>
      <c r="AQ157" s="179" t="s">
        <v>250</v>
      </c>
      <c r="AR157" s="179" t="s">
        <v>150</v>
      </c>
      <c r="AS157" s="179"/>
      <c r="AT157" s="420" t="s">
        <v>285</v>
      </c>
      <c r="AU157" s="178" t="s">
        <v>2342</v>
      </c>
      <c r="AV157" s="179"/>
      <c r="AW157" s="180">
        <v>42793</v>
      </c>
      <c r="AX157" s="180">
        <v>43045</v>
      </c>
      <c r="AY157" s="180" t="s">
        <v>150</v>
      </c>
      <c r="AZ157" s="180">
        <v>43230</v>
      </c>
      <c r="BA157" s="180">
        <v>43234</v>
      </c>
      <c r="BB157" s="180"/>
      <c r="BC157" s="180"/>
      <c r="BD157" s="180"/>
      <c r="BE157" s="181" t="s">
        <v>2343</v>
      </c>
      <c r="BF157" s="180">
        <v>43675</v>
      </c>
      <c r="BG157" s="180" t="s">
        <v>150</v>
      </c>
      <c r="BH157" s="180">
        <v>43891</v>
      </c>
      <c r="BI157" s="180" t="s">
        <v>150</v>
      </c>
      <c r="BJ157" s="179"/>
      <c r="BK157" s="179"/>
      <c r="BL157" s="179"/>
      <c r="BM157" s="188">
        <v>43783</v>
      </c>
      <c r="BN157" s="178" t="s">
        <v>16</v>
      </c>
      <c r="BO157" s="178">
        <f t="shared" si="41"/>
        <v>33</v>
      </c>
      <c r="BP157" s="263">
        <f t="shared" si="42"/>
        <v>25</v>
      </c>
      <c r="BQ157" s="178"/>
      <c r="BR157" s="178">
        <v>0</v>
      </c>
      <c r="BS157" s="178">
        <v>0</v>
      </c>
      <c r="BT157" s="178">
        <v>2</v>
      </c>
      <c r="BU157" s="178"/>
      <c r="BV157" s="178"/>
      <c r="BW157" s="178"/>
      <c r="BX157" s="178"/>
      <c r="BY157" s="178" t="s">
        <v>2344</v>
      </c>
      <c r="BZ157" s="178" t="s">
        <v>163</v>
      </c>
      <c r="CA157" s="178"/>
      <c r="CB157" s="184"/>
      <c r="CC157" s="184"/>
      <c r="CD157" s="178"/>
      <c r="CE157" s="178" t="s">
        <v>163</v>
      </c>
      <c r="CF157" s="178"/>
      <c r="CG157" s="178"/>
      <c r="CH157" s="377">
        <v>2</v>
      </c>
      <c r="CI157" s="178">
        <v>2</v>
      </c>
      <c r="CJ157" s="178"/>
      <c r="CK157" s="178" t="s">
        <v>1822</v>
      </c>
      <c r="CL157"/>
    </row>
    <row r="158" spans="1:90" ht="24.95" customHeight="1">
      <c r="A158" s="91">
        <v>161</v>
      </c>
      <c r="B158" s="91" t="s">
        <v>2345</v>
      </c>
      <c r="C158" s="91" t="s">
        <v>2346</v>
      </c>
      <c r="D158" s="91" t="s">
        <v>2347</v>
      </c>
      <c r="E158" s="91" t="s">
        <v>2348</v>
      </c>
      <c r="F158" s="91" t="s">
        <v>25</v>
      </c>
      <c r="G158" s="91">
        <v>7</v>
      </c>
      <c r="H158" s="91" t="s">
        <v>52</v>
      </c>
      <c r="I158" s="91" t="s">
        <v>38</v>
      </c>
      <c r="J158" s="91" t="s">
        <v>2349</v>
      </c>
      <c r="K158" s="91" t="s">
        <v>2350</v>
      </c>
      <c r="L158" s="91" t="s">
        <v>45</v>
      </c>
      <c r="M158" s="91" t="s">
        <v>163</v>
      </c>
      <c r="N158" s="91"/>
      <c r="O158" s="91" t="s">
        <v>151</v>
      </c>
      <c r="P158" s="91" t="s">
        <v>151</v>
      </c>
      <c r="Q158" s="91"/>
      <c r="R158" s="194" t="s">
        <v>2351</v>
      </c>
      <c r="S158" s="194" t="s">
        <v>2352</v>
      </c>
      <c r="T158" s="341" t="s">
        <v>2353</v>
      </c>
      <c r="U158" s="92"/>
      <c r="V158" s="92">
        <v>29668</v>
      </c>
      <c r="W158" s="164" t="s">
        <v>2354</v>
      </c>
      <c r="X158" s="164"/>
      <c r="Y158" s="164"/>
      <c r="Z158" s="164"/>
      <c r="AA158" s="91"/>
      <c r="AB158" s="92">
        <v>42855</v>
      </c>
      <c r="AC158" s="281">
        <v>42795</v>
      </c>
      <c r="AD158" s="92">
        <v>43930</v>
      </c>
      <c r="AE158" s="92" t="s">
        <v>2355</v>
      </c>
      <c r="AF158" s="92" t="s">
        <v>2356</v>
      </c>
      <c r="AG158" s="92"/>
      <c r="AH158" s="91">
        <f t="shared" si="33"/>
        <v>2</v>
      </c>
      <c r="AI158" s="92" t="s">
        <v>162</v>
      </c>
      <c r="AJ158" s="92"/>
      <c r="AK158" s="92"/>
      <c r="AL158" s="92" t="s">
        <v>150</v>
      </c>
      <c r="AM158" s="92"/>
      <c r="AN158" s="92"/>
      <c r="AO158" s="92" t="s">
        <v>959</v>
      </c>
      <c r="AP158" s="91"/>
      <c r="AQ158" s="92"/>
      <c r="AR158" s="92"/>
      <c r="AS158" s="92"/>
      <c r="AT158" s="400" t="s">
        <v>193</v>
      </c>
      <c r="AU158" s="91" t="s">
        <v>2357</v>
      </c>
      <c r="AV158" s="92"/>
      <c r="AW158" s="93">
        <v>42793</v>
      </c>
      <c r="AX158" s="93">
        <v>43045</v>
      </c>
      <c r="AY158" s="93" t="s">
        <v>150</v>
      </c>
      <c r="AZ158" s="93"/>
      <c r="BA158" s="93"/>
      <c r="BB158" s="93"/>
      <c r="BC158" s="93"/>
      <c r="BD158" s="93"/>
      <c r="BE158" s="94"/>
      <c r="BF158" s="114" t="s">
        <v>722</v>
      </c>
      <c r="BG158" s="93" t="s">
        <v>163</v>
      </c>
      <c r="BH158" s="93" t="s">
        <v>722</v>
      </c>
      <c r="BI158" s="93" t="s">
        <v>163</v>
      </c>
      <c r="BJ158" s="92"/>
      <c r="BK158" s="92"/>
      <c r="BL158" s="92"/>
      <c r="BM158" s="95"/>
      <c r="BN158" s="193" t="s">
        <v>18</v>
      </c>
      <c r="BO158" s="218" t="s">
        <v>18</v>
      </c>
      <c r="BP158" s="218"/>
      <c r="BQ158" s="91"/>
      <c r="BR158" s="91"/>
      <c r="BS158" s="91"/>
      <c r="BT158" s="91"/>
      <c r="BU158" s="91"/>
      <c r="BV158" s="91"/>
      <c r="BW158" s="91"/>
      <c r="BX158" s="91"/>
      <c r="BY158" s="91" t="s">
        <v>163</v>
      </c>
      <c r="BZ158" s="91"/>
      <c r="CA158" s="91"/>
      <c r="CB158" s="95"/>
      <c r="CC158" s="95"/>
      <c r="CD158" s="91"/>
      <c r="CE158" s="91"/>
      <c r="CF158" s="91"/>
      <c r="CG158" s="91"/>
      <c r="CH158" s="113"/>
      <c r="CI158" s="91"/>
      <c r="CJ158" s="91"/>
      <c r="CK158" s="91" t="s">
        <v>809</v>
      </c>
    </row>
    <row r="159" spans="1:90" s="53" customFormat="1" ht="24.95" customHeight="1">
      <c r="A159" s="178">
        <v>162</v>
      </c>
      <c r="B159" s="178" t="s">
        <v>2358</v>
      </c>
      <c r="C159" s="178" t="s">
        <v>919</v>
      </c>
      <c r="D159" s="178" t="s">
        <v>2359</v>
      </c>
      <c r="E159" s="178" t="s">
        <v>2360</v>
      </c>
      <c r="F159" s="178" t="s">
        <v>24</v>
      </c>
      <c r="G159" s="178">
        <v>7</v>
      </c>
      <c r="H159" s="178" t="s">
        <v>58</v>
      </c>
      <c r="I159" s="178" t="s">
        <v>45</v>
      </c>
      <c r="J159" s="178" t="s">
        <v>922</v>
      </c>
      <c r="K159" s="178" t="s">
        <v>602</v>
      </c>
      <c r="L159" s="178" t="s">
        <v>45</v>
      </c>
      <c r="M159" s="178" t="s">
        <v>163</v>
      </c>
      <c r="N159" s="178">
        <v>1512734</v>
      </c>
      <c r="O159" s="178" t="s">
        <v>151</v>
      </c>
      <c r="P159" s="178" t="s">
        <v>151</v>
      </c>
      <c r="Q159" s="178"/>
      <c r="R159" s="178" t="s">
        <v>2361</v>
      </c>
      <c r="S159" s="178" t="s">
        <v>2362</v>
      </c>
      <c r="T159" s="352" t="s">
        <v>2363</v>
      </c>
      <c r="U159" s="179"/>
      <c r="V159" s="179">
        <v>28059</v>
      </c>
      <c r="W159" s="187" t="s">
        <v>2364</v>
      </c>
      <c r="X159" s="187" t="s">
        <v>179</v>
      </c>
      <c r="Y159" s="187"/>
      <c r="Z159" s="187"/>
      <c r="AA159" s="178">
        <v>5</v>
      </c>
      <c r="AB159" s="179">
        <v>42443</v>
      </c>
      <c r="AC159" s="288">
        <v>42795</v>
      </c>
      <c r="AD159" s="179"/>
      <c r="AE159" s="179" t="s">
        <v>2365</v>
      </c>
      <c r="AF159" s="179"/>
      <c r="AG159" s="179"/>
      <c r="AH159" s="178">
        <f t="shared" ref="AH159:AH190" si="43">COUNTA(AE159:AG159)</f>
        <v>1</v>
      </c>
      <c r="AI159" s="179" t="s">
        <v>161</v>
      </c>
      <c r="AJ159" s="179"/>
      <c r="AK159" s="179"/>
      <c r="AL159" s="179" t="s">
        <v>163</v>
      </c>
      <c r="AM159" s="179"/>
      <c r="AN159" s="179"/>
      <c r="AO159" s="179" t="s">
        <v>182</v>
      </c>
      <c r="AP159" s="178" t="s">
        <v>875</v>
      </c>
      <c r="AQ159" s="179" t="s">
        <v>2366</v>
      </c>
      <c r="AR159" s="179" t="s">
        <v>150</v>
      </c>
      <c r="AS159" s="179"/>
      <c r="AT159" s="420" t="s">
        <v>372</v>
      </c>
      <c r="AU159" s="178" t="s">
        <v>2367</v>
      </c>
      <c r="AV159" s="179"/>
      <c r="AW159" s="180">
        <v>42793</v>
      </c>
      <c r="AX159" s="180">
        <v>43045</v>
      </c>
      <c r="AY159" s="180" t="s">
        <v>150</v>
      </c>
      <c r="AZ159" s="180">
        <v>42599</v>
      </c>
      <c r="BA159" s="180">
        <v>43320</v>
      </c>
      <c r="BB159" s="180">
        <v>42916</v>
      </c>
      <c r="BC159" s="180"/>
      <c r="BD159" s="180"/>
      <c r="BE159" s="181" t="s">
        <v>2368</v>
      </c>
      <c r="BF159" s="180">
        <v>43675</v>
      </c>
      <c r="BG159" s="180" t="s">
        <v>150</v>
      </c>
      <c r="BH159" s="180">
        <v>44410</v>
      </c>
      <c r="BI159" s="179" t="s">
        <v>163</v>
      </c>
      <c r="BJ159" s="179"/>
      <c r="BK159" s="179"/>
      <c r="BL159" s="179"/>
      <c r="BM159" s="182">
        <v>44995</v>
      </c>
      <c r="BN159" s="178" t="s">
        <v>16</v>
      </c>
      <c r="BO159" s="179"/>
      <c r="BP159" s="178">
        <f t="shared" ref="BP159:BP162" si="44">DATEDIF(AX159,BM159, "M")+1</f>
        <v>65</v>
      </c>
      <c r="BQ159" s="187" t="s">
        <v>2368</v>
      </c>
      <c r="BR159" s="178">
        <v>10</v>
      </c>
      <c r="BS159" s="178">
        <v>8</v>
      </c>
      <c r="BT159" s="178">
        <v>0</v>
      </c>
      <c r="BU159" s="178"/>
      <c r="BV159" s="178"/>
      <c r="BW159" s="178"/>
      <c r="BX159" s="178"/>
      <c r="BY159" s="178" t="s">
        <v>2369</v>
      </c>
      <c r="BZ159" s="178"/>
      <c r="CA159" s="178"/>
      <c r="CB159" s="184"/>
      <c r="CC159" s="184"/>
      <c r="CD159" s="178"/>
      <c r="CE159" s="178"/>
      <c r="CF159" s="178"/>
      <c r="CG159" s="178"/>
      <c r="CH159" s="377">
        <v>3</v>
      </c>
      <c r="CI159" s="178"/>
      <c r="CJ159" s="178"/>
      <c r="CK159" s="178" t="s">
        <v>809</v>
      </c>
      <c r="CL159"/>
    </row>
    <row r="160" spans="1:90" s="53" customFormat="1" ht="24.95" customHeight="1">
      <c r="A160" s="178">
        <v>163</v>
      </c>
      <c r="B160" s="178" t="s">
        <v>2370</v>
      </c>
      <c r="C160" s="178" t="s">
        <v>2371</v>
      </c>
      <c r="D160" s="178" t="s">
        <v>2372</v>
      </c>
      <c r="E160" s="178" t="s">
        <v>1792</v>
      </c>
      <c r="F160" s="178" t="s">
        <v>24</v>
      </c>
      <c r="G160" s="178">
        <v>7</v>
      </c>
      <c r="H160" s="178" t="s">
        <v>52</v>
      </c>
      <c r="I160" s="178" t="s">
        <v>42</v>
      </c>
      <c r="J160" s="178" t="s">
        <v>2373</v>
      </c>
      <c r="K160" s="178" t="s">
        <v>2374</v>
      </c>
      <c r="L160" s="178" t="s">
        <v>45</v>
      </c>
      <c r="M160" s="178" t="s">
        <v>163</v>
      </c>
      <c r="N160" s="178">
        <v>2012904</v>
      </c>
      <c r="O160" s="178" t="s">
        <v>151</v>
      </c>
      <c r="P160" s="178" t="s">
        <v>151</v>
      </c>
      <c r="Q160" s="178"/>
      <c r="R160" s="178" t="s">
        <v>2375</v>
      </c>
      <c r="S160" s="178" t="s">
        <v>2376</v>
      </c>
      <c r="T160" s="351" t="s">
        <v>2377</v>
      </c>
      <c r="U160" s="179"/>
      <c r="V160" s="179">
        <v>29169</v>
      </c>
      <c r="W160" s="187" t="s">
        <v>2378</v>
      </c>
      <c r="X160" s="187" t="s">
        <v>2379</v>
      </c>
      <c r="Y160" s="187"/>
      <c r="Z160" s="187"/>
      <c r="AA160" s="178">
        <v>23</v>
      </c>
      <c r="AB160" s="179">
        <v>42916</v>
      </c>
      <c r="AC160" s="288">
        <v>42795</v>
      </c>
      <c r="AD160" s="179"/>
      <c r="AE160" s="179" t="s">
        <v>2380</v>
      </c>
      <c r="AF160" s="179"/>
      <c r="AG160" s="179"/>
      <c r="AH160" s="178">
        <f t="shared" si="43"/>
        <v>1</v>
      </c>
      <c r="AI160" s="179" t="s">
        <v>161</v>
      </c>
      <c r="AJ160" s="179"/>
      <c r="AK160" s="179"/>
      <c r="AL160" s="179" t="s">
        <v>150</v>
      </c>
      <c r="AM160" s="179"/>
      <c r="AN160" s="179"/>
      <c r="AO160" s="179" t="s">
        <v>182</v>
      </c>
      <c r="AP160" s="178" t="s">
        <v>1835</v>
      </c>
      <c r="AQ160" s="179" t="s">
        <v>203</v>
      </c>
      <c r="AR160" s="179" t="s">
        <v>150</v>
      </c>
      <c r="AS160" s="179"/>
      <c r="AT160" s="420" t="s">
        <v>420</v>
      </c>
      <c r="AU160" s="178" t="s">
        <v>1804</v>
      </c>
      <c r="AV160" s="179"/>
      <c r="AW160" s="180">
        <v>42793</v>
      </c>
      <c r="AX160" s="180">
        <v>43045</v>
      </c>
      <c r="AY160" s="180" t="s">
        <v>150</v>
      </c>
      <c r="AZ160" s="180">
        <v>43341</v>
      </c>
      <c r="BA160" s="180">
        <v>43579</v>
      </c>
      <c r="BB160" s="180"/>
      <c r="BC160" s="180"/>
      <c r="BD160" s="180"/>
      <c r="BE160" s="181" t="s">
        <v>2381</v>
      </c>
      <c r="BF160" s="180">
        <v>44207</v>
      </c>
      <c r="BG160" s="179" t="s">
        <v>163</v>
      </c>
      <c r="BH160" s="180">
        <v>44410</v>
      </c>
      <c r="BI160" s="179" t="s">
        <v>163</v>
      </c>
      <c r="BJ160" s="179"/>
      <c r="BK160" s="179"/>
      <c r="BL160" s="179"/>
      <c r="BM160" s="182">
        <v>45195</v>
      </c>
      <c r="BN160" s="183" t="s">
        <v>16</v>
      </c>
      <c r="BO160" s="178">
        <f t="shared" ref="BO160:BO162" si="45">DATEDIF(AW160,BM160, "M")+1</f>
        <v>79</v>
      </c>
      <c r="BP160" s="178">
        <f t="shared" si="44"/>
        <v>71</v>
      </c>
      <c r="BQ160" s="187" t="s">
        <v>2382</v>
      </c>
      <c r="BR160" s="178"/>
      <c r="BS160" s="178"/>
      <c r="BT160" s="178"/>
      <c r="BU160" s="178"/>
      <c r="BV160" s="178"/>
      <c r="BW160" s="178"/>
      <c r="BX160" s="178"/>
      <c r="BY160" s="178" t="s">
        <v>2314</v>
      </c>
      <c r="BZ160" s="178"/>
      <c r="CA160" s="178"/>
      <c r="CB160" s="184"/>
      <c r="CC160" s="184"/>
      <c r="CD160" s="178"/>
      <c r="CE160" s="178"/>
      <c r="CF160" s="178"/>
      <c r="CG160" s="178"/>
      <c r="CH160" s="377">
        <v>1</v>
      </c>
      <c r="CI160" s="178"/>
      <c r="CJ160" s="178"/>
      <c r="CK160" s="178" t="s">
        <v>1314</v>
      </c>
      <c r="CL160"/>
    </row>
    <row r="161" spans="1:90" s="53" customFormat="1" ht="24.95" customHeight="1">
      <c r="A161" s="178">
        <v>164</v>
      </c>
      <c r="B161" s="178" t="s">
        <v>2383</v>
      </c>
      <c r="C161" s="178" t="s">
        <v>2384</v>
      </c>
      <c r="D161" s="178" t="s">
        <v>557</v>
      </c>
      <c r="E161" s="178" t="s">
        <v>2385</v>
      </c>
      <c r="F161" s="178" t="s">
        <v>24</v>
      </c>
      <c r="G161" s="178">
        <v>7</v>
      </c>
      <c r="H161" s="178" t="s">
        <v>59</v>
      </c>
      <c r="I161" s="178" t="s">
        <v>40</v>
      </c>
      <c r="J161" s="178" t="s">
        <v>602</v>
      </c>
      <c r="K161" s="178" t="s">
        <v>602</v>
      </c>
      <c r="L161" s="178" t="s">
        <v>45</v>
      </c>
      <c r="M161" s="178" t="s">
        <v>163</v>
      </c>
      <c r="N161" s="178" t="s">
        <v>2386</v>
      </c>
      <c r="O161" s="178" t="s">
        <v>322</v>
      </c>
      <c r="P161" s="178" t="s">
        <v>322</v>
      </c>
      <c r="Q161" s="178" t="s">
        <v>322</v>
      </c>
      <c r="R161" s="178" t="s">
        <v>2387</v>
      </c>
      <c r="S161" s="384" t="s">
        <v>2388</v>
      </c>
      <c r="T161" s="352" t="s">
        <v>2389</v>
      </c>
      <c r="U161" s="179"/>
      <c r="V161" s="179">
        <v>29181</v>
      </c>
      <c r="W161" s="187" t="s">
        <v>2390</v>
      </c>
      <c r="X161" s="187" t="s">
        <v>156</v>
      </c>
      <c r="Y161" s="187"/>
      <c r="Z161" s="187"/>
      <c r="AA161" s="178"/>
      <c r="AB161" s="179">
        <v>42825</v>
      </c>
      <c r="AC161" s="288">
        <v>42795</v>
      </c>
      <c r="AD161" s="179"/>
      <c r="AE161" s="179" t="s">
        <v>2391</v>
      </c>
      <c r="AF161" s="179"/>
      <c r="AG161" s="179"/>
      <c r="AH161" s="178">
        <f t="shared" si="43"/>
        <v>1</v>
      </c>
      <c r="AI161" s="179" t="s">
        <v>162</v>
      </c>
      <c r="AJ161" s="179"/>
      <c r="AK161" s="179"/>
      <c r="AL161" s="179" t="s">
        <v>163</v>
      </c>
      <c r="AM161" s="179"/>
      <c r="AN161" s="179"/>
      <c r="AO161" s="179" t="s">
        <v>182</v>
      </c>
      <c r="AP161" s="178"/>
      <c r="AQ161" s="179" t="s">
        <v>2392</v>
      </c>
      <c r="AR161" s="179" t="s">
        <v>150</v>
      </c>
      <c r="AS161" s="179"/>
      <c r="AT161" s="420" t="s">
        <v>1266</v>
      </c>
      <c r="AU161" s="178" t="s">
        <v>2393</v>
      </c>
      <c r="AV161" s="179"/>
      <c r="AW161" s="180">
        <v>42793</v>
      </c>
      <c r="AX161" s="180">
        <v>43045</v>
      </c>
      <c r="AY161" s="180" t="s">
        <v>150</v>
      </c>
      <c r="AZ161" s="180">
        <v>43263</v>
      </c>
      <c r="BA161" s="180">
        <v>43280</v>
      </c>
      <c r="BB161" s="180"/>
      <c r="BC161" s="180"/>
      <c r="BD161" s="180"/>
      <c r="BE161" s="181" t="s">
        <v>2394</v>
      </c>
      <c r="BF161" s="180">
        <v>43675</v>
      </c>
      <c r="BG161" s="179" t="s">
        <v>150</v>
      </c>
      <c r="BH161" s="180">
        <v>43891</v>
      </c>
      <c r="BI161" s="179" t="s">
        <v>150</v>
      </c>
      <c r="BJ161" s="179">
        <v>44392</v>
      </c>
      <c r="BK161" s="179"/>
      <c r="BL161" s="179"/>
      <c r="BM161" s="182">
        <v>44469</v>
      </c>
      <c r="BN161" s="178" t="s">
        <v>16</v>
      </c>
      <c r="BO161" s="178">
        <f t="shared" si="45"/>
        <v>56</v>
      </c>
      <c r="BP161" s="178">
        <f t="shared" si="44"/>
        <v>47</v>
      </c>
      <c r="BQ161" s="181" t="s">
        <v>2394</v>
      </c>
      <c r="BR161" s="178">
        <v>1</v>
      </c>
      <c r="BS161" s="178">
        <v>23</v>
      </c>
      <c r="BT161" s="178">
        <v>8</v>
      </c>
      <c r="BU161" s="178"/>
      <c r="BV161" s="178"/>
      <c r="BW161" s="178"/>
      <c r="BX161" s="178"/>
      <c r="BY161" s="178" t="s">
        <v>163</v>
      </c>
      <c r="BZ161" s="178"/>
      <c r="CA161" s="178"/>
      <c r="CB161" s="184"/>
      <c r="CC161" s="184"/>
      <c r="CD161" s="178"/>
      <c r="CE161" s="178"/>
      <c r="CF161" s="178"/>
      <c r="CG161" s="178"/>
      <c r="CH161" s="377">
        <v>4</v>
      </c>
      <c r="CI161" s="178">
        <v>4</v>
      </c>
      <c r="CJ161" s="178"/>
      <c r="CK161" s="178" t="s">
        <v>809</v>
      </c>
      <c r="CL161"/>
    </row>
    <row r="162" spans="1:90" s="53" customFormat="1" ht="24.95" customHeight="1">
      <c r="A162" s="178">
        <v>165</v>
      </c>
      <c r="B162" s="178" t="s">
        <v>2395</v>
      </c>
      <c r="C162" s="178" t="s">
        <v>2396</v>
      </c>
      <c r="D162" s="178" t="s">
        <v>2397</v>
      </c>
      <c r="E162" s="178" t="s">
        <v>2398</v>
      </c>
      <c r="F162" s="178" t="s">
        <v>24</v>
      </c>
      <c r="G162" s="178">
        <v>7</v>
      </c>
      <c r="H162" s="178" t="s">
        <v>53</v>
      </c>
      <c r="I162" s="178" t="s">
        <v>46</v>
      </c>
      <c r="J162" s="178" t="s">
        <v>1115</v>
      </c>
      <c r="K162" s="178" t="s">
        <v>2399</v>
      </c>
      <c r="L162" s="178" t="s">
        <v>45</v>
      </c>
      <c r="M162" s="178" t="s">
        <v>163</v>
      </c>
      <c r="N162" s="178">
        <v>2083454</v>
      </c>
      <c r="O162" s="178" t="s">
        <v>151</v>
      </c>
      <c r="P162" s="178" t="s">
        <v>151</v>
      </c>
      <c r="Q162" s="178" t="s">
        <v>151</v>
      </c>
      <c r="R162" s="178" t="s">
        <v>2400</v>
      </c>
      <c r="S162" s="178" t="s">
        <v>2401</v>
      </c>
      <c r="T162" s="351" t="s">
        <v>2402</v>
      </c>
      <c r="U162" s="179" t="s">
        <v>2403</v>
      </c>
      <c r="V162" s="179">
        <v>27456</v>
      </c>
      <c r="W162" s="187" t="s">
        <v>2404</v>
      </c>
      <c r="X162" s="187" t="s">
        <v>2379</v>
      </c>
      <c r="Y162" s="187" t="s">
        <v>157</v>
      </c>
      <c r="Z162" s="187"/>
      <c r="AA162" s="178">
        <v>19.5</v>
      </c>
      <c r="AB162" s="179">
        <v>42816</v>
      </c>
      <c r="AC162" s="288">
        <v>42795</v>
      </c>
      <c r="AD162" s="179"/>
      <c r="AE162" s="179" t="s">
        <v>1706</v>
      </c>
      <c r="AF162" s="179" t="s">
        <v>2405</v>
      </c>
      <c r="AG162" s="179"/>
      <c r="AH162" s="178">
        <f t="shared" si="43"/>
        <v>2</v>
      </c>
      <c r="AI162" s="179" t="s">
        <v>162</v>
      </c>
      <c r="AJ162" s="179"/>
      <c r="AK162" s="179"/>
      <c r="AL162" s="179" t="s">
        <v>150</v>
      </c>
      <c r="AM162" s="179"/>
      <c r="AN162" s="179"/>
      <c r="AO162" s="179" t="s">
        <v>164</v>
      </c>
      <c r="AP162" s="178" t="s">
        <v>2406</v>
      </c>
      <c r="AQ162" s="179" t="s">
        <v>2407</v>
      </c>
      <c r="AR162" s="179" t="s">
        <v>150</v>
      </c>
      <c r="AS162" s="179" t="s">
        <v>2408</v>
      </c>
      <c r="AT162" s="420" t="s">
        <v>298</v>
      </c>
      <c r="AU162" s="178" t="s">
        <v>2409</v>
      </c>
      <c r="AV162" s="179"/>
      <c r="AW162" s="180">
        <v>42793</v>
      </c>
      <c r="AX162" s="180">
        <v>43045</v>
      </c>
      <c r="AY162" s="180" t="s">
        <v>150</v>
      </c>
      <c r="AZ162" s="180">
        <v>43593</v>
      </c>
      <c r="BA162" s="180">
        <v>43648</v>
      </c>
      <c r="BB162" s="180"/>
      <c r="BC162" s="180"/>
      <c r="BD162" s="180"/>
      <c r="BE162" s="181" t="s">
        <v>2410</v>
      </c>
      <c r="BF162" s="180">
        <v>44207</v>
      </c>
      <c r="BG162" s="179" t="s">
        <v>163</v>
      </c>
      <c r="BH162" s="180">
        <v>44410</v>
      </c>
      <c r="BI162" s="179" t="s">
        <v>163</v>
      </c>
      <c r="BJ162" s="179"/>
      <c r="BK162" s="179"/>
      <c r="BL162" s="179"/>
      <c r="BM162" s="182">
        <v>45595</v>
      </c>
      <c r="BN162" s="178" t="s">
        <v>16</v>
      </c>
      <c r="BO162" s="178">
        <f t="shared" si="45"/>
        <v>93</v>
      </c>
      <c r="BP162" s="178">
        <f t="shared" si="44"/>
        <v>84</v>
      </c>
      <c r="BQ162" s="181" t="s">
        <v>2411</v>
      </c>
      <c r="BR162" s="178">
        <v>0</v>
      </c>
      <c r="BS162" s="178">
        <v>13</v>
      </c>
      <c r="BT162" s="178">
        <v>0</v>
      </c>
      <c r="BU162" s="178"/>
      <c r="BV162" s="178"/>
      <c r="BW162" s="178"/>
      <c r="BX162" s="178"/>
      <c r="BY162" s="178" t="s">
        <v>163</v>
      </c>
      <c r="BZ162" s="178" t="s">
        <v>163</v>
      </c>
      <c r="CA162" s="178"/>
      <c r="CB162" s="184"/>
      <c r="CC162" s="184"/>
      <c r="CD162" s="178"/>
      <c r="CE162" s="178" t="s">
        <v>163</v>
      </c>
      <c r="CF162" s="178"/>
      <c r="CG162" s="178"/>
      <c r="CH162" s="377">
        <v>2</v>
      </c>
      <c r="CI162" s="178"/>
      <c r="CJ162" s="178"/>
      <c r="CK162" s="178" t="s">
        <v>809</v>
      </c>
      <c r="CL162"/>
    </row>
    <row r="163" spans="1:90" s="53" customFormat="1" ht="24.95" customHeight="1">
      <c r="A163" s="178">
        <v>166</v>
      </c>
      <c r="B163" s="178" t="s">
        <v>2412</v>
      </c>
      <c r="C163" s="178" t="s">
        <v>2413</v>
      </c>
      <c r="D163" s="178" t="s">
        <v>20</v>
      </c>
      <c r="E163" s="178" t="s">
        <v>2414</v>
      </c>
      <c r="F163" s="178" t="s">
        <v>24</v>
      </c>
      <c r="G163" s="178">
        <v>7</v>
      </c>
      <c r="H163" s="178" t="s">
        <v>55</v>
      </c>
      <c r="I163" s="178" t="s">
        <v>43</v>
      </c>
      <c r="J163" s="178" t="s">
        <v>1421</v>
      </c>
      <c r="K163" s="178" t="s">
        <v>1421</v>
      </c>
      <c r="L163" s="178" t="s">
        <v>45</v>
      </c>
      <c r="M163" s="178" t="s">
        <v>163</v>
      </c>
      <c r="N163" s="178">
        <v>1760159</v>
      </c>
      <c r="O163" s="178" t="s">
        <v>151</v>
      </c>
      <c r="P163" s="178" t="s">
        <v>151</v>
      </c>
      <c r="Q163" s="178" t="s">
        <v>151</v>
      </c>
      <c r="R163" s="178" t="s">
        <v>2415</v>
      </c>
      <c r="S163" s="178" t="s">
        <v>2416</v>
      </c>
      <c r="T163" s="352" t="s">
        <v>2417</v>
      </c>
      <c r="U163" s="179"/>
      <c r="V163" s="179">
        <v>29082</v>
      </c>
      <c r="W163" s="187" t="s">
        <v>2418</v>
      </c>
      <c r="X163" s="187" t="s">
        <v>156</v>
      </c>
      <c r="Y163" s="187"/>
      <c r="Z163" s="187"/>
      <c r="AA163" s="178">
        <v>15</v>
      </c>
      <c r="AB163" s="179">
        <v>42917</v>
      </c>
      <c r="AC163" s="288">
        <v>42795</v>
      </c>
      <c r="AD163" s="179"/>
      <c r="AE163" s="179" t="s">
        <v>2419</v>
      </c>
      <c r="AF163" s="179" t="s">
        <v>2420</v>
      </c>
      <c r="AG163" s="179"/>
      <c r="AH163" s="178">
        <f t="shared" si="43"/>
        <v>2</v>
      </c>
      <c r="AI163" s="179" t="s">
        <v>162</v>
      </c>
      <c r="AJ163" s="179"/>
      <c r="AK163" s="179"/>
      <c r="AL163" s="179" t="s">
        <v>150</v>
      </c>
      <c r="AM163" s="179"/>
      <c r="AN163" s="179"/>
      <c r="AO163" s="179" t="s">
        <v>164</v>
      </c>
      <c r="AP163" s="178"/>
      <c r="AQ163" s="179" t="s">
        <v>2421</v>
      </c>
      <c r="AR163" s="179" t="s">
        <v>150</v>
      </c>
      <c r="AS163" s="179"/>
      <c r="AT163" s="420" t="s">
        <v>2422</v>
      </c>
      <c r="AU163" s="178" t="s">
        <v>2423</v>
      </c>
      <c r="AV163" s="179"/>
      <c r="AW163" s="180">
        <v>42793</v>
      </c>
      <c r="AX163" s="180">
        <v>43045</v>
      </c>
      <c r="AY163" s="180" t="s">
        <v>150</v>
      </c>
      <c r="AZ163" s="180">
        <v>43146</v>
      </c>
      <c r="BA163" s="180">
        <v>43196</v>
      </c>
      <c r="BB163" s="180"/>
      <c r="BC163" s="180"/>
      <c r="BD163" s="180"/>
      <c r="BE163" s="181" t="s">
        <v>2424</v>
      </c>
      <c r="BF163" s="180">
        <v>43675</v>
      </c>
      <c r="BG163" s="180" t="s">
        <v>150</v>
      </c>
      <c r="BH163" s="180">
        <v>43891</v>
      </c>
      <c r="BI163" s="180" t="s">
        <v>150</v>
      </c>
      <c r="BJ163" s="179"/>
      <c r="BK163" s="179"/>
      <c r="BL163" s="179"/>
      <c r="BM163" s="182">
        <v>44344</v>
      </c>
      <c r="BN163" s="178" t="s">
        <v>16</v>
      </c>
      <c r="BO163" s="178">
        <f t="shared" ref="BO163" si="46">DATEDIF(AW163,BM163, "M")+1</f>
        <v>52</v>
      </c>
      <c r="BP163" s="178">
        <f t="shared" ref="BP163:BP170" si="47">DATEDIF(AX163,BM163, "M")+1</f>
        <v>43</v>
      </c>
      <c r="BQ163" s="178"/>
      <c r="BR163" s="178"/>
      <c r="BS163" s="178"/>
      <c r="BT163" s="178"/>
      <c r="BU163" s="178"/>
      <c r="BV163" s="178"/>
      <c r="BW163" s="178"/>
      <c r="BX163" s="178"/>
      <c r="BY163" s="178" t="s">
        <v>163</v>
      </c>
      <c r="BZ163" s="178"/>
      <c r="CA163" s="178"/>
      <c r="CB163" s="184">
        <v>43930</v>
      </c>
      <c r="CC163" s="184">
        <v>44035</v>
      </c>
      <c r="CD163" s="178">
        <v>4</v>
      </c>
      <c r="CE163" s="178"/>
      <c r="CF163" s="178"/>
      <c r="CG163" s="178"/>
      <c r="CH163" s="377">
        <v>3</v>
      </c>
      <c r="CI163" s="178">
        <v>3</v>
      </c>
      <c r="CJ163" s="178"/>
      <c r="CK163" s="178" t="s">
        <v>809</v>
      </c>
      <c r="CL163"/>
    </row>
    <row r="164" spans="1:90" s="53" customFormat="1" ht="24.95" customHeight="1">
      <c r="A164" s="178">
        <v>167</v>
      </c>
      <c r="B164" s="178" t="s">
        <v>2425</v>
      </c>
      <c r="C164" s="178" t="s">
        <v>2426</v>
      </c>
      <c r="D164" s="178" t="s">
        <v>2427</v>
      </c>
      <c r="E164" s="178" t="s">
        <v>2427</v>
      </c>
      <c r="F164" s="178" t="s">
        <v>24</v>
      </c>
      <c r="G164" s="178">
        <v>7</v>
      </c>
      <c r="H164" s="178" t="s">
        <v>55</v>
      </c>
      <c r="I164" s="178" t="s">
        <v>43</v>
      </c>
      <c r="J164" s="178" t="s">
        <v>602</v>
      </c>
      <c r="K164" s="178" t="s">
        <v>602</v>
      </c>
      <c r="L164" s="178" t="s">
        <v>45</v>
      </c>
      <c r="M164" s="178" t="s">
        <v>163</v>
      </c>
      <c r="N164" s="178">
        <v>1941393</v>
      </c>
      <c r="O164" s="178" t="s">
        <v>151</v>
      </c>
      <c r="P164" s="178" t="s">
        <v>151</v>
      </c>
      <c r="Q164" s="178" t="s">
        <v>151</v>
      </c>
      <c r="R164" s="178" t="s">
        <v>2428</v>
      </c>
      <c r="S164" s="178" t="s">
        <v>2429</v>
      </c>
      <c r="T164" s="352" t="s">
        <v>2430</v>
      </c>
      <c r="U164" s="179" t="s">
        <v>2431</v>
      </c>
      <c r="V164" s="179">
        <v>31760</v>
      </c>
      <c r="W164" s="187" t="s">
        <v>2432</v>
      </c>
      <c r="X164" s="187" t="s">
        <v>179</v>
      </c>
      <c r="Y164" s="187" t="s">
        <v>163</v>
      </c>
      <c r="Z164" s="187"/>
      <c r="AA164" s="178">
        <v>10.5</v>
      </c>
      <c r="AB164" s="179">
        <v>42826</v>
      </c>
      <c r="AC164" s="288">
        <v>42795</v>
      </c>
      <c r="AD164" s="179"/>
      <c r="AE164" s="179" t="s">
        <v>2433</v>
      </c>
      <c r="AF164" s="179"/>
      <c r="AG164" s="179"/>
      <c r="AH164" s="178">
        <f t="shared" si="43"/>
        <v>1</v>
      </c>
      <c r="AI164" s="179" t="s">
        <v>162</v>
      </c>
      <c r="AJ164" s="179"/>
      <c r="AK164" s="179"/>
      <c r="AL164" s="179" t="s">
        <v>163</v>
      </c>
      <c r="AM164" s="179"/>
      <c r="AN164" s="179"/>
      <c r="AO164" s="179" t="s">
        <v>164</v>
      </c>
      <c r="AP164" s="178" t="s">
        <v>181</v>
      </c>
      <c r="AQ164" s="179" t="s">
        <v>2434</v>
      </c>
      <c r="AR164" s="179" t="s">
        <v>150</v>
      </c>
      <c r="AS164" s="179" t="s">
        <v>2435</v>
      </c>
      <c r="AT164" s="420" t="s">
        <v>219</v>
      </c>
      <c r="AU164" s="178" t="s">
        <v>2436</v>
      </c>
      <c r="AV164" s="179"/>
      <c r="AW164" s="180">
        <v>42793</v>
      </c>
      <c r="AX164" s="180">
        <v>43045</v>
      </c>
      <c r="AY164" s="180" t="s">
        <v>150</v>
      </c>
      <c r="AZ164" s="180">
        <v>43322</v>
      </c>
      <c r="BA164" s="180">
        <v>43416</v>
      </c>
      <c r="BB164" s="180">
        <v>43445</v>
      </c>
      <c r="BC164" s="180"/>
      <c r="BD164" s="180"/>
      <c r="BE164" s="181" t="s">
        <v>2437</v>
      </c>
      <c r="BF164" s="180">
        <v>43675</v>
      </c>
      <c r="BG164" s="180" t="s">
        <v>150</v>
      </c>
      <c r="BH164" s="180">
        <v>43891</v>
      </c>
      <c r="BI164" s="180" t="s">
        <v>150</v>
      </c>
      <c r="BJ164" s="179"/>
      <c r="BK164" s="179"/>
      <c r="BL164" s="179"/>
      <c r="BM164" s="182">
        <v>44851</v>
      </c>
      <c r="BN164" s="190" t="s">
        <v>16</v>
      </c>
      <c r="BO164" s="178">
        <f t="shared" ref="BO164:BO166" si="48">DATEDIF(AW164,BM164, "M")+1</f>
        <v>68</v>
      </c>
      <c r="BP164" s="178">
        <f t="shared" si="47"/>
        <v>60</v>
      </c>
      <c r="BQ164" s="187" t="s">
        <v>2437</v>
      </c>
      <c r="BR164" s="178">
        <v>0</v>
      </c>
      <c r="BS164" s="178">
        <v>9</v>
      </c>
      <c r="BT164" s="178">
        <v>0</v>
      </c>
      <c r="BU164" s="178"/>
      <c r="BV164" s="178"/>
      <c r="BW164" s="178"/>
      <c r="BX164" s="178"/>
      <c r="BY164" s="178" t="s">
        <v>163</v>
      </c>
      <c r="BZ164" s="178" t="s">
        <v>150</v>
      </c>
      <c r="CA164" s="178" t="s">
        <v>2438</v>
      </c>
      <c r="CB164" s="184">
        <v>43160</v>
      </c>
      <c r="CC164" s="184">
        <v>44621</v>
      </c>
      <c r="CD164" s="178">
        <v>48</v>
      </c>
      <c r="CE164" s="178" t="s">
        <v>163</v>
      </c>
      <c r="CF164" s="178"/>
      <c r="CG164" s="178"/>
      <c r="CH164" s="377">
        <v>2</v>
      </c>
      <c r="CI164" s="178"/>
      <c r="CJ164" s="178"/>
      <c r="CK164" s="178" t="s">
        <v>809</v>
      </c>
      <c r="CL164"/>
    </row>
    <row r="165" spans="1:90" s="53" customFormat="1" ht="24.95" customHeight="1">
      <c r="A165" s="178">
        <v>168</v>
      </c>
      <c r="B165" s="178" t="s">
        <v>2439</v>
      </c>
      <c r="C165" s="178" t="s">
        <v>2440</v>
      </c>
      <c r="D165" s="178" t="s">
        <v>1742</v>
      </c>
      <c r="E165" s="178" t="s">
        <v>2441</v>
      </c>
      <c r="F165" s="178" t="s">
        <v>25</v>
      </c>
      <c r="G165" s="178">
        <v>7</v>
      </c>
      <c r="H165" s="178" t="s">
        <v>54</v>
      </c>
      <c r="I165" s="178" t="s">
        <v>39</v>
      </c>
      <c r="J165" s="178" t="s">
        <v>1901</v>
      </c>
      <c r="K165" s="178" t="s">
        <v>2442</v>
      </c>
      <c r="L165" s="178" t="s">
        <v>39</v>
      </c>
      <c r="M165" s="178" t="s">
        <v>150</v>
      </c>
      <c r="N165" s="178" t="s">
        <v>2443</v>
      </c>
      <c r="O165" s="178" t="s">
        <v>151</v>
      </c>
      <c r="P165" s="178" t="s">
        <v>151</v>
      </c>
      <c r="Q165" s="178" t="s">
        <v>151</v>
      </c>
      <c r="R165" s="178" t="s">
        <v>2444</v>
      </c>
      <c r="S165" s="178" t="s">
        <v>2445</v>
      </c>
      <c r="T165" s="352" t="s">
        <v>2446</v>
      </c>
      <c r="U165" s="179" t="s">
        <v>1901</v>
      </c>
      <c r="V165" s="179">
        <v>29059</v>
      </c>
      <c r="W165" s="187" t="s">
        <v>2447</v>
      </c>
      <c r="X165" s="187" t="s">
        <v>179</v>
      </c>
      <c r="Y165" s="187" t="s">
        <v>163</v>
      </c>
      <c r="Z165" s="187"/>
      <c r="AA165" s="178"/>
      <c r="AB165" s="179">
        <v>42683</v>
      </c>
      <c r="AC165" s="288">
        <v>42795</v>
      </c>
      <c r="AD165" s="179"/>
      <c r="AE165" s="179" t="s">
        <v>2448</v>
      </c>
      <c r="AF165" s="179"/>
      <c r="AG165" s="179"/>
      <c r="AH165" s="178">
        <f t="shared" si="43"/>
        <v>1</v>
      </c>
      <c r="AI165" s="179" t="s">
        <v>161</v>
      </c>
      <c r="AJ165" s="179"/>
      <c r="AK165" s="179"/>
      <c r="AL165" s="179" t="s">
        <v>150</v>
      </c>
      <c r="AM165" s="179"/>
      <c r="AN165" s="179"/>
      <c r="AO165" s="179" t="s">
        <v>164</v>
      </c>
      <c r="AP165" s="178"/>
      <c r="AQ165" s="179" t="s">
        <v>1440</v>
      </c>
      <c r="AR165" s="179"/>
      <c r="AS165" s="179"/>
      <c r="AT165" s="420" t="s">
        <v>285</v>
      </c>
      <c r="AU165" s="178" t="s">
        <v>2449</v>
      </c>
      <c r="AV165" s="179"/>
      <c r="AW165" s="180">
        <v>42793</v>
      </c>
      <c r="AX165" s="180">
        <v>43045</v>
      </c>
      <c r="AY165" s="180" t="s">
        <v>150</v>
      </c>
      <c r="AZ165" s="180">
        <v>42419</v>
      </c>
      <c r="BA165" s="180">
        <v>42419</v>
      </c>
      <c r="BB165" s="180"/>
      <c r="BC165" s="180"/>
      <c r="BD165" s="180"/>
      <c r="BE165" s="181" t="s">
        <v>2450</v>
      </c>
      <c r="BF165" s="180">
        <v>43675</v>
      </c>
      <c r="BG165" s="180" t="s">
        <v>150</v>
      </c>
      <c r="BH165" s="180">
        <v>43891</v>
      </c>
      <c r="BI165" s="180" t="s">
        <v>150</v>
      </c>
      <c r="BJ165" s="179"/>
      <c r="BK165" s="179"/>
      <c r="BL165" s="179"/>
      <c r="BM165" s="188">
        <v>43813</v>
      </c>
      <c r="BN165" s="178" t="s">
        <v>16</v>
      </c>
      <c r="BO165" s="178">
        <f t="shared" si="48"/>
        <v>34</v>
      </c>
      <c r="BP165" s="178">
        <f t="shared" si="47"/>
        <v>26</v>
      </c>
      <c r="BQ165" s="178"/>
      <c r="BR165" s="178">
        <v>0</v>
      </c>
      <c r="BS165" s="178">
        <v>0</v>
      </c>
      <c r="BT165" s="178">
        <v>3</v>
      </c>
      <c r="BU165" s="178"/>
      <c r="BV165" s="178"/>
      <c r="BW165" s="178"/>
      <c r="BX165" s="178"/>
      <c r="BY165" s="178" t="s">
        <v>163</v>
      </c>
      <c r="BZ165" s="178" t="s">
        <v>163</v>
      </c>
      <c r="CA165" s="178"/>
      <c r="CB165" s="184"/>
      <c r="CC165" s="184"/>
      <c r="CD165" s="178"/>
      <c r="CE165" s="178" t="s">
        <v>163</v>
      </c>
      <c r="CF165" s="178"/>
      <c r="CG165" s="178"/>
      <c r="CH165" s="377">
        <v>1</v>
      </c>
      <c r="CI165" s="178">
        <v>3</v>
      </c>
      <c r="CJ165" s="178"/>
      <c r="CK165" s="178" t="s">
        <v>809</v>
      </c>
      <c r="CL165"/>
    </row>
    <row r="166" spans="1:90" s="53" customFormat="1" ht="24.95" customHeight="1">
      <c r="A166" s="178">
        <v>169</v>
      </c>
      <c r="B166" s="178" t="s">
        <v>2451</v>
      </c>
      <c r="C166" s="178" t="s">
        <v>975</v>
      </c>
      <c r="D166" s="178" t="s">
        <v>2452</v>
      </c>
      <c r="E166" s="178" t="s">
        <v>2453</v>
      </c>
      <c r="F166" s="178" t="s">
        <v>24</v>
      </c>
      <c r="G166" s="178">
        <v>7</v>
      </c>
      <c r="H166" s="178" t="s">
        <v>54</v>
      </c>
      <c r="I166" s="178" t="s">
        <v>31</v>
      </c>
      <c r="J166" s="178" t="s">
        <v>2241</v>
      </c>
      <c r="K166" s="178" t="s">
        <v>1115</v>
      </c>
      <c r="L166" s="178" t="s">
        <v>31</v>
      </c>
      <c r="M166" s="178" t="s">
        <v>150</v>
      </c>
      <c r="N166" s="178" t="s">
        <v>2454</v>
      </c>
      <c r="O166" s="178" t="s">
        <v>151</v>
      </c>
      <c r="P166" s="178" t="s">
        <v>151</v>
      </c>
      <c r="Q166" s="178"/>
      <c r="R166" s="178" t="s">
        <v>2455</v>
      </c>
      <c r="S166" s="178" t="s">
        <v>2456</v>
      </c>
      <c r="T166" s="352" t="s">
        <v>2457</v>
      </c>
      <c r="U166" s="179"/>
      <c r="V166" s="179">
        <v>26417</v>
      </c>
      <c r="W166" s="187" t="s">
        <v>2458</v>
      </c>
      <c r="X166" s="187" t="s">
        <v>156</v>
      </c>
      <c r="Y166" s="187"/>
      <c r="Z166" s="187"/>
      <c r="AA166" s="178"/>
      <c r="AB166" s="179">
        <v>43038</v>
      </c>
      <c r="AC166" s="288">
        <v>42795</v>
      </c>
      <c r="AD166" s="179"/>
      <c r="AE166" s="179" t="s">
        <v>2459</v>
      </c>
      <c r="AF166" s="179"/>
      <c r="AG166" s="179"/>
      <c r="AH166" s="178">
        <f t="shared" si="43"/>
        <v>1</v>
      </c>
      <c r="AI166" s="179" t="s">
        <v>161</v>
      </c>
      <c r="AJ166" s="179"/>
      <c r="AK166" s="179"/>
      <c r="AL166" s="179" t="s">
        <v>163</v>
      </c>
      <c r="AM166" s="179"/>
      <c r="AN166" s="179"/>
      <c r="AO166" s="179" t="s">
        <v>164</v>
      </c>
      <c r="AP166" s="178"/>
      <c r="AQ166" s="179" t="s">
        <v>943</v>
      </c>
      <c r="AR166" s="179"/>
      <c r="AS166" s="179"/>
      <c r="AT166" s="420" t="s">
        <v>328</v>
      </c>
      <c r="AU166" s="178" t="s">
        <v>987</v>
      </c>
      <c r="AV166" s="179"/>
      <c r="AW166" s="180">
        <v>42793</v>
      </c>
      <c r="AX166" s="180">
        <v>43045</v>
      </c>
      <c r="AY166" s="180" t="s">
        <v>150</v>
      </c>
      <c r="AZ166" s="180">
        <v>43312</v>
      </c>
      <c r="BA166" s="180">
        <v>43332</v>
      </c>
      <c r="BB166" s="180"/>
      <c r="BC166" s="180"/>
      <c r="BD166" s="180"/>
      <c r="BE166" s="181" t="s">
        <v>2460</v>
      </c>
      <c r="BF166" s="180">
        <v>43675</v>
      </c>
      <c r="BG166" s="180" t="s">
        <v>150</v>
      </c>
      <c r="BH166" s="180">
        <v>43891</v>
      </c>
      <c r="BI166" s="180" t="s">
        <v>150</v>
      </c>
      <c r="BJ166" s="179"/>
      <c r="BK166" s="179"/>
      <c r="BL166" s="179"/>
      <c r="BM166" s="182">
        <v>44543</v>
      </c>
      <c r="BN166" s="178" t="s">
        <v>16</v>
      </c>
      <c r="BO166" s="178">
        <f t="shared" si="48"/>
        <v>58</v>
      </c>
      <c r="BP166" s="178">
        <f t="shared" si="47"/>
        <v>50</v>
      </c>
      <c r="BQ166" s="178"/>
      <c r="BR166" s="178">
        <v>17</v>
      </c>
      <c r="BS166" s="178">
        <v>2</v>
      </c>
      <c r="BT166" s="178">
        <v>0</v>
      </c>
      <c r="BU166" s="178"/>
      <c r="BV166" s="178"/>
      <c r="BW166" s="178"/>
      <c r="BX166" s="178"/>
      <c r="BY166" s="178" t="s">
        <v>163</v>
      </c>
      <c r="BZ166" s="178"/>
      <c r="CA166" s="178"/>
      <c r="CB166" s="184">
        <v>44075</v>
      </c>
      <c r="CC166" s="184">
        <v>44317</v>
      </c>
      <c r="CD166" s="178">
        <v>9</v>
      </c>
      <c r="CE166" s="178"/>
      <c r="CF166" s="178"/>
      <c r="CG166" s="178"/>
      <c r="CH166" s="377">
        <v>3</v>
      </c>
      <c r="CI166" s="178">
        <v>3</v>
      </c>
      <c r="CJ166" s="178"/>
      <c r="CK166" s="178" t="s">
        <v>809</v>
      </c>
      <c r="CL166"/>
    </row>
    <row r="167" spans="1:90" s="53" customFormat="1" ht="24.95" customHeight="1">
      <c r="A167" s="178">
        <v>170</v>
      </c>
      <c r="B167" s="178" t="s">
        <v>2461</v>
      </c>
      <c r="C167" s="178" t="s">
        <v>2462</v>
      </c>
      <c r="D167" s="178" t="s">
        <v>2463</v>
      </c>
      <c r="E167" s="178" t="s">
        <v>2464</v>
      </c>
      <c r="F167" s="178" t="s">
        <v>25</v>
      </c>
      <c r="G167" s="178">
        <v>7</v>
      </c>
      <c r="H167" s="178" t="s">
        <v>54</v>
      </c>
      <c r="I167" s="178" t="s">
        <v>39</v>
      </c>
      <c r="J167" s="178" t="s">
        <v>2465</v>
      </c>
      <c r="K167" s="178" t="s">
        <v>2466</v>
      </c>
      <c r="L167" s="178" t="s">
        <v>39</v>
      </c>
      <c r="M167" s="178" t="s">
        <v>150</v>
      </c>
      <c r="N167" s="178"/>
      <c r="O167" s="178" t="s">
        <v>151</v>
      </c>
      <c r="P167" s="178" t="s">
        <v>151</v>
      </c>
      <c r="Q167" s="178"/>
      <c r="R167" s="178" t="s">
        <v>2467</v>
      </c>
      <c r="S167" s="178" t="s">
        <v>2468</v>
      </c>
      <c r="T167" s="352" t="s">
        <v>2469</v>
      </c>
      <c r="U167" s="179"/>
      <c r="V167" s="179">
        <v>28387</v>
      </c>
      <c r="W167" s="187" t="s">
        <v>2470</v>
      </c>
      <c r="X167" s="187" t="s">
        <v>179</v>
      </c>
      <c r="Y167" s="187"/>
      <c r="Z167" s="187"/>
      <c r="AA167" s="178"/>
      <c r="AB167" s="179">
        <v>42837</v>
      </c>
      <c r="AC167" s="288">
        <v>42795</v>
      </c>
      <c r="AD167" s="179"/>
      <c r="AE167" s="179" t="s">
        <v>2471</v>
      </c>
      <c r="AF167" s="179"/>
      <c r="AG167" s="179"/>
      <c r="AH167" s="178">
        <f t="shared" si="43"/>
        <v>1</v>
      </c>
      <c r="AI167" s="179" t="s">
        <v>161</v>
      </c>
      <c r="AJ167" s="179"/>
      <c r="AK167" s="179"/>
      <c r="AL167" s="179" t="s">
        <v>150</v>
      </c>
      <c r="AM167" s="179"/>
      <c r="AN167" s="179"/>
      <c r="AO167" s="179" t="s">
        <v>182</v>
      </c>
      <c r="AP167" s="178"/>
      <c r="AQ167" s="179" t="s">
        <v>2202</v>
      </c>
      <c r="AR167" s="179"/>
      <c r="AS167" s="179"/>
      <c r="AT167" s="420" t="s">
        <v>285</v>
      </c>
      <c r="AU167" s="178" t="s">
        <v>2472</v>
      </c>
      <c r="AV167" s="179"/>
      <c r="AW167" s="180">
        <v>42793</v>
      </c>
      <c r="AX167" s="180">
        <v>43045</v>
      </c>
      <c r="AY167" s="180" t="s">
        <v>150</v>
      </c>
      <c r="AZ167" s="180">
        <v>43200</v>
      </c>
      <c r="BA167" s="180">
        <v>43451</v>
      </c>
      <c r="BB167" s="180"/>
      <c r="BC167" s="180"/>
      <c r="BD167" s="180"/>
      <c r="BE167" s="181" t="s">
        <v>2473</v>
      </c>
      <c r="BF167" s="180">
        <v>43675</v>
      </c>
      <c r="BG167" s="180" t="s">
        <v>150</v>
      </c>
      <c r="BH167" s="180">
        <v>43891</v>
      </c>
      <c r="BI167" s="180" t="s">
        <v>150</v>
      </c>
      <c r="BJ167" s="179"/>
      <c r="BK167" s="179">
        <v>44272</v>
      </c>
      <c r="BL167" s="179">
        <v>44403</v>
      </c>
      <c r="BM167" s="182">
        <v>44410</v>
      </c>
      <c r="BN167" s="178" t="s">
        <v>16</v>
      </c>
      <c r="BO167" s="263">
        <f t="shared" ref="BO167:BO170" si="49">DATEDIF(AW167,BM167, "M")+1</f>
        <v>54</v>
      </c>
      <c r="BP167" s="178">
        <f t="shared" si="47"/>
        <v>45</v>
      </c>
      <c r="BQ167" s="187" t="s">
        <v>2474</v>
      </c>
      <c r="BR167" s="178">
        <v>0</v>
      </c>
      <c r="BS167" s="178">
        <v>1</v>
      </c>
      <c r="BT167" s="178">
        <v>0</v>
      </c>
      <c r="BU167" s="178"/>
      <c r="BV167" s="178"/>
      <c r="BW167" s="178"/>
      <c r="BX167" s="178"/>
      <c r="BY167" s="178" t="s">
        <v>163</v>
      </c>
      <c r="BZ167" s="178"/>
      <c r="CA167" s="178"/>
      <c r="CB167" s="184"/>
      <c r="CC167" s="184"/>
      <c r="CD167" s="178"/>
      <c r="CE167" s="178"/>
      <c r="CF167" s="178"/>
      <c r="CG167" s="178"/>
      <c r="CH167" s="377"/>
      <c r="CI167" s="178"/>
      <c r="CJ167" s="178"/>
      <c r="CK167" s="178" t="s">
        <v>809</v>
      </c>
      <c r="CL167"/>
    </row>
    <row r="168" spans="1:90" s="53" customFormat="1" ht="24.95" customHeight="1">
      <c r="A168" s="178">
        <v>171</v>
      </c>
      <c r="B168" s="178" t="s">
        <v>2475</v>
      </c>
      <c r="C168" s="178" t="s">
        <v>2476</v>
      </c>
      <c r="D168" s="178" t="s">
        <v>2477</v>
      </c>
      <c r="E168" s="178" t="s">
        <v>2478</v>
      </c>
      <c r="F168" s="178" t="s">
        <v>24</v>
      </c>
      <c r="G168" s="178">
        <v>7</v>
      </c>
      <c r="H168" s="178" t="s">
        <v>54</v>
      </c>
      <c r="I168" s="178" t="s">
        <v>31</v>
      </c>
      <c r="J168" s="178" t="s">
        <v>2479</v>
      </c>
      <c r="K168" s="178" t="s">
        <v>2480</v>
      </c>
      <c r="L168" s="178" t="s">
        <v>31</v>
      </c>
      <c r="M168" s="178" t="s">
        <v>150</v>
      </c>
      <c r="N168" s="178">
        <v>155101</v>
      </c>
      <c r="O168" s="178" t="s">
        <v>151</v>
      </c>
      <c r="P168" s="178" t="s">
        <v>151</v>
      </c>
      <c r="Q168" s="178" t="s">
        <v>151</v>
      </c>
      <c r="R168" s="178" t="s">
        <v>2481</v>
      </c>
      <c r="S168" s="185" t="s">
        <v>2482</v>
      </c>
      <c r="T168" s="352" t="s">
        <v>2483</v>
      </c>
      <c r="U168" s="179"/>
      <c r="V168" s="179">
        <v>27214</v>
      </c>
      <c r="W168" s="187" t="s">
        <v>2484</v>
      </c>
      <c r="X168" s="187" t="s">
        <v>156</v>
      </c>
      <c r="Y168" s="187"/>
      <c r="Z168" s="187"/>
      <c r="AA168" s="178"/>
      <c r="AB168" s="179">
        <v>42307</v>
      </c>
      <c r="AC168" s="288">
        <v>42795</v>
      </c>
      <c r="AD168" s="179"/>
      <c r="AE168" s="179" t="s">
        <v>2485</v>
      </c>
      <c r="AF168" s="313" t="s">
        <v>2486</v>
      </c>
      <c r="AG168" s="179"/>
      <c r="AH168" s="178">
        <f t="shared" si="43"/>
        <v>2</v>
      </c>
      <c r="AI168" s="179" t="s">
        <v>161</v>
      </c>
      <c r="AJ168" s="179"/>
      <c r="AK168" s="179"/>
      <c r="AL168" s="179" t="s">
        <v>150</v>
      </c>
      <c r="AM168" s="179"/>
      <c r="AN168" s="179"/>
      <c r="AO168" s="179" t="s">
        <v>164</v>
      </c>
      <c r="AP168" s="178" t="s">
        <v>203</v>
      </c>
      <c r="AQ168" s="179" t="s">
        <v>943</v>
      </c>
      <c r="AR168" s="179"/>
      <c r="AS168" s="179"/>
      <c r="AT168" s="420" t="s">
        <v>328</v>
      </c>
      <c r="AU168" s="178" t="s">
        <v>2487</v>
      </c>
      <c r="AV168" s="179"/>
      <c r="AW168" s="180">
        <v>42793</v>
      </c>
      <c r="AX168" s="180">
        <v>43045</v>
      </c>
      <c r="AY168" s="180" t="s">
        <v>150</v>
      </c>
      <c r="AZ168" s="180">
        <v>43005</v>
      </c>
      <c r="BA168" s="180">
        <v>43119</v>
      </c>
      <c r="BB168" s="180"/>
      <c r="BC168" s="180"/>
      <c r="BD168" s="180"/>
      <c r="BE168" s="181" t="s">
        <v>2488</v>
      </c>
      <c r="BF168" s="180">
        <v>43675</v>
      </c>
      <c r="BG168" s="180" t="s">
        <v>150</v>
      </c>
      <c r="BH168" s="180">
        <v>43891</v>
      </c>
      <c r="BI168" s="180" t="s">
        <v>150</v>
      </c>
      <c r="BJ168" s="179"/>
      <c r="BK168" s="179"/>
      <c r="BL168" s="179"/>
      <c r="BM168" s="182">
        <v>44402</v>
      </c>
      <c r="BN168" s="178" t="s">
        <v>16</v>
      </c>
      <c r="BO168" s="263">
        <f t="shared" si="49"/>
        <v>53</v>
      </c>
      <c r="BP168" s="178">
        <f t="shared" si="47"/>
        <v>45</v>
      </c>
      <c r="BQ168" s="178"/>
      <c r="BR168" s="178">
        <v>14</v>
      </c>
      <c r="BS168" s="178">
        <v>13</v>
      </c>
      <c r="BT168" s="178">
        <v>5</v>
      </c>
      <c r="BU168" s="178"/>
      <c r="BV168" s="178"/>
      <c r="BW168" s="178"/>
      <c r="BX168" s="178"/>
      <c r="BY168" s="178" t="s">
        <v>163</v>
      </c>
      <c r="BZ168" s="178"/>
      <c r="CA168" s="178"/>
      <c r="CB168" s="184">
        <v>44077</v>
      </c>
      <c r="CC168" s="184">
        <v>44348</v>
      </c>
      <c r="CD168" s="178">
        <v>9</v>
      </c>
      <c r="CE168" s="178"/>
      <c r="CF168" s="178"/>
      <c r="CG168" s="178"/>
      <c r="CH168" s="377">
        <v>4</v>
      </c>
      <c r="CI168" s="178">
        <v>4</v>
      </c>
      <c r="CJ168" s="178"/>
      <c r="CK168" s="178" t="s">
        <v>809</v>
      </c>
      <c r="CL168"/>
    </row>
    <row r="169" spans="1:90" s="53" customFormat="1" ht="24.95" customHeight="1">
      <c r="A169" s="178">
        <v>172</v>
      </c>
      <c r="B169" s="178" t="s">
        <v>2489</v>
      </c>
      <c r="C169" s="178" t="s">
        <v>2490</v>
      </c>
      <c r="D169" s="178" t="s">
        <v>2491</v>
      </c>
      <c r="E169" s="178" t="s">
        <v>2492</v>
      </c>
      <c r="F169" s="178" t="s">
        <v>25</v>
      </c>
      <c r="G169" s="178">
        <v>7</v>
      </c>
      <c r="H169" s="178" t="s">
        <v>60</v>
      </c>
      <c r="I169" s="178" t="s">
        <v>35</v>
      </c>
      <c r="J169" s="178" t="s">
        <v>477</v>
      </c>
      <c r="K169" s="178" t="s">
        <v>922</v>
      </c>
      <c r="L169" s="178" t="s">
        <v>42</v>
      </c>
      <c r="M169" s="178" t="s">
        <v>163</v>
      </c>
      <c r="N169" s="178" t="s">
        <v>2493</v>
      </c>
      <c r="O169" s="178" t="s">
        <v>151</v>
      </c>
      <c r="P169" s="178" t="s">
        <v>151</v>
      </c>
      <c r="Q169" s="178" t="s">
        <v>151</v>
      </c>
      <c r="R169" s="178" t="s">
        <v>2494</v>
      </c>
      <c r="S169" s="178" t="s">
        <v>2495</v>
      </c>
      <c r="T169" s="351" t="s">
        <v>2496</v>
      </c>
      <c r="U169" s="179" t="s">
        <v>817</v>
      </c>
      <c r="V169" s="179">
        <v>29504</v>
      </c>
      <c r="W169" s="187" t="s">
        <v>2497</v>
      </c>
      <c r="X169" s="187" t="s">
        <v>2498</v>
      </c>
      <c r="Y169" s="187"/>
      <c r="Z169" s="187"/>
      <c r="AA169" s="178"/>
      <c r="AB169" s="179">
        <v>42887</v>
      </c>
      <c r="AC169" s="288">
        <v>42795</v>
      </c>
      <c r="AD169" s="179"/>
      <c r="AE169" s="179" t="s">
        <v>2499</v>
      </c>
      <c r="AF169" s="179"/>
      <c r="AG169" s="179"/>
      <c r="AH169" s="178">
        <f t="shared" si="43"/>
        <v>1</v>
      </c>
      <c r="AI169" s="179" t="s">
        <v>161</v>
      </c>
      <c r="AJ169" s="179"/>
      <c r="AK169" s="179"/>
      <c r="AL169" s="179" t="s">
        <v>150</v>
      </c>
      <c r="AM169" s="179"/>
      <c r="AN169" s="179"/>
      <c r="AO169" s="179" t="s">
        <v>164</v>
      </c>
      <c r="AP169" s="178" t="s">
        <v>181</v>
      </c>
      <c r="AQ169" s="179" t="s">
        <v>203</v>
      </c>
      <c r="AR169" s="179" t="s">
        <v>150</v>
      </c>
      <c r="AS169" s="179"/>
      <c r="AT169" s="420" t="s">
        <v>2500</v>
      </c>
      <c r="AU169" s="178" t="s">
        <v>2501</v>
      </c>
      <c r="AV169" s="179"/>
      <c r="AW169" s="180">
        <v>42793</v>
      </c>
      <c r="AX169" s="180">
        <v>43045</v>
      </c>
      <c r="AY169" s="180" t="s">
        <v>150</v>
      </c>
      <c r="AZ169" s="180"/>
      <c r="BA169" s="180">
        <v>43495</v>
      </c>
      <c r="BB169" s="180"/>
      <c r="BC169" s="180"/>
      <c r="BD169" s="180"/>
      <c r="BE169" s="180" t="s">
        <v>2502</v>
      </c>
      <c r="BF169" s="180">
        <v>43675</v>
      </c>
      <c r="BG169" s="180" t="s">
        <v>150</v>
      </c>
      <c r="BH169" s="180">
        <v>43891</v>
      </c>
      <c r="BI169" s="180" t="s">
        <v>150</v>
      </c>
      <c r="BJ169" s="179"/>
      <c r="BK169" s="179"/>
      <c r="BL169" s="179"/>
      <c r="BM169" s="182">
        <v>44901</v>
      </c>
      <c r="BN169" s="190" t="s">
        <v>16</v>
      </c>
      <c r="BO169" s="263">
        <f t="shared" si="49"/>
        <v>70</v>
      </c>
      <c r="BP169" s="178">
        <f t="shared" si="47"/>
        <v>62</v>
      </c>
      <c r="BQ169" s="181" t="s">
        <v>2503</v>
      </c>
      <c r="BR169" s="178">
        <v>5</v>
      </c>
      <c r="BS169" s="178">
        <v>5</v>
      </c>
      <c r="BT169" s="178"/>
      <c r="BU169" s="178"/>
      <c r="BV169" s="178"/>
      <c r="BW169" s="178"/>
      <c r="BX169" s="178"/>
      <c r="BY169" s="178" t="s">
        <v>163</v>
      </c>
      <c r="BZ169" s="178" t="s">
        <v>150</v>
      </c>
      <c r="CA169" s="178" t="s">
        <v>2504</v>
      </c>
      <c r="CB169" s="184">
        <v>43313</v>
      </c>
      <c r="CC169" s="184">
        <v>44044</v>
      </c>
      <c r="CD169" s="178">
        <v>24</v>
      </c>
      <c r="CE169" s="178" t="s">
        <v>163</v>
      </c>
      <c r="CF169" s="178"/>
      <c r="CG169" s="178"/>
      <c r="CH169" s="377">
        <v>1</v>
      </c>
      <c r="CI169" s="178">
        <v>2</v>
      </c>
      <c r="CJ169" s="178"/>
      <c r="CK169" s="178" t="s">
        <v>1314</v>
      </c>
      <c r="CL169"/>
    </row>
    <row r="170" spans="1:90" s="53" customFormat="1" ht="24.95" customHeight="1">
      <c r="A170" s="178">
        <v>173</v>
      </c>
      <c r="B170" s="178" t="s">
        <v>2505</v>
      </c>
      <c r="C170" s="178" t="s">
        <v>2506</v>
      </c>
      <c r="D170" s="178" t="s">
        <v>2507</v>
      </c>
      <c r="E170" s="178" t="s">
        <v>2508</v>
      </c>
      <c r="F170" s="178" t="s">
        <v>24</v>
      </c>
      <c r="G170" s="178">
        <v>7</v>
      </c>
      <c r="H170" s="178" t="s">
        <v>58</v>
      </c>
      <c r="I170" s="178" t="s">
        <v>45</v>
      </c>
      <c r="J170" s="178" t="s">
        <v>2509</v>
      </c>
      <c r="K170" s="178" t="s">
        <v>2509</v>
      </c>
      <c r="L170" s="178" t="s">
        <v>45</v>
      </c>
      <c r="M170" s="178" t="s">
        <v>150</v>
      </c>
      <c r="N170" s="178" t="s">
        <v>2510</v>
      </c>
      <c r="O170" s="178" t="s">
        <v>151</v>
      </c>
      <c r="P170" s="178" t="s">
        <v>151</v>
      </c>
      <c r="Q170" s="178" t="s">
        <v>151</v>
      </c>
      <c r="R170" s="178" t="s">
        <v>2511</v>
      </c>
      <c r="S170" s="178" t="s">
        <v>2512</v>
      </c>
      <c r="T170" s="351" t="s">
        <v>2513</v>
      </c>
      <c r="U170" s="179"/>
      <c r="V170" s="179">
        <v>27576</v>
      </c>
      <c r="W170" s="187" t="s">
        <v>2514</v>
      </c>
      <c r="X170" s="187" t="s">
        <v>179</v>
      </c>
      <c r="Y170" s="187"/>
      <c r="Z170" s="187"/>
      <c r="AA170" s="178"/>
      <c r="AB170" s="179">
        <v>42769</v>
      </c>
      <c r="AC170" s="288">
        <v>42795</v>
      </c>
      <c r="AD170" s="179"/>
      <c r="AE170" s="179" t="s">
        <v>2515</v>
      </c>
      <c r="AF170" s="313" t="s">
        <v>2516</v>
      </c>
      <c r="AG170" s="179" t="s">
        <v>2516</v>
      </c>
      <c r="AH170" s="178">
        <f t="shared" si="43"/>
        <v>3</v>
      </c>
      <c r="AI170" s="179" t="s">
        <v>161</v>
      </c>
      <c r="AJ170" s="179"/>
      <c r="AK170" s="179"/>
      <c r="AL170" s="179" t="s">
        <v>163</v>
      </c>
      <c r="AM170" s="179"/>
      <c r="AN170" s="179"/>
      <c r="AO170" s="179" t="s">
        <v>164</v>
      </c>
      <c r="AP170" s="178" t="s">
        <v>203</v>
      </c>
      <c r="AQ170" s="179" t="s">
        <v>217</v>
      </c>
      <c r="AR170" s="179" t="s">
        <v>150</v>
      </c>
      <c r="AS170" s="179"/>
      <c r="AT170" s="420" t="s">
        <v>372</v>
      </c>
      <c r="AU170" s="178" t="s">
        <v>2517</v>
      </c>
      <c r="AV170" s="179"/>
      <c r="AW170" s="180">
        <v>42793</v>
      </c>
      <c r="AX170" s="180">
        <v>43045</v>
      </c>
      <c r="AY170" s="180" t="s">
        <v>150</v>
      </c>
      <c r="AZ170" s="180">
        <v>43005</v>
      </c>
      <c r="BA170" s="180">
        <v>43080</v>
      </c>
      <c r="BB170" s="180">
        <v>43116</v>
      </c>
      <c r="BC170" s="180"/>
      <c r="BD170" s="180"/>
      <c r="BE170" s="181" t="s">
        <v>2518</v>
      </c>
      <c r="BF170" s="180">
        <v>43675</v>
      </c>
      <c r="BG170" s="180" t="s">
        <v>150</v>
      </c>
      <c r="BH170" s="180">
        <v>43891</v>
      </c>
      <c r="BI170" s="180" t="s">
        <v>150</v>
      </c>
      <c r="BJ170" s="179"/>
      <c r="BK170" s="179"/>
      <c r="BL170" s="179"/>
      <c r="BM170" s="182">
        <v>44509</v>
      </c>
      <c r="BN170" s="178" t="s">
        <v>16</v>
      </c>
      <c r="BO170" s="263">
        <f t="shared" si="49"/>
        <v>57</v>
      </c>
      <c r="BP170" s="178">
        <f t="shared" si="47"/>
        <v>49</v>
      </c>
      <c r="BQ170" s="187" t="s">
        <v>2519</v>
      </c>
      <c r="BR170" s="178">
        <v>0</v>
      </c>
      <c r="BS170" s="178">
        <v>7</v>
      </c>
      <c r="BT170" s="178">
        <v>3</v>
      </c>
      <c r="BU170" s="178"/>
      <c r="BV170" s="178"/>
      <c r="BW170" s="178"/>
      <c r="BX170" s="178"/>
      <c r="BY170" s="178" t="s">
        <v>163</v>
      </c>
      <c r="BZ170" s="178"/>
      <c r="CA170" s="178"/>
      <c r="CB170" s="184"/>
      <c r="CC170" s="184"/>
      <c r="CD170" s="178"/>
      <c r="CE170" s="178"/>
      <c r="CF170" s="178"/>
      <c r="CG170" s="178"/>
      <c r="CH170" s="377">
        <v>3</v>
      </c>
      <c r="CI170" s="178">
        <v>3</v>
      </c>
      <c r="CJ170" s="178"/>
      <c r="CK170" s="178" t="s">
        <v>809</v>
      </c>
      <c r="CL170"/>
    </row>
    <row r="171" spans="1:90" ht="24.95" customHeight="1">
      <c r="A171" s="91">
        <v>174</v>
      </c>
      <c r="B171" s="91" t="s">
        <v>2520</v>
      </c>
      <c r="C171" s="91" t="s">
        <v>2521</v>
      </c>
      <c r="D171" s="91"/>
      <c r="E171" s="91" t="s">
        <v>2522</v>
      </c>
      <c r="F171" s="91" t="s">
        <v>25</v>
      </c>
      <c r="G171" s="91">
        <v>7</v>
      </c>
      <c r="H171" s="91" t="s">
        <v>55</v>
      </c>
      <c r="I171" s="91" t="s">
        <v>43</v>
      </c>
      <c r="J171" s="91" t="s">
        <v>2523</v>
      </c>
      <c r="K171" s="91" t="s">
        <v>2524</v>
      </c>
      <c r="L171" s="91" t="s">
        <v>35</v>
      </c>
      <c r="M171" s="91" t="s">
        <v>163</v>
      </c>
      <c r="N171" s="91" t="s">
        <v>168</v>
      </c>
      <c r="O171" s="91" t="s">
        <v>168</v>
      </c>
      <c r="P171" s="91" t="s">
        <v>168</v>
      </c>
      <c r="Q171" s="91" t="s">
        <v>168</v>
      </c>
      <c r="R171" s="91" t="s">
        <v>2525</v>
      </c>
      <c r="S171" s="91" t="s">
        <v>2526</v>
      </c>
      <c r="T171" s="341" t="s">
        <v>2527</v>
      </c>
      <c r="U171" s="92"/>
      <c r="V171" s="92">
        <v>28615</v>
      </c>
      <c r="W171" s="164" t="s">
        <v>2528</v>
      </c>
      <c r="X171" s="164"/>
      <c r="Y171" s="164"/>
      <c r="Z171" s="164"/>
      <c r="AA171" s="91"/>
      <c r="AB171" s="92">
        <v>42845</v>
      </c>
      <c r="AC171" s="281">
        <v>42795</v>
      </c>
      <c r="AD171" s="92">
        <v>43100</v>
      </c>
      <c r="AE171" s="92"/>
      <c r="AF171" s="92"/>
      <c r="AG171" s="92"/>
      <c r="AH171" s="91">
        <f t="shared" si="43"/>
        <v>0</v>
      </c>
      <c r="AI171" s="92"/>
      <c r="AJ171" s="92"/>
      <c r="AK171" s="92"/>
      <c r="AL171" s="92"/>
      <c r="AM171" s="92"/>
      <c r="AN171" s="92"/>
      <c r="AO171" s="92"/>
      <c r="AP171" s="92"/>
      <c r="AQ171" s="92"/>
      <c r="AR171" s="92"/>
      <c r="AS171" s="92"/>
      <c r="AT171" s="400" t="s">
        <v>219</v>
      </c>
      <c r="AU171" s="91"/>
      <c r="AV171" s="92"/>
      <c r="AW171" s="93">
        <v>42793</v>
      </c>
      <c r="AX171" s="93">
        <v>43045</v>
      </c>
      <c r="AY171" s="93" t="s">
        <v>150</v>
      </c>
      <c r="AZ171" s="93"/>
      <c r="BA171" s="93"/>
      <c r="BB171" s="93"/>
      <c r="BC171" s="93"/>
      <c r="BD171" s="93"/>
      <c r="BE171" s="94"/>
      <c r="BF171" s="93"/>
      <c r="BG171" s="93"/>
      <c r="BH171" s="93"/>
      <c r="BI171" s="93"/>
      <c r="BJ171" s="92"/>
      <c r="BK171" s="92"/>
      <c r="BL171" s="92"/>
      <c r="BM171" s="95"/>
      <c r="BN171" s="193" t="s">
        <v>18</v>
      </c>
      <c r="BO171" s="218" t="s">
        <v>18</v>
      </c>
      <c r="BP171" s="218"/>
      <c r="BQ171" s="91"/>
      <c r="BR171" s="91"/>
      <c r="BS171" s="91"/>
      <c r="BT171" s="91"/>
      <c r="BU171" s="91"/>
      <c r="BV171" s="91"/>
      <c r="BW171" s="91"/>
      <c r="BX171" s="91"/>
      <c r="BY171" s="91" t="s">
        <v>163</v>
      </c>
      <c r="BZ171" s="91"/>
      <c r="CA171" s="91"/>
      <c r="CB171" s="95"/>
      <c r="CC171" s="95"/>
      <c r="CD171" s="91"/>
      <c r="CE171" s="91"/>
      <c r="CF171" s="91"/>
      <c r="CG171" s="91"/>
      <c r="CH171" s="113"/>
      <c r="CI171" s="91"/>
      <c r="CJ171" s="91"/>
      <c r="CK171" s="91" t="s">
        <v>1822</v>
      </c>
    </row>
    <row r="172" spans="1:90" s="53" customFormat="1" ht="24.95" customHeight="1">
      <c r="A172" s="136">
        <v>175</v>
      </c>
      <c r="B172" s="136" t="s">
        <v>2529</v>
      </c>
      <c r="C172" s="136" t="s">
        <v>2530</v>
      </c>
      <c r="D172" s="136"/>
      <c r="E172" s="136" t="s">
        <v>2531</v>
      </c>
      <c r="F172" s="136" t="s">
        <v>24</v>
      </c>
      <c r="G172" s="136">
        <v>8</v>
      </c>
      <c r="H172" s="136" t="s">
        <v>58</v>
      </c>
      <c r="I172" s="136" t="s">
        <v>45</v>
      </c>
      <c r="J172" s="136" t="s">
        <v>602</v>
      </c>
      <c r="K172" s="136" t="s">
        <v>2532</v>
      </c>
      <c r="L172" s="136" t="s">
        <v>45</v>
      </c>
      <c r="M172" s="136" t="s">
        <v>150</v>
      </c>
      <c r="N172" s="136"/>
      <c r="O172" s="136" t="s">
        <v>322</v>
      </c>
      <c r="P172" s="136" t="s">
        <v>322</v>
      </c>
      <c r="Q172" s="136"/>
      <c r="R172" s="387" t="s">
        <v>2533</v>
      </c>
      <c r="S172" s="145" t="s">
        <v>2534</v>
      </c>
      <c r="T172" s="345" t="s">
        <v>2535</v>
      </c>
      <c r="U172" s="139" t="s">
        <v>2536</v>
      </c>
      <c r="V172" s="139">
        <v>29485</v>
      </c>
      <c r="W172" s="147" t="s">
        <v>2537</v>
      </c>
      <c r="X172" s="147" t="s">
        <v>179</v>
      </c>
      <c r="Y172" s="147"/>
      <c r="Z172" s="147"/>
      <c r="AA172" s="136">
        <v>23</v>
      </c>
      <c r="AB172" s="139">
        <v>43467</v>
      </c>
      <c r="AC172" s="285">
        <v>43160</v>
      </c>
      <c r="AD172" s="139"/>
      <c r="AE172" s="139" t="s">
        <v>2538</v>
      </c>
      <c r="AF172" s="139" t="s">
        <v>2539</v>
      </c>
      <c r="AG172" s="139" t="s">
        <v>2540</v>
      </c>
      <c r="AH172" s="136">
        <f t="shared" si="43"/>
        <v>3</v>
      </c>
      <c r="AI172" s="139" t="s">
        <v>161</v>
      </c>
      <c r="AJ172" s="139" t="s">
        <v>161</v>
      </c>
      <c r="AK172" s="139"/>
      <c r="AL172" s="139" t="s">
        <v>150</v>
      </c>
      <c r="AM172" s="139" t="s">
        <v>163</v>
      </c>
      <c r="AN172" s="139" t="s">
        <v>163</v>
      </c>
      <c r="AO172" s="139" t="s">
        <v>202</v>
      </c>
      <c r="AP172" s="139" t="s">
        <v>2541</v>
      </c>
      <c r="AQ172" s="139" t="s">
        <v>2542</v>
      </c>
      <c r="AR172" s="139"/>
      <c r="AS172" s="139"/>
      <c r="AT172" s="421" t="s">
        <v>372</v>
      </c>
      <c r="AU172" s="136" t="s">
        <v>2543</v>
      </c>
      <c r="AV172" s="139"/>
      <c r="AW172" s="141">
        <v>43164</v>
      </c>
      <c r="AX172" s="141">
        <v>43409</v>
      </c>
      <c r="AY172" s="141" t="s">
        <v>150</v>
      </c>
      <c r="AZ172" s="141">
        <v>43799</v>
      </c>
      <c r="BA172" s="141">
        <v>43951</v>
      </c>
      <c r="BB172" s="141"/>
      <c r="BC172" s="141"/>
      <c r="BD172" s="141"/>
      <c r="BE172" s="142" t="s">
        <v>2544</v>
      </c>
      <c r="BF172" s="141">
        <v>44207</v>
      </c>
      <c r="BG172" s="141" t="s">
        <v>150</v>
      </c>
      <c r="BH172" s="141">
        <v>44410</v>
      </c>
      <c r="BI172" s="141" t="s">
        <v>150</v>
      </c>
      <c r="BJ172" s="139"/>
      <c r="BK172" s="139"/>
      <c r="BL172" s="139"/>
      <c r="BM172" s="143">
        <v>45776</v>
      </c>
      <c r="BN172" s="148" t="s">
        <v>16</v>
      </c>
      <c r="BO172" s="136">
        <f t="shared" ref="BO172:BO173" si="50">DATEDIF(AW172,BM172, "M")+1</f>
        <v>86</v>
      </c>
      <c r="BP172" s="136">
        <f>DATEDIF(AX172,BM172, "M")+1</f>
        <v>78</v>
      </c>
      <c r="BQ172" s="136" t="s">
        <v>2545</v>
      </c>
      <c r="BR172" s="136">
        <v>2</v>
      </c>
      <c r="BS172" s="136">
        <v>0</v>
      </c>
      <c r="BT172" s="136">
        <v>0</v>
      </c>
      <c r="BU172" s="136"/>
      <c r="BV172" s="136"/>
      <c r="BW172" s="136"/>
      <c r="BX172" s="136"/>
      <c r="BY172" s="136" t="s">
        <v>163</v>
      </c>
      <c r="BZ172" s="136"/>
      <c r="CA172" s="136"/>
      <c r="CB172" s="144"/>
      <c r="CC172" s="144"/>
      <c r="CD172" s="136"/>
      <c r="CE172" s="136"/>
      <c r="CF172" s="136"/>
      <c r="CG172" s="136"/>
      <c r="CH172" s="374">
        <v>2</v>
      </c>
      <c r="CI172" s="136"/>
      <c r="CJ172" s="136"/>
      <c r="CK172" s="136" t="s">
        <v>809</v>
      </c>
      <c r="CL172"/>
    </row>
    <row r="173" spans="1:90" s="53" customFormat="1" ht="24.95" customHeight="1">
      <c r="A173" s="136">
        <v>176</v>
      </c>
      <c r="B173" s="136" t="s">
        <v>2546</v>
      </c>
      <c r="C173" s="136" t="s">
        <v>2547</v>
      </c>
      <c r="D173" s="136" t="s">
        <v>641</v>
      </c>
      <c r="E173" s="136" t="s">
        <v>2548</v>
      </c>
      <c r="F173" s="136" t="s">
        <v>25</v>
      </c>
      <c r="G173" s="136">
        <v>8</v>
      </c>
      <c r="H173" s="136" t="s">
        <v>54</v>
      </c>
      <c r="I173" s="136" t="s">
        <v>39</v>
      </c>
      <c r="J173" s="136" t="s">
        <v>602</v>
      </c>
      <c r="K173" s="136" t="s">
        <v>290</v>
      </c>
      <c r="L173" s="136" t="s">
        <v>45</v>
      </c>
      <c r="M173" s="136" t="s">
        <v>163</v>
      </c>
      <c r="N173" s="136"/>
      <c r="O173" s="136"/>
      <c r="P173" s="136" t="s">
        <v>151</v>
      </c>
      <c r="Q173" s="136" t="s">
        <v>151</v>
      </c>
      <c r="R173" s="136" t="s">
        <v>2549</v>
      </c>
      <c r="S173" s="136" t="s">
        <v>2550</v>
      </c>
      <c r="T173" s="346" t="s">
        <v>2551</v>
      </c>
      <c r="U173" s="139"/>
      <c r="V173" s="139">
        <v>29215</v>
      </c>
      <c r="W173" s="147" t="s">
        <v>2552</v>
      </c>
      <c r="X173" s="147" t="s">
        <v>179</v>
      </c>
      <c r="Y173" s="147"/>
      <c r="Z173" s="147"/>
      <c r="AA173" s="136">
        <v>6</v>
      </c>
      <c r="AB173" s="139">
        <v>43318</v>
      </c>
      <c r="AC173" s="285">
        <v>43160</v>
      </c>
      <c r="AD173" s="139"/>
      <c r="AE173" s="139" t="s">
        <v>2553</v>
      </c>
      <c r="AF173" s="139"/>
      <c r="AG173" s="139"/>
      <c r="AH173" s="136">
        <f t="shared" si="43"/>
        <v>1</v>
      </c>
      <c r="AI173" s="139" t="s">
        <v>162</v>
      </c>
      <c r="AJ173" s="139"/>
      <c r="AK173" s="139"/>
      <c r="AL173" s="139" t="s">
        <v>150</v>
      </c>
      <c r="AM173" s="139"/>
      <c r="AN173" s="139"/>
      <c r="AO173" s="139" t="s">
        <v>164</v>
      </c>
      <c r="AP173" s="139"/>
      <c r="AQ173" s="139" t="s">
        <v>250</v>
      </c>
      <c r="AR173" s="139"/>
      <c r="AS173" s="139"/>
      <c r="AT173" s="421" t="s">
        <v>285</v>
      </c>
      <c r="AU173" s="136" t="s">
        <v>2554</v>
      </c>
      <c r="AV173" s="139"/>
      <c r="AW173" s="141">
        <v>43164</v>
      </c>
      <c r="AX173" s="141">
        <v>43409</v>
      </c>
      <c r="AY173" s="141" t="s">
        <v>150</v>
      </c>
      <c r="AZ173" s="141">
        <v>43720</v>
      </c>
      <c r="BA173" s="141">
        <v>43570</v>
      </c>
      <c r="BB173" s="141"/>
      <c r="BC173" s="141"/>
      <c r="BD173" s="141"/>
      <c r="BE173" s="142" t="s">
        <v>2555</v>
      </c>
      <c r="BF173" s="141">
        <v>44207</v>
      </c>
      <c r="BG173" s="141" t="s">
        <v>150</v>
      </c>
      <c r="BH173" s="141">
        <v>44410</v>
      </c>
      <c r="BI173" s="141" t="s">
        <v>150</v>
      </c>
      <c r="BJ173" s="139"/>
      <c r="BK173" s="139"/>
      <c r="BL173" s="139"/>
      <c r="BM173" s="143">
        <v>44692</v>
      </c>
      <c r="BN173" s="136" t="s">
        <v>16</v>
      </c>
      <c r="BO173" s="136">
        <f t="shared" si="50"/>
        <v>51</v>
      </c>
      <c r="BP173" s="136">
        <f>DATEDIF(AX173,BM173, "M")+1</f>
        <v>43</v>
      </c>
      <c r="BQ173" s="136"/>
      <c r="BR173" s="136">
        <v>9</v>
      </c>
      <c r="BS173" s="136">
        <v>7</v>
      </c>
      <c r="BT173" s="136">
        <v>2</v>
      </c>
      <c r="BU173" s="136"/>
      <c r="BV173" s="136"/>
      <c r="BW173" s="136"/>
      <c r="BX173" s="136"/>
      <c r="BY173" s="136" t="s">
        <v>163</v>
      </c>
      <c r="BZ173" s="136"/>
      <c r="CA173" s="136"/>
      <c r="CB173" s="144"/>
      <c r="CC173" s="144"/>
      <c r="CD173" s="136"/>
      <c r="CE173" s="136"/>
      <c r="CF173" s="136"/>
      <c r="CG173" s="136"/>
      <c r="CH173" s="374">
        <v>2</v>
      </c>
      <c r="CI173" s="136">
        <v>3</v>
      </c>
      <c r="CJ173" s="136"/>
      <c r="CK173" s="136" t="s">
        <v>1822</v>
      </c>
      <c r="CL173"/>
    </row>
    <row r="174" spans="1:90" s="53" customFormat="1" ht="24.95" customHeight="1">
      <c r="A174" s="136">
        <v>177</v>
      </c>
      <c r="B174" s="136" t="s">
        <v>2556</v>
      </c>
      <c r="C174" s="136" t="s">
        <v>2557</v>
      </c>
      <c r="D174" s="136"/>
      <c r="E174" s="136" t="s">
        <v>2558</v>
      </c>
      <c r="F174" s="136" t="s">
        <v>25</v>
      </c>
      <c r="G174" s="136">
        <v>8</v>
      </c>
      <c r="H174" s="136" t="s">
        <v>55</v>
      </c>
      <c r="I174" s="136" t="s">
        <v>43</v>
      </c>
      <c r="J174" s="136" t="s">
        <v>1143</v>
      </c>
      <c r="K174" s="136" t="s">
        <v>407</v>
      </c>
      <c r="L174" s="136" t="s">
        <v>43</v>
      </c>
      <c r="M174" s="136" t="s">
        <v>150</v>
      </c>
      <c r="N174" s="136"/>
      <c r="O174" s="136" t="s">
        <v>151</v>
      </c>
      <c r="P174" s="136" t="s">
        <v>151</v>
      </c>
      <c r="Q174" s="136"/>
      <c r="R174" s="136" t="s">
        <v>2559</v>
      </c>
      <c r="S174" s="136" t="s">
        <v>2560</v>
      </c>
      <c r="T174" s="345" t="s">
        <v>2561</v>
      </c>
      <c r="U174" s="139" t="s">
        <v>2562</v>
      </c>
      <c r="V174" s="139">
        <v>29288</v>
      </c>
      <c r="W174" s="147" t="s">
        <v>2563</v>
      </c>
      <c r="X174" s="147" t="s">
        <v>179</v>
      </c>
      <c r="Y174" s="147" t="s">
        <v>163</v>
      </c>
      <c r="Z174" s="147"/>
      <c r="AA174" s="136">
        <v>25</v>
      </c>
      <c r="AB174" s="139">
        <v>43160</v>
      </c>
      <c r="AC174" s="285">
        <v>43160</v>
      </c>
      <c r="AD174" s="139"/>
      <c r="AE174" s="139" t="s">
        <v>2564</v>
      </c>
      <c r="AF174" s="139"/>
      <c r="AG174" s="139"/>
      <c r="AH174" s="136">
        <f t="shared" si="43"/>
        <v>1</v>
      </c>
      <c r="AI174" s="139" t="s">
        <v>162</v>
      </c>
      <c r="AJ174" s="139"/>
      <c r="AK174" s="139"/>
      <c r="AL174" s="139" t="s">
        <v>163</v>
      </c>
      <c r="AM174" s="139"/>
      <c r="AN174" s="139"/>
      <c r="AO174" s="139" t="s">
        <v>164</v>
      </c>
      <c r="AP174" s="139" t="s">
        <v>2565</v>
      </c>
      <c r="AQ174" s="139" t="s">
        <v>181</v>
      </c>
      <c r="AR174" s="139" t="s">
        <v>163</v>
      </c>
      <c r="AS174" s="236" t="s">
        <v>2566</v>
      </c>
      <c r="AT174" s="421" t="s">
        <v>219</v>
      </c>
      <c r="AU174" s="136" t="s">
        <v>2567</v>
      </c>
      <c r="AV174" s="139"/>
      <c r="AW174" s="141">
        <v>43164</v>
      </c>
      <c r="AX174" s="141">
        <v>43409</v>
      </c>
      <c r="AY174" s="141" t="s">
        <v>150</v>
      </c>
      <c r="AZ174" s="141">
        <v>44082</v>
      </c>
      <c r="BA174" s="141">
        <v>44316</v>
      </c>
      <c r="BB174" s="141"/>
      <c r="BC174" s="141"/>
      <c r="BD174" s="141"/>
      <c r="BE174" s="142" t="s">
        <v>2568</v>
      </c>
      <c r="BF174" s="141">
        <v>44470</v>
      </c>
      <c r="BG174" s="141" t="s">
        <v>163</v>
      </c>
      <c r="BH174" s="141">
        <v>44732</v>
      </c>
      <c r="BI174" s="141" t="s">
        <v>163</v>
      </c>
      <c r="BJ174" s="139"/>
      <c r="BK174" s="139"/>
      <c r="BL174" s="139"/>
      <c r="BM174" s="143"/>
      <c r="BN174" s="129" t="s">
        <v>17</v>
      </c>
      <c r="BO174" s="139"/>
      <c r="BP174" s="136"/>
      <c r="BQ174" s="136"/>
      <c r="BR174" s="136"/>
      <c r="BS174" s="136"/>
      <c r="BT174" s="136"/>
      <c r="BU174" s="136"/>
      <c r="BV174" s="136"/>
      <c r="BW174" s="136"/>
      <c r="BX174" s="136"/>
      <c r="BY174" s="136" t="s">
        <v>163</v>
      </c>
      <c r="BZ174" s="136" t="s">
        <v>163</v>
      </c>
      <c r="CA174" s="136"/>
      <c r="CB174" s="144"/>
      <c r="CC174" s="144"/>
      <c r="CD174" s="136"/>
      <c r="CE174" s="136" t="s">
        <v>163</v>
      </c>
      <c r="CF174" s="136"/>
      <c r="CG174" s="136"/>
      <c r="CH174" s="374">
        <v>1</v>
      </c>
      <c r="CI174" s="136"/>
      <c r="CJ174" s="136"/>
      <c r="CK174" s="136" t="s">
        <v>809</v>
      </c>
      <c r="CL174"/>
    </row>
    <row r="175" spans="1:90" s="53" customFormat="1" ht="24.95" customHeight="1">
      <c r="A175" s="136">
        <v>178</v>
      </c>
      <c r="B175" s="136" t="s">
        <v>2569</v>
      </c>
      <c r="C175" s="136" t="s">
        <v>2570</v>
      </c>
      <c r="D175" s="136"/>
      <c r="E175" s="136" t="s">
        <v>2571</v>
      </c>
      <c r="F175" s="136" t="s">
        <v>24</v>
      </c>
      <c r="G175" s="136">
        <v>8</v>
      </c>
      <c r="H175" s="136" t="s">
        <v>55</v>
      </c>
      <c r="I175" s="136" t="s">
        <v>43</v>
      </c>
      <c r="J175" s="136" t="s">
        <v>2319</v>
      </c>
      <c r="K175" s="136" t="s">
        <v>2572</v>
      </c>
      <c r="L175" s="136" t="s">
        <v>45</v>
      </c>
      <c r="M175" s="136" t="s">
        <v>163</v>
      </c>
      <c r="N175" s="136"/>
      <c r="O175" s="136" t="s">
        <v>322</v>
      </c>
      <c r="P175" s="136" t="s">
        <v>151</v>
      </c>
      <c r="Q175" s="136"/>
      <c r="R175" s="136" t="s">
        <v>2573</v>
      </c>
      <c r="S175" s="136" t="s">
        <v>2574</v>
      </c>
      <c r="T175" s="345" t="s">
        <v>2575</v>
      </c>
      <c r="U175" s="139"/>
      <c r="V175" s="139">
        <v>30682</v>
      </c>
      <c r="W175" s="147" t="s">
        <v>2576</v>
      </c>
      <c r="X175" s="147" t="s">
        <v>156</v>
      </c>
      <c r="Y175" s="147"/>
      <c r="Z175" s="147"/>
      <c r="AA175" s="136">
        <v>23</v>
      </c>
      <c r="AB175" s="139">
        <v>43403</v>
      </c>
      <c r="AC175" s="285">
        <v>43160</v>
      </c>
      <c r="AD175" s="139"/>
      <c r="AE175" s="139" t="s">
        <v>2577</v>
      </c>
      <c r="AF175" s="139" t="s">
        <v>2578</v>
      </c>
      <c r="AG175" s="139"/>
      <c r="AH175" s="136">
        <f t="shared" si="43"/>
        <v>2</v>
      </c>
      <c r="AI175" s="139" t="s">
        <v>162</v>
      </c>
      <c r="AJ175" s="139"/>
      <c r="AK175" s="139"/>
      <c r="AL175" s="139" t="s">
        <v>150</v>
      </c>
      <c r="AM175" s="139"/>
      <c r="AN175" s="139"/>
      <c r="AO175" s="139" t="s">
        <v>164</v>
      </c>
      <c r="AP175" s="139" t="s">
        <v>2170</v>
      </c>
      <c r="AQ175" s="139" t="s">
        <v>217</v>
      </c>
      <c r="AR175" s="139" t="s">
        <v>150</v>
      </c>
      <c r="AS175" s="139"/>
      <c r="AT175" s="421" t="s">
        <v>219</v>
      </c>
      <c r="AU175" s="136" t="s">
        <v>2579</v>
      </c>
      <c r="AV175" s="139"/>
      <c r="AW175" s="141">
        <v>43164</v>
      </c>
      <c r="AX175" s="141">
        <v>43409</v>
      </c>
      <c r="AY175" s="141" t="s">
        <v>150</v>
      </c>
      <c r="AZ175" s="141">
        <v>43797</v>
      </c>
      <c r="BA175" s="141">
        <v>43895</v>
      </c>
      <c r="BB175" s="141"/>
      <c r="BC175" s="141"/>
      <c r="BD175" s="141"/>
      <c r="BE175" s="142" t="s">
        <v>2580</v>
      </c>
      <c r="BF175" s="141">
        <v>44470</v>
      </c>
      <c r="BG175" s="141" t="s">
        <v>163</v>
      </c>
      <c r="BH175" s="141">
        <v>44732</v>
      </c>
      <c r="BI175" s="141" t="s">
        <v>163</v>
      </c>
      <c r="BJ175" s="139"/>
      <c r="BK175" s="139"/>
      <c r="BL175" s="139"/>
      <c r="BM175" s="143">
        <v>45434</v>
      </c>
      <c r="BN175" s="148" t="s">
        <v>16</v>
      </c>
      <c r="BO175" s="136">
        <f>DATEDIF(AW175,BM175, "M")+1</f>
        <v>75</v>
      </c>
      <c r="BP175" s="136">
        <f t="shared" ref="BP175:BP176" si="51">DATEDIF(AX175,BM175, "M")+1</f>
        <v>67</v>
      </c>
      <c r="BQ175" s="147" t="s">
        <v>2581</v>
      </c>
      <c r="BR175" s="136">
        <v>1</v>
      </c>
      <c r="BS175" s="136">
        <v>2</v>
      </c>
      <c r="BT175" s="136">
        <v>0</v>
      </c>
      <c r="BU175" s="136"/>
      <c r="BV175" s="136"/>
      <c r="BW175" s="136"/>
      <c r="BX175" s="136"/>
      <c r="BY175" s="136" t="s">
        <v>163</v>
      </c>
      <c r="BZ175" s="136"/>
      <c r="CA175" s="136"/>
      <c r="CB175" s="144">
        <v>43952</v>
      </c>
      <c r="CC175" s="144">
        <v>44043</v>
      </c>
      <c r="CD175" s="136">
        <v>3</v>
      </c>
      <c r="CE175" s="136"/>
      <c r="CF175" s="136"/>
      <c r="CG175" s="136"/>
      <c r="CH175" s="374">
        <v>0</v>
      </c>
      <c r="CI175" s="136"/>
      <c r="CJ175" s="136"/>
      <c r="CK175" s="136" t="s">
        <v>809</v>
      </c>
      <c r="CL175"/>
    </row>
    <row r="176" spans="1:90" s="53" customFormat="1" ht="24.95" customHeight="1">
      <c r="A176" s="136">
        <v>179</v>
      </c>
      <c r="B176" s="136" t="s">
        <v>2582</v>
      </c>
      <c r="C176" s="136" t="s">
        <v>2583</v>
      </c>
      <c r="D176" s="136" t="s">
        <v>2584</v>
      </c>
      <c r="E176" s="136" t="s">
        <v>2585</v>
      </c>
      <c r="F176" s="136" t="s">
        <v>25</v>
      </c>
      <c r="G176" s="136">
        <v>8</v>
      </c>
      <c r="H176" s="136" t="s">
        <v>54</v>
      </c>
      <c r="I176" s="136" t="s">
        <v>39</v>
      </c>
      <c r="J176" s="136" t="s">
        <v>439</v>
      </c>
      <c r="K176" s="136" t="s">
        <v>439</v>
      </c>
      <c r="L176" s="136" t="s">
        <v>39</v>
      </c>
      <c r="M176" s="136" t="s">
        <v>150</v>
      </c>
      <c r="N176" s="136" t="s">
        <v>2586</v>
      </c>
      <c r="O176" s="136" t="s">
        <v>151</v>
      </c>
      <c r="P176" s="136" t="s">
        <v>151</v>
      </c>
      <c r="Q176" s="136" t="s">
        <v>151</v>
      </c>
      <c r="R176" s="136" t="s">
        <v>2587</v>
      </c>
      <c r="S176" s="136" t="s">
        <v>2588</v>
      </c>
      <c r="T176" s="345" t="s">
        <v>2589</v>
      </c>
      <c r="U176" s="139" t="s">
        <v>2590</v>
      </c>
      <c r="V176" s="139">
        <v>29237</v>
      </c>
      <c r="W176" s="147" t="s">
        <v>2591</v>
      </c>
      <c r="X176" s="147" t="s">
        <v>179</v>
      </c>
      <c r="Y176" s="147" t="s">
        <v>163</v>
      </c>
      <c r="Z176" s="147"/>
      <c r="AA176" s="136">
        <v>18</v>
      </c>
      <c r="AB176" s="139">
        <v>42870</v>
      </c>
      <c r="AC176" s="285">
        <v>43160</v>
      </c>
      <c r="AD176" s="139"/>
      <c r="AE176" s="139" t="s">
        <v>2592</v>
      </c>
      <c r="AF176" s="139" t="s">
        <v>2593</v>
      </c>
      <c r="AG176" s="139"/>
      <c r="AH176" s="136">
        <f t="shared" si="43"/>
        <v>2</v>
      </c>
      <c r="AI176" s="139" t="s">
        <v>161</v>
      </c>
      <c r="AJ176" s="139" t="s">
        <v>161</v>
      </c>
      <c r="AK176" s="139"/>
      <c r="AL176" s="139" t="s">
        <v>150</v>
      </c>
      <c r="AM176" s="139" t="s">
        <v>163</v>
      </c>
      <c r="AN176" s="139"/>
      <c r="AO176" s="139" t="s">
        <v>164</v>
      </c>
      <c r="AP176" s="139" t="s">
        <v>181</v>
      </c>
      <c r="AQ176" s="139" t="s">
        <v>250</v>
      </c>
      <c r="AR176" s="139" t="s">
        <v>150</v>
      </c>
      <c r="AS176" s="139"/>
      <c r="AT176" s="421" t="s">
        <v>285</v>
      </c>
      <c r="AU176" s="136" t="s">
        <v>2594</v>
      </c>
      <c r="AV176" s="139"/>
      <c r="AW176" s="141">
        <v>43164</v>
      </c>
      <c r="AX176" s="141">
        <v>43409</v>
      </c>
      <c r="AY176" s="141" t="s">
        <v>150</v>
      </c>
      <c r="AZ176" s="141">
        <v>43656</v>
      </c>
      <c r="BA176" s="141">
        <v>43675</v>
      </c>
      <c r="BB176" s="141"/>
      <c r="BC176" s="141"/>
      <c r="BD176" s="141"/>
      <c r="BE176" s="142" t="s">
        <v>2595</v>
      </c>
      <c r="BF176" s="141">
        <v>44207</v>
      </c>
      <c r="BG176" s="141" t="s">
        <v>150</v>
      </c>
      <c r="BH176" s="141">
        <v>44410</v>
      </c>
      <c r="BI176" s="141" t="s">
        <v>150</v>
      </c>
      <c r="BJ176" s="139"/>
      <c r="BK176" s="139">
        <v>44421</v>
      </c>
      <c r="BL176" s="139">
        <v>44461</v>
      </c>
      <c r="BM176" s="139">
        <v>44461</v>
      </c>
      <c r="BN176" s="136" t="s">
        <v>16</v>
      </c>
      <c r="BO176" s="136">
        <f>DATEDIF(AW176,BM176, "M")+1</f>
        <v>43</v>
      </c>
      <c r="BP176" s="136">
        <f t="shared" si="51"/>
        <v>35</v>
      </c>
      <c r="BQ176" s="136"/>
      <c r="BR176" s="136">
        <v>0</v>
      </c>
      <c r="BS176" s="136">
        <v>3</v>
      </c>
      <c r="BT176" s="136">
        <v>3</v>
      </c>
      <c r="BU176" s="136"/>
      <c r="BV176" s="136"/>
      <c r="BW176" s="136"/>
      <c r="BX176" s="136"/>
      <c r="BY176" s="136" t="s">
        <v>163</v>
      </c>
      <c r="BZ176" s="136" t="s">
        <v>163</v>
      </c>
      <c r="CA176" s="136"/>
      <c r="CB176" s="144"/>
      <c r="CC176" s="144"/>
      <c r="CD176" s="136"/>
      <c r="CE176" s="136" t="s">
        <v>150</v>
      </c>
      <c r="CF176" s="136">
        <v>43891</v>
      </c>
      <c r="CG176" s="136">
        <v>44012</v>
      </c>
      <c r="CH176" s="374">
        <v>2</v>
      </c>
      <c r="CI176" s="136">
        <v>3</v>
      </c>
      <c r="CJ176" s="136"/>
      <c r="CK176" s="136" t="s">
        <v>809</v>
      </c>
      <c r="CL176"/>
    </row>
    <row r="177" spans="1:90" ht="24.95" customHeight="1">
      <c r="A177" s="91">
        <v>180</v>
      </c>
      <c r="B177" s="91" t="s">
        <v>2596</v>
      </c>
      <c r="C177" s="91" t="s">
        <v>2597</v>
      </c>
      <c r="D177" s="91"/>
      <c r="E177" s="91" t="s">
        <v>2598</v>
      </c>
      <c r="F177" s="91" t="s">
        <v>24</v>
      </c>
      <c r="G177" s="91">
        <v>8</v>
      </c>
      <c r="H177" s="91" t="s">
        <v>60</v>
      </c>
      <c r="I177" s="91" t="s">
        <v>35</v>
      </c>
      <c r="J177" s="91" t="s">
        <v>602</v>
      </c>
      <c r="K177" s="91" t="s">
        <v>1240</v>
      </c>
      <c r="L177" s="91" t="s">
        <v>35</v>
      </c>
      <c r="M177" s="91" t="s">
        <v>150</v>
      </c>
      <c r="N177" s="91">
        <v>207019377</v>
      </c>
      <c r="O177" s="91"/>
      <c r="P177" s="91" t="s">
        <v>151</v>
      </c>
      <c r="Q177" s="91"/>
      <c r="R177" s="91" t="s">
        <v>2599</v>
      </c>
      <c r="S177" s="91" t="s">
        <v>2600</v>
      </c>
      <c r="T177" s="200" t="s">
        <v>2601</v>
      </c>
      <c r="U177" s="92"/>
      <c r="V177" s="92">
        <v>29599</v>
      </c>
      <c r="W177" s="164" t="s">
        <v>2602</v>
      </c>
      <c r="X177" s="164"/>
      <c r="Y177" s="164"/>
      <c r="Z177" s="164"/>
      <c r="AA177" s="91">
        <v>33</v>
      </c>
      <c r="AB177" s="92">
        <v>43045</v>
      </c>
      <c r="AC177" s="281">
        <v>43160</v>
      </c>
      <c r="AD177" s="92">
        <v>43867</v>
      </c>
      <c r="AE177" s="92"/>
      <c r="AF177" s="92"/>
      <c r="AG177" s="92"/>
      <c r="AH177" s="91">
        <f t="shared" si="43"/>
        <v>0</v>
      </c>
      <c r="AI177" s="92"/>
      <c r="AJ177" s="92"/>
      <c r="AK177" s="92"/>
      <c r="AL177" s="92"/>
      <c r="AM177" s="92"/>
      <c r="AN177" s="92"/>
      <c r="AO177" s="92" t="s">
        <v>182</v>
      </c>
      <c r="AP177" s="92"/>
      <c r="AQ177" s="92"/>
      <c r="AR177" s="92"/>
      <c r="AS177" s="92"/>
      <c r="AT177" s="400" t="s">
        <v>580</v>
      </c>
      <c r="AU177" s="91"/>
      <c r="AV177" s="92"/>
      <c r="AW177" s="93">
        <v>43164</v>
      </c>
      <c r="AX177" s="93"/>
      <c r="AY177" s="93" t="s">
        <v>163</v>
      </c>
      <c r="AZ177" s="93"/>
      <c r="BA177" s="93"/>
      <c r="BB177" s="93"/>
      <c r="BC177" s="93"/>
      <c r="BD177" s="93"/>
      <c r="BE177" s="94"/>
      <c r="BF177" s="93"/>
      <c r="BG177" s="93"/>
      <c r="BH177" s="93"/>
      <c r="BI177" s="93"/>
      <c r="BJ177" s="92"/>
      <c r="BK177" s="92"/>
      <c r="BL177" s="92"/>
      <c r="BM177" s="92"/>
      <c r="BN177" s="193" t="s">
        <v>18</v>
      </c>
      <c r="BO177" s="193" t="s">
        <v>18</v>
      </c>
      <c r="BP177" s="265"/>
      <c r="BQ177" s="91"/>
      <c r="BR177" s="91">
        <v>3</v>
      </c>
      <c r="BS177" s="91"/>
      <c r="BT177" s="91"/>
      <c r="BU177" s="91"/>
      <c r="BV177" s="91"/>
      <c r="BW177" s="91"/>
      <c r="BX177" s="91"/>
      <c r="BY177" s="91" t="s">
        <v>163</v>
      </c>
      <c r="BZ177" s="91"/>
      <c r="CA177" s="91"/>
      <c r="CB177" s="95"/>
      <c r="CC177" s="95"/>
      <c r="CD177" s="91"/>
      <c r="CE177" s="91"/>
      <c r="CF177" s="91"/>
      <c r="CG177" s="91"/>
      <c r="CH177" s="113">
        <v>2</v>
      </c>
      <c r="CI177" s="91"/>
      <c r="CJ177" s="91"/>
      <c r="CK177" s="91" t="s">
        <v>809</v>
      </c>
    </row>
    <row r="178" spans="1:90" s="53" customFormat="1" ht="24.95" customHeight="1">
      <c r="A178" s="136">
        <v>181</v>
      </c>
      <c r="B178" s="136" t="s">
        <v>2603</v>
      </c>
      <c r="C178" s="136" t="s">
        <v>2604</v>
      </c>
      <c r="D178" s="136" t="s">
        <v>2605</v>
      </c>
      <c r="E178" s="136" t="s">
        <v>2606</v>
      </c>
      <c r="F178" s="136" t="s">
        <v>25</v>
      </c>
      <c r="G178" s="136">
        <v>8</v>
      </c>
      <c r="H178" s="136" t="s">
        <v>52</v>
      </c>
      <c r="I178" s="136" t="s">
        <v>42</v>
      </c>
      <c r="J178" s="136" t="s">
        <v>1546</v>
      </c>
      <c r="K178" s="136"/>
      <c r="L178" s="136" t="s">
        <v>45</v>
      </c>
      <c r="M178" s="136" t="s">
        <v>163</v>
      </c>
      <c r="N178" s="136">
        <v>2160178</v>
      </c>
      <c r="O178" s="136" t="s">
        <v>151</v>
      </c>
      <c r="P178" s="136" t="s">
        <v>151</v>
      </c>
      <c r="Q178" s="136"/>
      <c r="R178" s="136" t="s">
        <v>2607</v>
      </c>
      <c r="S178" s="136" t="s">
        <v>2608</v>
      </c>
      <c r="T178" s="346" t="s">
        <v>2609</v>
      </c>
      <c r="U178" s="139" t="s">
        <v>2610</v>
      </c>
      <c r="V178" s="139">
        <v>30010</v>
      </c>
      <c r="W178" s="147" t="s">
        <v>2611</v>
      </c>
      <c r="X178" s="147" t="s">
        <v>2379</v>
      </c>
      <c r="Y178" s="147" t="s">
        <v>157</v>
      </c>
      <c r="Z178" s="147"/>
      <c r="AA178" s="136">
        <v>3</v>
      </c>
      <c r="AB178" s="139">
        <v>43373</v>
      </c>
      <c r="AC178" s="285">
        <v>43160</v>
      </c>
      <c r="AD178" s="139"/>
      <c r="AE178" s="139" t="s">
        <v>2612</v>
      </c>
      <c r="AF178" s="313" t="s">
        <v>2613</v>
      </c>
      <c r="AG178" s="139"/>
      <c r="AH178" s="136">
        <f t="shared" si="43"/>
        <v>2</v>
      </c>
      <c r="AI178" s="139" t="s">
        <v>162</v>
      </c>
      <c r="AJ178" s="139"/>
      <c r="AK178" s="139"/>
      <c r="AL178" s="139" t="s">
        <v>163</v>
      </c>
      <c r="AM178" s="139"/>
      <c r="AN178" s="139"/>
      <c r="AO178" s="139" t="s">
        <v>959</v>
      </c>
      <c r="AP178" s="139" t="s">
        <v>2614</v>
      </c>
      <c r="AQ178" s="139" t="s">
        <v>2614</v>
      </c>
      <c r="AR178" s="139"/>
      <c r="AS178" s="236" t="s">
        <v>2615</v>
      </c>
      <c r="AT178" s="421" t="s">
        <v>420</v>
      </c>
      <c r="AU178" s="136" t="s">
        <v>2616</v>
      </c>
      <c r="AV178" s="139"/>
      <c r="AW178" s="141">
        <v>43164</v>
      </c>
      <c r="AX178" s="141">
        <v>43409</v>
      </c>
      <c r="AY178" s="141" t="s">
        <v>150</v>
      </c>
      <c r="AZ178" s="141">
        <v>43797</v>
      </c>
      <c r="BA178" s="141">
        <v>43865</v>
      </c>
      <c r="BB178" s="141"/>
      <c r="BC178" s="141"/>
      <c r="BD178" s="141"/>
      <c r="BE178" s="142" t="s">
        <v>2617</v>
      </c>
      <c r="BF178" s="141">
        <v>44470</v>
      </c>
      <c r="BG178" s="141" t="s">
        <v>163</v>
      </c>
      <c r="BH178" s="141">
        <v>45110</v>
      </c>
      <c r="BI178" s="141" t="s">
        <v>163</v>
      </c>
      <c r="BJ178" s="139">
        <v>44949</v>
      </c>
      <c r="BK178" s="139"/>
      <c r="BL178" s="139"/>
      <c r="BM178" s="143">
        <v>45087</v>
      </c>
      <c r="BN178" s="148" t="s">
        <v>16</v>
      </c>
      <c r="BO178" s="136">
        <f>DATEDIF(AW178,BM178, "M")+1</f>
        <v>64</v>
      </c>
      <c r="BP178" s="136">
        <f t="shared" ref="BP178:BP180" si="52">DATEDIF(AX178,BM178, "M")+1</f>
        <v>56</v>
      </c>
      <c r="BQ178" s="147" t="s">
        <v>2618</v>
      </c>
      <c r="BR178" s="136">
        <v>1</v>
      </c>
      <c r="BS178" s="136">
        <v>2</v>
      </c>
      <c r="BT178" s="136">
        <v>0</v>
      </c>
      <c r="BU178" s="136"/>
      <c r="BV178" s="136"/>
      <c r="BW178" s="136"/>
      <c r="BX178" s="136"/>
      <c r="BY178" s="136" t="s">
        <v>163</v>
      </c>
      <c r="BZ178" s="136" t="s">
        <v>150</v>
      </c>
      <c r="CA178" s="136" t="s">
        <v>2619</v>
      </c>
      <c r="CB178" s="144">
        <v>43647</v>
      </c>
      <c r="CC178" s="144">
        <v>44012</v>
      </c>
      <c r="CD178" s="136">
        <v>11</v>
      </c>
      <c r="CE178" s="136" t="s">
        <v>163</v>
      </c>
      <c r="CF178" s="136"/>
      <c r="CG178" s="136"/>
      <c r="CH178" s="374">
        <v>2</v>
      </c>
      <c r="CI178" s="136"/>
      <c r="CJ178" s="136"/>
      <c r="CK178" s="136" t="s">
        <v>1822</v>
      </c>
      <c r="CL178"/>
    </row>
    <row r="179" spans="1:90" s="53" customFormat="1" ht="24.95" customHeight="1">
      <c r="A179" s="136">
        <v>182</v>
      </c>
      <c r="B179" s="136" t="s">
        <v>2620</v>
      </c>
      <c r="C179" s="136" t="s">
        <v>2621</v>
      </c>
      <c r="D179" s="136" t="s">
        <v>2622</v>
      </c>
      <c r="E179" s="136" t="s">
        <v>2623</v>
      </c>
      <c r="F179" s="136" t="s">
        <v>24</v>
      </c>
      <c r="G179" s="136">
        <v>8</v>
      </c>
      <c r="H179" s="136" t="s">
        <v>52</v>
      </c>
      <c r="I179" s="136" t="s">
        <v>42</v>
      </c>
      <c r="J179" s="136" t="s">
        <v>2624</v>
      </c>
      <c r="K179" s="136" t="s">
        <v>2625</v>
      </c>
      <c r="L179" s="136" t="s">
        <v>42</v>
      </c>
      <c r="M179" s="136" t="s">
        <v>150</v>
      </c>
      <c r="N179" s="136"/>
      <c r="O179" s="136" t="s">
        <v>322</v>
      </c>
      <c r="P179" s="136" t="s">
        <v>322</v>
      </c>
      <c r="Q179" s="136"/>
      <c r="R179" s="387" t="s">
        <v>2626</v>
      </c>
      <c r="S179" s="387" t="s">
        <v>2627</v>
      </c>
      <c r="T179" s="345" t="s">
        <v>2628</v>
      </c>
      <c r="U179" s="139" t="s">
        <v>2629</v>
      </c>
      <c r="V179" s="139">
        <v>31650</v>
      </c>
      <c r="W179" s="147" t="s">
        <v>2630</v>
      </c>
      <c r="X179" s="147" t="s">
        <v>2379</v>
      </c>
      <c r="Y179" s="147"/>
      <c r="Z179" s="147"/>
      <c r="AA179" s="136">
        <v>10</v>
      </c>
      <c r="AB179" s="139">
        <v>43374</v>
      </c>
      <c r="AC179" s="285">
        <v>43160</v>
      </c>
      <c r="AD179" s="139"/>
      <c r="AE179" s="139" t="s">
        <v>2631</v>
      </c>
      <c r="AF179" s="139" t="s">
        <v>2632</v>
      </c>
      <c r="AG179" s="139" t="s">
        <v>2633</v>
      </c>
      <c r="AH179" s="136">
        <f t="shared" si="43"/>
        <v>3</v>
      </c>
      <c r="AI179" s="139" t="s">
        <v>161</v>
      </c>
      <c r="AJ179" s="139" t="s">
        <v>202</v>
      </c>
      <c r="AK179" s="139" t="s">
        <v>161</v>
      </c>
      <c r="AL179" s="139" t="s">
        <v>150</v>
      </c>
      <c r="AM179" s="139" t="s">
        <v>163</v>
      </c>
      <c r="AN179" s="139" t="s">
        <v>163</v>
      </c>
      <c r="AO179" s="139" t="s">
        <v>164</v>
      </c>
      <c r="AP179" s="139" t="s">
        <v>1183</v>
      </c>
      <c r="AQ179" s="139" t="s">
        <v>203</v>
      </c>
      <c r="AR179" s="139" t="s">
        <v>150</v>
      </c>
      <c r="AS179" s="139"/>
      <c r="AT179" s="421" t="s">
        <v>420</v>
      </c>
      <c r="AU179" s="136" t="s">
        <v>2634</v>
      </c>
      <c r="AV179" s="139"/>
      <c r="AW179" s="141">
        <v>43164</v>
      </c>
      <c r="AX179" s="141">
        <v>43409</v>
      </c>
      <c r="AY179" s="141" t="s">
        <v>150</v>
      </c>
      <c r="AZ179" s="141">
        <v>43334</v>
      </c>
      <c r="BA179" s="141">
        <v>43468</v>
      </c>
      <c r="BB179" s="141"/>
      <c r="BC179" s="141"/>
      <c r="BD179" s="141"/>
      <c r="BE179" s="142" t="s">
        <v>2635</v>
      </c>
      <c r="BF179" s="141">
        <v>44207</v>
      </c>
      <c r="BG179" s="141" t="s">
        <v>150</v>
      </c>
      <c r="BH179" s="141">
        <v>44410</v>
      </c>
      <c r="BI179" s="141" t="s">
        <v>150</v>
      </c>
      <c r="BJ179" s="139"/>
      <c r="BK179" s="139"/>
      <c r="BL179" s="139"/>
      <c r="BM179" s="143">
        <v>44679</v>
      </c>
      <c r="BN179" s="136" t="s">
        <v>16</v>
      </c>
      <c r="BO179" s="136">
        <f t="shared" ref="BO179:BO180" si="53">DATEDIF(AW179,BM179, "M")+1</f>
        <v>50</v>
      </c>
      <c r="BP179" s="136">
        <f t="shared" si="52"/>
        <v>42</v>
      </c>
      <c r="BQ179" s="136"/>
      <c r="BR179" s="136">
        <v>1</v>
      </c>
      <c r="BS179" s="136">
        <v>2</v>
      </c>
      <c r="BT179" s="136">
        <v>0</v>
      </c>
      <c r="BU179" s="136"/>
      <c r="BV179" s="136"/>
      <c r="BW179" s="136"/>
      <c r="BX179" s="136"/>
      <c r="BY179" s="136" t="s">
        <v>163</v>
      </c>
      <c r="BZ179" s="136"/>
      <c r="CA179" s="136"/>
      <c r="CB179" s="144"/>
      <c r="CC179" s="144"/>
      <c r="CD179" s="136"/>
      <c r="CE179" s="136"/>
      <c r="CF179" s="136"/>
      <c r="CG179" s="136"/>
      <c r="CH179" s="374">
        <v>2</v>
      </c>
      <c r="CI179" s="136"/>
      <c r="CJ179" s="136"/>
      <c r="CK179" s="136" t="s">
        <v>1822</v>
      </c>
      <c r="CL179"/>
    </row>
    <row r="180" spans="1:90" s="53" customFormat="1" ht="24.95" customHeight="1">
      <c r="A180" s="136">
        <v>183</v>
      </c>
      <c r="B180" s="136" t="s">
        <v>2636</v>
      </c>
      <c r="C180" s="136" t="s">
        <v>2637</v>
      </c>
      <c r="D180" s="136" t="s">
        <v>2638</v>
      </c>
      <c r="E180" s="136" t="s">
        <v>2639</v>
      </c>
      <c r="F180" s="136" t="s">
        <v>25</v>
      </c>
      <c r="G180" s="136">
        <v>8</v>
      </c>
      <c r="H180" s="136" t="s">
        <v>58</v>
      </c>
      <c r="I180" s="136" t="s">
        <v>45</v>
      </c>
      <c r="J180" s="136" t="s">
        <v>2044</v>
      </c>
      <c r="K180" s="136"/>
      <c r="L180" s="136" t="s">
        <v>45</v>
      </c>
      <c r="M180" s="136" t="s">
        <v>150</v>
      </c>
      <c r="N180" s="136"/>
      <c r="O180" s="136" t="s">
        <v>322</v>
      </c>
      <c r="P180" s="136" t="s">
        <v>322</v>
      </c>
      <c r="Q180" s="136"/>
      <c r="R180" s="136" t="s">
        <v>2640</v>
      </c>
      <c r="S180" s="136" t="s">
        <v>2641</v>
      </c>
      <c r="T180" s="346" t="s">
        <v>2642</v>
      </c>
      <c r="U180" s="139"/>
      <c r="V180" s="139">
        <v>30956</v>
      </c>
      <c r="W180" s="147" t="s">
        <v>2643</v>
      </c>
      <c r="X180" s="147" t="s">
        <v>156</v>
      </c>
      <c r="Y180" s="147"/>
      <c r="Z180" s="147"/>
      <c r="AA180" s="136">
        <v>43</v>
      </c>
      <c r="AB180" s="139">
        <v>43466</v>
      </c>
      <c r="AC180" s="285">
        <v>43160</v>
      </c>
      <c r="AD180" s="139"/>
      <c r="AE180" s="139" t="s">
        <v>2644</v>
      </c>
      <c r="AF180" s="139" t="s">
        <v>2645</v>
      </c>
      <c r="AG180" s="139"/>
      <c r="AH180" s="136">
        <f t="shared" si="43"/>
        <v>2</v>
      </c>
      <c r="AI180" s="139" t="s">
        <v>161</v>
      </c>
      <c r="AJ180" s="139" t="s">
        <v>202</v>
      </c>
      <c r="AK180" s="139"/>
      <c r="AL180" s="139" t="s">
        <v>150</v>
      </c>
      <c r="AM180" s="139" t="s">
        <v>163</v>
      </c>
      <c r="AN180" s="139"/>
      <c r="AO180" s="139" t="s">
        <v>202</v>
      </c>
      <c r="AP180" s="139" t="s">
        <v>2646</v>
      </c>
      <c r="AQ180" s="139" t="s">
        <v>182</v>
      </c>
      <c r="AR180" s="139"/>
      <c r="AS180" s="139"/>
      <c r="AT180" s="421" t="s">
        <v>372</v>
      </c>
      <c r="AU180" s="136" t="s">
        <v>2647</v>
      </c>
      <c r="AV180" s="139"/>
      <c r="AW180" s="141">
        <v>43164</v>
      </c>
      <c r="AX180" s="141">
        <v>43409</v>
      </c>
      <c r="AY180" s="141" t="s">
        <v>150</v>
      </c>
      <c r="AZ180" s="141">
        <v>43690</v>
      </c>
      <c r="BA180" s="141">
        <v>43644</v>
      </c>
      <c r="BB180" s="141"/>
      <c r="BC180" s="141"/>
      <c r="BD180" s="141"/>
      <c r="BE180" s="142" t="s">
        <v>2648</v>
      </c>
      <c r="BF180" s="141">
        <v>44207</v>
      </c>
      <c r="BG180" s="141" t="s">
        <v>150</v>
      </c>
      <c r="BH180" s="141">
        <v>44410</v>
      </c>
      <c r="BI180" s="141" t="s">
        <v>150</v>
      </c>
      <c r="BJ180" s="139"/>
      <c r="BK180" s="139"/>
      <c r="BL180" s="139"/>
      <c r="BM180" s="143">
        <v>45610</v>
      </c>
      <c r="BN180" s="150" t="s">
        <v>16</v>
      </c>
      <c r="BO180" s="136">
        <f t="shared" si="53"/>
        <v>81</v>
      </c>
      <c r="BP180" s="136">
        <f t="shared" si="52"/>
        <v>73</v>
      </c>
      <c r="BQ180" s="147" t="s">
        <v>2649</v>
      </c>
      <c r="BR180" s="136">
        <v>1</v>
      </c>
      <c r="BS180" s="136">
        <v>4</v>
      </c>
      <c r="BT180" s="136">
        <v>0</v>
      </c>
      <c r="BU180" s="136"/>
      <c r="BV180" s="136"/>
      <c r="BW180" s="136"/>
      <c r="BX180" s="136"/>
      <c r="BY180" s="136" t="s">
        <v>163</v>
      </c>
      <c r="BZ180" s="136"/>
      <c r="CA180" s="136"/>
      <c r="CB180" s="144"/>
      <c r="CC180" s="144"/>
      <c r="CD180" s="136"/>
      <c r="CE180" s="136"/>
      <c r="CF180" s="136"/>
      <c r="CG180" s="136"/>
      <c r="CH180" s="374">
        <v>3</v>
      </c>
      <c r="CI180" s="136"/>
      <c r="CJ180" s="136"/>
      <c r="CK180" s="136" t="s">
        <v>809</v>
      </c>
      <c r="CL180"/>
    </row>
    <row r="181" spans="1:90" s="53" customFormat="1" ht="24.95" customHeight="1">
      <c r="A181" s="136">
        <v>184</v>
      </c>
      <c r="B181" s="136" t="s">
        <v>2650</v>
      </c>
      <c r="C181" s="136" t="s">
        <v>2651</v>
      </c>
      <c r="D181" s="136" t="s">
        <v>2652</v>
      </c>
      <c r="E181" s="136" t="s">
        <v>2653</v>
      </c>
      <c r="F181" s="136" t="s">
        <v>24</v>
      </c>
      <c r="G181" s="136">
        <v>8</v>
      </c>
      <c r="H181" s="136" t="s">
        <v>54</v>
      </c>
      <c r="I181" s="136" t="s">
        <v>31</v>
      </c>
      <c r="J181" s="136" t="s">
        <v>1421</v>
      </c>
      <c r="K181" s="136" t="s">
        <v>1421</v>
      </c>
      <c r="L181" s="136" t="s">
        <v>31</v>
      </c>
      <c r="M181" s="136" t="s">
        <v>150</v>
      </c>
      <c r="N181" s="136">
        <v>160413</v>
      </c>
      <c r="O181" s="136" t="s">
        <v>151</v>
      </c>
      <c r="P181" s="136" t="s">
        <v>151</v>
      </c>
      <c r="Q181" s="136" t="s">
        <v>151</v>
      </c>
      <c r="R181" s="136" t="s">
        <v>2654</v>
      </c>
      <c r="S181" s="136" t="s">
        <v>2655</v>
      </c>
      <c r="T181" s="345" t="s">
        <v>2656</v>
      </c>
      <c r="U181" s="139" t="s">
        <v>2657</v>
      </c>
      <c r="V181" s="139">
        <v>27514</v>
      </c>
      <c r="W181" s="147" t="s">
        <v>2658</v>
      </c>
      <c r="X181" s="147" t="s">
        <v>179</v>
      </c>
      <c r="Y181" s="147" t="s">
        <v>163</v>
      </c>
      <c r="Z181" s="147"/>
      <c r="AA181" s="136">
        <v>28</v>
      </c>
      <c r="AB181" s="139">
        <v>42030</v>
      </c>
      <c r="AC181" s="285">
        <v>43160</v>
      </c>
      <c r="AD181" s="139"/>
      <c r="AE181" s="139" t="s">
        <v>2659</v>
      </c>
      <c r="AF181" s="139"/>
      <c r="AG181" s="139"/>
      <c r="AH181" s="136">
        <f t="shared" si="43"/>
        <v>1</v>
      </c>
      <c r="AI181" s="139"/>
      <c r="AJ181" s="139"/>
      <c r="AK181" s="139"/>
      <c r="AL181" s="139" t="s">
        <v>150</v>
      </c>
      <c r="AM181" s="139"/>
      <c r="AN181" s="139"/>
      <c r="AO181" s="139" t="s">
        <v>164</v>
      </c>
      <c r="AP181" s="139" t="s">
        <v>445</v>
      </c>
      <c r="AQ181" s="139" t="s">
        <v>445</v>
      </c>
      <c r="AR181" s="139"/>
      <c r="AS181" s="139"/>
      <c r="AT181" s="421" t="s">
        <v>328</v>
      </c>
      <c r="AU181" s="136" t="s">
        <v>2660</v>
      </c>
      <c r="AV181" s="139"/>
      <c r="AW181" s="141">
        <v>43164</v>
      </c>
      <c r="AX181" s="141">
        <v>43409</v>
      </c>
      <c r="AY181" s="141" t="s">
        <v>150</v>
      </c>
      <c r="AZ181" s="141">
        <v>43326</v>
      </c>
      <c r="BA181" s="141">
        <v>43403</v>
      </c>
      <c r="BB181" s="141"/>
      <c r="BC181" s="141"/>
      <c r="BD181" s="141"/>
      <c r="BE181" s="142" t="s">
        <v>2661</v>
      </c>
      <c r="BF181" s="141">
        <v>44207</v>
      </c>
      <c r="BG181" s="141" t="s">
        <v>150</v>
      </c>
      <c r="BH181" s="141">
        <v>44410</v>
      </c>
      <c r="BI181" s="141" t="s">
        <v>150</v>
      </c>
      <c r="BJ181" s="139"/>
      <c r="BK181" s="139"/>
      <c r="BL181" s="139"/>
      <c r="BM181" s="143">
        <v>44648</v>
      </c>
      <c r="BN181" s="136" t="s">
        <v>16</v>
      </c>
      <c r="BO181" s="136">
        <f t="shared" ref="BO181" si="54">DATEDIF(AW181,BM181, "M")+1</f>
        <v>49</v>
      </c>
      <c r="BP181" s="136">
        <f>DATEDIF(AX181,BM181, "M")+1</f>
        <v>41</v>
      </c>
      <c r="BQ181" s="136"/>
      <c r="BR181" s="136">
        <v>1</v>
      </c>
      <c r="BS181" s="136">
        <v>0</v>
      </c>
      <c r="BT181" s="136">
        <v>1</v>
      </c>
      <c r="BU181" s="136"/>
      <c r="BV181" s="136"/>
      <c r="BW181" s="136"/>
      <c r="BX181" s="136"/>
      <c r="BY181" s="136" t="s">
        <v>163</v>
      </c>
      <c r="BZ181" s="136" t="s">
        <v>163</v>
      </c>
      <c r="CA181" s="136"/>
      <c r="CB181" s="144"/>
      <c r="CC181" s="144"/>
      <c r="CD181" s="136"/>
      <c r="CE181" s="136" t="s">
        <v>163</v>
      </c>
      <c r="CF181" s="136"/>
      <c r="CG181" s="136"/>
      <c r="CH181" s="374">
        <v>3</v>
      </c>
      <c r="CI181" s="136">
        <v>3</v>
      </c>
      <c r="CJ181" s="136"/>
      <c r="CK181" s="136" t="s">
        <v>809</v>
      </c>
      <c r="CL181"/>
    </row>
    <row r="182" spans="1:90" s="53" customFormat="1" ht="24.95" customHeight="1">
      <c r="A182" s="136">
        <v>185</v>
      </c>
      <c r="B182" s="136" t="s">
        <v>2662</v>
      </c>
      <c r="C182" s="136" t="s">
        <v>2663</v>
      </c>
      <c r="D182" s="136"/>
      <c r="E182" s="136" t="s">
        <v>2664</v>
      </c>
      <c r="F182" s="136" t="s">
        <v>24</v>
      </c>
      <c r="G182" s="136">
        <v>8</v>
      </c>
      <c r="H182" s="136" t="s">
        <v>60</v>
      </c>
      <c r="I182" s="136" t="s">
        <v>35</v>
      </c>
      <c r="J182" s="136" t="s">
        <v>2665</v>
      </c>
      <c r="K182" s="136" t="s">
        <v>2666</v>
      </c>
      <c r="L182" s="136" t="s">
        <v>42</v>
      </c>
      <c r="M182" s="136" t="s">
        <v>163</v>
      </c>
      <c r="N182" s="136" t="s">
        <v>2667</v>
      </c>
      <c r="O182" s="136" t="s">
        <v>151</v>
      </c>
      <c r="P182" s="136" t="s">
        <v>151</v>
      </c>
      <c r="Q182" s="136"/>
      <c r="R182" s="136" t="s">
        <v>2668</v>
      </c>
      <c r="S182" s="136" t="s">
        <v>2669</v>
      </c>
      <c r="T182" s="345" t="s">
        <v>2670</v>
      </c>
      <c r="U182" s="139" t="s">
        <v>2671</v>
      </c>
      <c r="V182" s="139">
        <v>33161</v>
      </c>
      <c r="W182" s="147" t="s">
        <v>2672</v>
      </c>
      <c r="X182" s="147" t="s">
        <v>2379</v>
      </c>
      <c r="Y182" s="147" t="s">
        <v>157</v>
      </c>
      <c r="Z182" s="147"/>
      <c r="AA182" s="136">
        <v>31</v>
      </c>
      <c r="AB182" s="139">
        <v>43493</v>
      </c>
      <c r="AC182" s="285">
        <v>43160</v>
      </c>
      <c r="AD182" s="139"/>
      <c r="AE182" s="139" t="s">
        <v>2673</v>
      </c>
      <c r="AF182" s="139" t="s">
        <v>2674</v>
      </c>
      <c r="AG182" s="139"/>
      <c r="AH182" s="136">
        <f t="shared" si="43"/>
        <v>2</v>
      </c>
      <c r="AI182" s="139" t="s">
        <v>161</v>
      </c>
      <c r="AJ182" s="139" t="s">
        <v>202</v>
      </c>
      <c r="AK182" s="139"/>
      <c r="AL182" s="139" t="s">
        <v>163</v>
      </c>
      <c r="AM182" s="139" t="s">
        <v>163</v>
      </c>
      <c r="AN182" s="139"/>
      <c r="AO182" s="139" t="s">
        <v>164</v>
      </c>
      <c r="AP182" s="139" t="s">
        <v>181</v>
      </c>
      <c r="AQ182" s="139" t="s">
        <v>181</v>
      </c>
      <c r="AR182" s="139"/>
      <c r="AS182" s="139"/>
      <c r="AT182" s="421" t="s">
        <v>580</v>
      </c>
      <c r="AU182" s="136" t="s">
        <v>2675</v>
      </c>
      <c r="AV182" s="139"/>
      <c r="AW182" s="141">
        <v>43164</v>
      </c>
      <c r="AX182" s="141">
        <v>43409</v>
      </c>
      <c r="AY182" s="141" t="s">
        <v>150</v>
      </c>
      <c r="AZ182" s="141">
        <v>43228</v>
      </c>
      <c r="BA182" s="141">
        <v>43665</v>
      </c>
      <c r="BB182" s="141"/>
      <c r="BC182" s="141"/>
      <c r="BD182" s="141"/>
      <c r="BE182" s="142" t="s">
        <v>2676</v>
      </c>
      <c r="BF182" s="141">
        <v>44207</v>
      </c>
      <c r="BG182" s="141" t="s">
        <v>150</v>
      </c>
      <c r="BH182" s="141">
        <v>44410</v>
      </c>
      <c r="BI182" s="141" t="s">
        <v>150</v>
      </c>
      <c r="BJ182" s="139"/>
      <c r="BK182" s="139"/>
      <c r="BL182" s="139"/>
      <c r="BM182" s="143"/>
      <c r="BN182" s="129" t="s">
        <v>17</v>
      </c>
      <c r="BO182" s="139"/>
      <c r="BP182" s="136"/>
      <c r="BQ182" s="136"/>
      <c r="BR182" s="136">
        <v>1</v>
      </c>
      <c r="BS182" s="136">
        <v>6</v>
      </c>
      <c r="BT182" s="136">
        <v>0</v>
      </c>
      <c r="BU182" s="136"/>
      <c r="BV182" s="136"/>
      <c r="BW182" s="136"/>
      <c r="BX182" s="136"/>
      <c r="BY182" s="136" t="s">
        <v>2314</v>
      </c>
      <c r="BZ182" s="136" t="s">
        <v>163</v>
      </c>
      <c r="CA182" s="136"/>
      <c r="CB182" s="144"/>
      <c r="CC182" s="144"/>
      <c r="CD182" s="136"/>
      <c r="CE182" s="136" t="s">
        <v>163</v>
      </c>
      <c r="CF182" s="136"/>
      <c r="CG182" s="136"/>
      <c r="CH182" s="374">
        <v>0</v>
      </c>
      <c r="CI182" s="136"/>
      <c r="CJ182" s="136"/>
      <c r="CK182" s="136" t="s">
        <v>809</v>
      </c>
      <c r="CL182"/>
    </row>
    <row r="183" spans="1:90" s="53" customFormat="1" ht="24.95" customHeight="1">
      <c r="A183" s="136">
        <v>186</v>
      </c>
      <c r="B183" s="136" t="s">
        <v>2677</v>
      </c>
      <c r="C183" s="136" t="s">
        <v>2678</v>
      </c>
      <c r="D183" s="136"/>
      <c r="E183" s="136" t="s">
        <v>2522</v>
      </c>
      <c r="F183" s="136" t="s">
        <v>25</v>
      </c>
      <c r="G183" s="136">
        <v>8</v>
      </c>
      <c r="H183" s="136" t="s">
        <v>55</v>
      </c>
      <c r="I183" s="136" t="s">
        <v>43</v>
      </c>
      <c r="J183" s="136" t="s">
        <v>2679</v>
      </c>
      <c r="K183" s="136" t="s">
        <v>2680</v>
      </c>
      <c r="L183" s="136" t="s">
        <v>42</v>
      </c>
      <c r="M183" s="136" t="s">
        <v>163</v>
      </c>
      <c r="N183" s="136"/>
      <c r="O183" s="136" t="s">
        <v>151</v>
      </c>
      <c r="P183" s="136" t="s">
        <v>151</v>
      </c>
      <c r="Q183" s="136"/>
      <c r="R183" s="145" t="s">
        <v>2681</v>
      </c>
      <c r="S183" s="136" t="s">
        <v>2682</v>
      </c>
      <c r="T183" s="345" t="s">
        <v>2683</v>
      </c>
      <c r="U183" s="139"/>
      <c r="V183" s="139">
        <v>31334</v>
      </c>
      <c r="W183" s="147" t="s">
        <v>2684</v>
      </c>
      <c r="X183" s="147" t="s">
        <v>2379</v>
      </c>
      <c r="Y183" s="147"/>
      <c r="Z183" s="147"/>
      <c r="AA183" s="136">
        <v>38</v>
      </c>
      <c r="AB183" s="139">
        <v>43325</v>
      </c>
      <c r="AC183" s="285">
        <v>43160</v>
      </c>
      <c r="AD183" s="139"/>
      <c r="AE183" s="139" t="s">
        <v>2685</v>
      </c>
      <c r="AF183" s="139"/>
      <c r="AG183" s="139"/>
      <c r="AH183" s="136">
        <f t="shared" si="43"/>
        <v>1</v>
      </c>
      <c r="AI183" s="139"/>
      <c r="AJ183" s="139"/>
      <c r="AK183" s="139"/>
      <c r="AL183" s="139" t="s">
        <v>150</v>
      </c>
      <c r="AM183" s="139"/>
      <c r="AN183" s="139"/>
      <c r="AO183" s="139" t="s">
        <v>164</v>
      </c>
      <c r="AP183" s="139" t="s">
        <v>181</v>
      </c>
      <c r="AQ183" s="139" t="s">
        <v>203</v>
      </c>
      <c r="AR183" s="139" t="s">
        <v>150</v>
      </c>
      <c r="AS183" s="139"/>
      <c r="AT183" s="421" t="s">
        <v>2686</v>
      </c>
      <c r="AU183" s="136" t="s">
        <v>2687</v>
      </c>
      <c r="AV183" s="139"/>
      <c r="AW183" s="141">
        <v>43164</v>
      </c>
      <c r="AX183" s="141">
        <v>43409</v>
      </c>
      <c r="AY183" s="141" t="s">
        <v>150</v>
      </c>
      <c r="AZ183" s="141">
        <v>43893</v>
      </c>
      <c r="BA183" s="141">
        <v>43700</v>
      </c>
      <c r="BB183" s="141"/>
      <c r="BC183" s="141"/>
      <c r="BD183" s="141"/>
      <c r="BE183" s="142" t="s">
        <v>2688</v>
      </c>
      <c r="BF183" s="141">
        <v>44470</v>
      </c>
      <c r="BG183" s="141" t="s">
        <v>163</v>
      </c>
      <c r="BH183" s="141">
        <v>44732</v>
      </c>
      <c r="BI183" s="141" t="s">
        <v>163</v>
      </c>
      <c r="BJ183" s="139"/>
      <c r="BK183" s="139"/>
      <c r="BL183" s="139"/>
      <c r="BM183" s="143"/>
      <c r="BN183" s="148" t="s">
        <v>17</v>
      </c>
      <c r="BO183" s="139"/>
      <c r="BP183" s="136"/>
      <c r="BQ183" s="136"/>
      <c r="BR183" s="136">
        <v>1</v>
      </c>
      <c r="BS183" s="136">
        <v>6</v>
      </c>
      <c r="BT183" s="136">
        <v>0</v>
      </c>
      <c r="BU183" s="136"/>
      <c r="BV183" s="136"/>
      <c r="BW183" s="136"/>
      <c r="BX183" s="136"/>
      <c r="BY183" s="136" t="s">
        <v>163</v>
      </c>
      <c r="BZ183" s="136"/>
      <c r="CA183" s="136"/>
      <c r="CB183" s="144"/>
      <c r="CC183" s="144"/>
      <c r="CD183" s="136"/>
      <c r="CE183" s="136"/>
      <c r="CF183" s="136"/>
      <c r="CG183" s="136"/>
      <c r="CH183" s="374">
        <v>1</v>
      </c>
      <c r="CI183" s="136"/>
      <c r="CJ183" s="136"/>
      <c r="CK183" s="136" t="s">
        <v>809</v>
      </c>
      <c r="CL183"/>
    </row>
    <row r="184" spans="1:90" s="53" customFormat="1" ht="24.95" customHeight="1">
      <c r="A184" s="136">
        <v>187</v>
      </c>
      <c r="B184" s="136" t="s">
        <v>2689</v>
      </c>
      <c r="C184" s="136" t="s">
        <v>2690</v>
      </c>
      <c r="D184" s="136" t="s">
        <v>2691</v>
      </c>
      <c r="E184" s="136" t="s">
        <v>388</v>
      </c>
      <c r="F184" s="136" t="s">
        <v>24</v>
      </c>
      <c r="G184" s="136">
        <v>8</v>
      </c>
      <c r="H184" s="136" t="s">
        <v>52</v>
      </c>
      <c r="I184" s="136" t="s">
        <v>42</v>
      </c>
      <c r="J184" s="136" t="s">
        <v>2692</v>
      </c>
      <c r="K184" s="136" t="s">
        <v>2693</v>
      </c>
      <c r="L184" s="136" t="s">
        <v>42</v>
      </c>
      <c r="M184" s="136" t="s">
        <v>150</v>
      </c>
      <c r="N184" s="136"/>
      <c r="O184" s="136" t="s">
        <v>151</v>
      </c>
      <c r="P184" s="136" t="s">
        <v>151</v>
      </c>
      <c r="Q184" s="136" t="s">
        <v>151</v>
      </c>
      <c r="R184" s="136" t="s">
        <v>2694</v>
      </c>
      <c r="S184" s="387" t="s">
        <v>2695</v>
      </c>
      <c r="T184" s="346" t="s">
        <v>2696</v>
      </c>
      <c r="U184" s="139" t="s">
        <v>2697</v>
      </c>
      <c r="V184" s="139">
        <v>31784</v>
      </c>
      <c r="W184" s="147" t="s">
        <v>2698</v>
      </c>
      <c r="X184" s="147" t="s">
        <v>2379</v>
      </c>
      <c r="Y184" s="147" t="s">
        <v>157</v>
      </c>
      <c r="Z184" s="147"/>
      <c r="AA184" s="136">
        <v>8</v>
      </c>
      <c r="AB184" s="139">
        <v>43160</v>
      </c>
      <c r="AC184" s="285">
        <v>43160</v>
      </c>
      <c r="AD184" s="139"/>
      <c r="AE184" s="139" t="s">
        <v>2699</v>
      </c>
      <c r="AF184" s="139" t="s">
        <v>2700</v>
      </c>
      <c r="AG184" s="139" t="s">
        <v>2701</v>
      </c>
      <c r="AH184" s="136">
        <f t="shared" si="43"/>
        <v>3</v>
      </c>
      <c r="AI184" s="139" t="s">
        <v>161</v>
      </c>
      <c r="AJ184" s="139" t="s">
        <v>161</v>
      </c>
      <c r="AK184" s="139" t="s">
        <v>161</v>
      </c>
      <c r="AL184" s="139" t="s">
        <v>150</v>
      </c>
      <c r="AM184" s="139"/>
      <c r="AN184" s="139"/>
      <c r="AO184" s="139" t="s">
        <v>164</v>
      </c>
      <c r="AP184" s="139" t="s">
        <v>1183</v>
      </c>
      <c r="AQ184" s="139" t="s">
        <v>203</v>
      </c>
      <c r="AR184" s="139" t="s">
        <v>150</v>
      </c>
      <c r="AS184" s="139"/>
      <c r="AT184" s="421" t="s">
        <v>420</v>
      </c>
      <c r="AU184" s="136" t="s">
        <v>2702</v>
      </c>
      <c r="AV184" s="139"/>
      <c r="AW184" s="141">
        <v>43164</v>
      </c>
      <c r="AX184" s="141">
        <v>43409</v>
      </c>
      <c r="AY184" s="141" t="s">
        <v>150</v>
      </c>
      <c r="AZ184" s="141">
        <v>43327</v>
      </c>
      <c r="BA184" s="141">
        <v>43391</v>
      </c>
      <c r="BB184" s="141"/>
      <c r="BC184" s="141"/>
      <c r="BD184" s="141"/>
      <c r="BE184" s="142" t="s">
        <v>2703</v>
      </c>
      <c r="BF184" s="141">
        <v>44207</v>
      </c>
      <c r="BG184" s="141" t="s">
        <v>150</v>
      </c>
      <c r="BH184" s="141">
        <v>44410</v>
      </c>
      <c r="BI184" s="141" t="s">
        <v>150</v>
      </c>
      <c r="BJ184" s="139"/>
      <c r="BK184" s="139"/>
      <c r="BL184" s="139"/>
      <c r="BM184" s="143">
        <v>44160</v>
      </c>
      <c r="BN184" s="136" t="s">
        <v>16</v>
      </c>
      <c r="BO184" s="136">
        <f t="shared" ref="BO184:BO187" si="55">DATEDIF(AW184,BM184, "M")+1</f>
        <v>33</v>
      </c>
      <c r="BP184" s="136">
        <f t="shared" ref="BP184:BP187" si="56">DATEDIF(AX184,BM184, "M")+1</f>
        <v>25</v>
      </c>
      <c r="BQ184" s="147" t="s">
        <v>2704</v>
      </c>
      <c r="BR184" s="136">
        <v>3</v>
      </c>
      <c r="BS184" s="136">
        <v>5</v>
      </c>
      <c r="BT184" s="136">
        <v>1</v>
      </c>
      <c r="BU184" s="136"/>
      <c r="BV184" s="136"/>
      <c r="BW184" s="136"/>
      <c r="BX184" s="136"/>
      <c r="BY184" s="136" t="s">
        <v>163</v>
      </c>
      <c r="BZ184" s="136" t="s">
        <v>163</v>
      </c>
      <c r="CA184" s="136"/>
      <c r="CB184" s="144"/>
      <c r="CC184" s="144"/>
      <c r="CD184" s="136"/>
      <c r="CE184" s="136"/>
      <c r="CF184" s="136"/>
      <c r="CG184" s="136"/>
      <c r="CH184" s="374">
        <v>1</v>
      </c>
      <c r="CI184" s="136">
        <v>2</v>
      </c>
      <c r="CJ184" s="136"/>
      <c r="CK184" s="136" t="s">
        <v>2219</v>
      </c>
      <c r="CL184"/>
    </row>
    <row r="185" spans="1:90" s="53" customFormat="1" ht="24.95" customHeight="1">
      <c r="A185" s="136">
        <v>188</v>
      </c>
      <c r="B185" s="136" t="s">
        <v>2705</v>
      </c>
      <c r="C185" s="136" t="s">
        <v>2706</v>
      </c>
      <c r="D185" s="136" t="s">
        <v>2707</v>
      </c>
      <c r="E185" s="136" t="s">
        <v>2708</v>
      </c>
      <c r="F185" s="136" t="s">
        <v>24</v>
      </c>
      <c r="G185" s="136">
        <v>8</v>
      </c>
      <c r="H185" s="136" t="s">
        <v>53</v>
      </c>
      <c r="I185" s="136" t="s">
        <v>46</v>
      </c>
      <c r="J185" s="136" t="s">
        <v>257</v>
      </c>
      <c r="K185" s="136" t="s">
        <v>335</v>
      </c>
      <c r="L185" s="136" t="s">
        <v>44</v>
      </c>
      <c r="M185" s="136" t="s">
        <v>150</v>
      </c>
      <c r="N185" s="136"/>
      <c r="O185" s="136" t="s">
        <v>151</v>
      </c>
      <c r="P185" s="136" t="s">
        <v>151</v>
      </c>
      <c r="Q185" s="136"/>
      <c r="R185" s="136" t="s">
        <v>2709</v>
      </c>
      <c r="S185" s="136" t="s">
        <v>2710</v>
      </c>
      <c r="T185" s="346" t="s">
        <v>2711</v>
      </c>
      <c r="U185" s="139"/>
      <c r="V185" s="139">
        <v>29877</v>
      </c>
      <c r="W185" s="147" t="s">
        <v>2712</v>
      </c>
      <c r="X185" s="147" t="s">
        <v>179</v>
      </c>
      <c r="Y185" s="147"/>
      <c r="Z185" s="147"/>
      <c r="AA185" s="136">
        <v>32</v>
      </c>
      <c r="AB185" s="139">
        <v>43191</v>
      </c>
      <c r="AC185" s="285">
        <v>43160</v>
      </c>
      <c r="AD185" s="139"/>
      <c r="AE185" s="139" t="s">
        <v>2713</v>
      </c>
      <c r="AF185" s="139" t="s">
        <v>2714</v>
      </c>
      <c r="AG185" s="139"/>
      <c r="AH185" s="136">
        <f t="shared" si="43"/>
        <v>2</v>
      </c>
      <c r="AI185" s="139" t="s">
        <v>161</v>
      </c>
      <c r="AJ185" s="139" t="s">
        <v>202</v>
      </c>
      <c r="AK185" s="139"/>
      <c r="AL185" s="139" t="s">
        <v>150</v>
      </c>
      <c r="AM185" s="139"/>
      <c r="AN185" s="139"/>
      <c r="AO185" s="139" t="s">
        <v>164</v>
      </c>
      <c r="AP185" s="139"/>
      <c r="AQ185" s="139"/>
      <c r="AR185" s="139"/>
      <c r="AS185" s="139"/>
      <c r="AT185" s="421" t="s">
        <v>298</v>
      </c>
      <c r="AU185" s="136" t="s">
        <v>2715</v>
      </c>
      <c r="AV185" s="139"/>
      <c r="AW185" s="141">
        <v>43164</v>
      </c>
      <c r="AX185" s="141">
        <v>43409</v>
      </c>
      <c r="AY185" s="141" t="s">
        <v>150</v>
      </c>
      <c r="AZ185" s="141">
        <v>43861</v>
      </c>
      <c r="BA185" s="141">
        <v>43696</v>
      </c>
      <c r="BB185" s="141"/>
      <c r="BC185" s="141"/>
      <c r="BD185" s="141"/>
      <c r="BE185" s="142" t="s">
        <v>2716</v>
      </c>
      <c r="BF185" s="141">
        <v>44207</v>
      </c>
      <c r="BG185" s="141" t="s">
        <v>150</v>
      </c>
      <c r="BH185" s="141">
        <v>44410</v>
      </c>
      <c r="BI185" s="141" t="s">
        <v>150</v>
      </c>
      <c r="BJ185" s="139"/>
      <c r="BK185" s="139"/>
      <c r="BL185" s="139"/>
      <c r="BM185" s="143">
        <v>44900</v>
      </c>
      <c r="BN185" s="129" t="s">
        <v>16</v>
      </c>
      <c r="BO185" s="136">
        <f t="shared" si="55"/>
        <v>58</v>
      </c>
      <c r="BP185" s="136">
        <f t="shared" si="56"/>
        <v>50</v>
      </c>
      <c r="BQ185" s="147" t="s">
        <v>2717</v>
      </c>
      <c r="BR185" s="136">
        <v>1</v>
      </c>
      <c r="BS185" s="136">
        <v>3</v>
      </c>
      <c r="BT185" s="136">
        <v>0</v>
      </c>
      <c r="BU185" s="136"/>
      <c r="BV185" s="136"/>
      <c r="BW185" s="136"/>
      <c r="BX185" s="136"/>
      <c r="BY185" s="136" t="s">
        <v>163</v>
      </c>
      <c r="BZ185" s="136"/>
      <c r="CA185" s="136"/>
      <c r="CB185" s="144"/>
      <c r="CC185" s="144"/>
      <c r="CD185" s="136"/>
      <c r="CE185" s="136"/>
      <c r="CF185" s="136"/>
      <c r="CG185" s="136"/>
      <c r="CH185" s="374">
        <v>2</v>
      </c>
      <c r="CI185" s="136"/>
      <c r="CJ185" s="136"/>
      <c r="CK185" s="136" t="s">
        <v>809</v>
      </c>
      <c r="CL185"/>
    </row>
    <row r="186" spans="1:90" s="53" customFormat="1" ht="24.95" customHeight="1">
      <c r="A186" s="136">
        <v>189</v>
      </c>
      <c r="B186" s="136" t="s">
        <v>2718</v>
      </c>
      <c r="C186" s="136" t="s">
        <v>992</v>
      </c>
      <c r="D186" s="136" t="s">
        <v>438</v>
      </c>
      <c r="E186" s="136" t="s">
        <v>2719</v>
      </c>
      <c r="F186" s="136" t="s">
        <v>24</v>
      </c>
      <c r="G186" s="136">
        <v>8</v>
      </c>
      <c r="H186" s="136" t="s">
        <v>54</v>
      </c>
      <c r="I186" s="136" t="s">
        <v>39</v>
      </c>
      <c r="J186" s="136" t="s">
        <v>602</v>
      </c>
      <c r="K186" s="136" t="s">
        <v>1256</v>
      </c>
      <c r="L186" s="136" t="s">
        <v>45</v>
      </c>
      <c r="M186" s="136" t="s">
        <v>163</v>
      </c>
      <c r="N186" s="136">
        <v>1928547</v>
      </c>
      <c r="O186" s="136" t="s">
        <v>151</v>
      </c>
      <c r="P186" s="136" t="s">
        <v>151</v>
      </c>
      <c r="Q186" s="136"/>
      <c r="R186" s="136" t="s">
        <v>2720</v>
      </c>
      <c r="S186" s="136" t="s">
        <v>2721</v>
      </c>
      <c r="T186" s="345" t="s">
        <v>2722</v>
      </c>
      <c r="U186" s="139" t="s">
        <v>2723</v>
      </c>
      <c r="V186" s="139">
        <v>27605</v>
      </c>
      <c r="W186" s="147" t="s">
        <v>2724</v>
      </c>
      <c r="X186" s="147" t="s">
        <v>179</v>
      </c>
      <c r="Y186" s="147"/>
      <c r="Z186" s="147"/>
      <c r="AA186" s="136">
        <v>1</v>
      </c>
      <c r="AB186" s="139">
        <v>43221</v>
      </c>
      <c r="AC186" s="285">
        <v>43160</v>
      </c>
      <c r="AD186" s="139"/>
      <c r="AE186" s="139" t="s">
        <v>2725</v>
      </c>
      <c r="AF186" s="139" t="s">
        <v>2726</v>
      </c>
      <c r="AG186" s="139"/>
      <c r="AH186" s="136">
        <f t="shared" si="43"/>
        <v>2</v>
      </c>
      <c r="AI186" s="139" t="s">
        <v>162</v>
      </c>
      <c r="AJ186" s="139" t="s">
        <v>162</v>
      </c>
      <c r="AK186" s="139"/>
      <c r="AL186" s="139" t="s">
        <v>163</v>
      </c>
      <c r="AM186" s="139" t="s">
        <v>163</v>
      </c>
      <c r="AN186" s="139"/>
      <c r="AO186" s="139" t="s">
        <v>164</v>
      </c>
      <c r="AP186" s="139" t="s">
        <v>250</v>
      </c>
      <c r="AQ186" s="139" t="s">
        <v>1122</v>
      </c>
      <c r="AR186" s="139" t="s">
        <v>150</v>
      </c>
      <c r="AS186" s="139"/>
      <c r="AT186" s="421" t="s">
        <v>285</v>
      </c>
      <c r="AU186" s="136" t="s">
        <v>2727</v>
      </c>
      <c r="AV186" s="139"/>
      <c r="AW186" s="141">
        <v>43164</v>
      </c>
      <c r="AX186" s="141">
        <v>43409</v>
      </c>
      <c r="AY186" s="141" t="s">
        <v>150</v>
      </c>
      <c r="AZ186" s="141">
        <v>43522</v>
      </c>
      <c r="BA186" s="141">
        <v>43623</v>
      </c>
      <c r="BB186" s="141"/>
      <c r="BC186" s="141"/>
      <c r="BD186" s="141"/>
      <c r="BE186" s="142" t="s">
        <v>2728</v>
      </c>
      <c r="BF186" s="141">
        <v>44207</v>
      </c>
      <c r="BG186" s="141" t="s">
        <v>150</v>
      </c>
      <c r="BH186" s="141">
        <v>44410</v>
      </c>
      <c r="BI186" s="141" t="s">
        <v>150</v>
      </c>
      <c r="BJ186" s="139"/>
      <c r="BK186" s="139"/>
      <c r="BL186" s="139"/>
      <c r="BM186" s="143">
        <v>44907</v>
      </c>
      <c r="BN186" s="148" t="s">
        <v>16</v>
      </c>
      <c r="BO186" s="136">
        <f t="shared" si="55"/>
        <v>58</v>
      </c>
      <c r="BP186" s="136">
        <f t="shared" si="56"/>
        <v>50</v>
      </c>
      <c r="BQ186" s="136" t="s">
        <v>2729</v>
      </c>
      <c r="BR186" s="136">
        <v>5</v>
      </c>
      <c r="BS186" s="136">
        <v>5</v>
      </c>
      <c r="BT186" s="136">
        <v>0</v>
      </c>
      <c r="BU186" s="136"/>
      <c r="BV186" s="136"/>
      <c r="BW186" s="136"/>
      <c r="BX186" s="136"/>
      <c r="BY186" s="136" t="s">
        <v>163</v>
      </c>
      <c r="BZ186" s="136"/>
      <c r="CA186" s="136"/>
      <c r="CB186" s="144"/>
      <c r="CC186" s="144"/>
      <c r="CD186" s="136"/>
      <c r="CE186" s="136"/>
      <c r="CF186" s="136"/>
      <c r="CG186" s="136"/>
      <c r="CH186" s="374">
        <v>3</v>
      </c>
      <c r="CI186" s="136"/>
      <c r="CJ186" s="136"/>
      <c r="CK186" s="136" t="s">
        <v>1822</v>
      </c>
      <c r="CL186"/>
    </row>
    <row r="187" spans="1:90" s="53" customFormat="1" ht="24.95" customHeight="1">
      <c r="A187" s="136">
        <v>190</v>
      </c>
      <c r="B187" s="136" t="s">
        <v>2730</v>
      </c>
      <c r="C187" s="136" t="s">
        <v>2731</v>
      </c>
      <c r="D187" s="136" t="s">
        <v>2732</v>
      </c>
      <c r="E187" s="136" t="s">
        <v>2733</v>
      </c>
      <c r="F187" s="136" t="s">
        <v>25</v>
      </c>
      <c r="G187" s="136">
        <v>8</v>
      </c>
      <c r="H187" s="136" t="s">
        <v>54</v>
      </c>
      <c r="I187" s="136" t="s">
        <v>31</v>
      </c>
      <c r="J187" s="136" t="s">
        <v>602</v>
      </c>
      <c r="K187" s="136" t="s">
        <v>2734</v>
      </c>
      <c r="L187" s="136" t="s">
        <v>45</v>
      </c>
      <c r="M187" s="136" t="s">
        <v>163</v>
      </c>
      <c r="N187" s="136"/>
      <c r="O187" s="136" t="s">
        <v>151</v>
      </c>
      <c r="P187" s="136" t="s">
        <v>151</v>
      </c>
      <c r="Q187" s="136" t="s">
        <v>151</v>
      </c>
      <c r="R187" s="136" t="s">
        <v>2735</v>
      </c>
      <c r="S187" s="136" t="s">
        <v>2736</v>
      </c>
      <c r="T187" s="345" t="s">
        <v>2737</v>
      </c>
      <c r="U187" s="139" t="s">
        <v>2738</v>
      </c>
      <c r="V187" s="139">
        <v>29924</v>
      </c>
      <c r="W187" s="147" t="s">
        <v>2739</v>
      </c>
      <c r="X187" s="147" t="s">
        <v>179</v>
      </c>
      <c r="Y187" s="147"/>
      <c r="Z187" s="147"/>
      <c r="AA187" s="136">
        <v>5</v>
      </c>
      <c r="AB187" s="139">
        <v>43318</v>
      </c>
      <c r="AC187" s="285">
        <v>43160</v>
      </c>
      <c r="AD187" s="139"/>
      <c r="AE187" s="139" t="s">
        <v>2740</v>
      </c>
      <c r="AF187" s="139"/>
      <c r="AG187" s="139"/>
      <c r="AH187" s="136">
        <f t="shared" si="43"/>
        <v>1</v>
      </c>
      <c r="AI187" s="139"/>
      <c r="AJ187" s="139"/>
      <c r="AK187" s="139"/>
      <c r="AL187" s="139" t="s">
        <v>163</v>
      </c>
      <c r="AM187" s="139"/>
      <c r="AN187" s="139"/>
      <c r="AO187" s="139" t="s">
        <v>164</v>
      </c>
      <c r="AP187" s="139" t="s">
        <v>445</v>
      </c>
      <c r="AQ187" s="139" t="s">
        <v>1440</v>
      </c>
      <c r="AR187" s="139" t="s">
        <v>150</v>
      </c>
      <c r="AS187" s="139"/>
      <c r="AT187" s="421" t="s">
        <v>328</v>
      </c>
      <c r="AU187" s="136" t="s">
        <v>2741</v>
      </c>
      <c r="AV187" s="139"/>
      <c r="AW187" s="141">
        <v>43164</v>
      </c>
      <c r="AX187" s="141">
        <v>43409</v>
      </c>
      <c r="AY187" s="141" t="s">
        <v>150</v>
      </c>
      <c r="AZ187" s="141">
        <v>43615</v>
      </c>
      <c r="BA187" s="141">
        <v>43615</v>
      </c>
      <c r="BB187" s="141"/>
      <c r="BC187" s="141"/>
      <c r="BD187" s="141"/>
      <c r="BE187" s="142" t="s">
        <v>2742</v>
      </c>
      <c r="BF187" s="141">
        <v>44207</v>
      </c>
      <c r="BG187" s="141" t="s">
        <v>150</v>
      </c>
      <c r="BH187" s="141">
        <v>44410</v>
      </c>
      <c r="BI187" s="141" t="s">
        <v>150</v>
      </c>
      <c r="BJ187" s="139"/>
      <c r="BK187" s="139"/>
      <c r="BL187" s="139"/>
      <c r="BM187" s="143">
        <v>44441</v>
      </c>
      <c r="BN187" s="136" t="s">
        <v>16</v>
      </c>
      <c r="BO187" s="136">
        <f t="shared" si="55"/>
        <v>42</v>
      </c>
      <c r="BP187" s="136">
        <f t="shared" si="56"/>
        <v>34</v>
      </c>
      <c r="BQ187" s="136"/>
      <c r="BR187" s="136">
        <v>3</v>
      </c>
      <c r="BS187" s="136">
        <v>3</v>
      </c>
      <c r="BT187" s="136">
        <v>2</v>
      </c>
      <c r="BU187" s="136"/>
      <c r="BV187" s="136"/>
      <c r="BW187" s="136"/>
      <c r="BX187" s="136"/>
      <c r="BY187" s="136" t="s">
        <v>163</v>
      </c>
      <c r="BZ187" s="136"/>
      <c r="CA187" s="136"/>
      <c r="CB187" s="144"/>
      <c r="CC187" s="144"/>
      <c r="CD187" s="136"/>
      <c r="CE187" s="136"/>
      <c r="CF187" s="136"/>
      <c r="CG187" s="136"/>
      <c r="CH187" s="374">
        <v>3</v>
      </c>
      <c r="CI187" s="136">
        <v>3</v>
      </c>
      <c r="CJ187" s="136"/>
      <c r="CK187" s="136" t="s">
        <v>1822</v>
      </c>
      <c r="CL187"/>
    </row>
    <row r="188" spans="1:90" s="53" customFormat="1" ht="24.95" customHeight="1">
      <c r="A188" s="136">
        <v>191</v>
      </c>
      <c r="B188" s="136" t="s">
        <v>2743</v>
      </c>
      <c r="C188" s="136" t="s">
        <v>2744</v>
      </c>
      <c r="D188" s="136" t="s">
        <v>2745</v>
      </c>
      <c r="E188" s="136" t="s">
        <v>289</v>
      </c>
      <c r="F188" s="136" t="s">
        <v>24</v>
      </c>
      <c r="G188" s="136">
        <v>8</v>
      </c>
      <c r="H188" s="136" t="s">
        <v>58</v>
      </c>
      <c r="I188" s="136" t="s">
        <v>45</v>
      </c>
      <c r="J188" s="136" t="s">
        <v>2746</v>
      </c>
      <c r="K188" s="136" t="s">
        <v>602</v>
      </c>
      <c r="L188" s="136" t="s">
        <v>45</v>
      </c>
      <c r="M188" s="136" t="s">
        <v>150</v>
      </c>
      <c r="N188" s="136" t="s">
        <v>2747</v>
      </c>
      <c r="O188" s="136" t="s">
        <v>151</v>
      </c>
      <c r="P188" s="136" t="s">
        <v>151</v>
      </c>
      <c r="Q188" s="136"/>
      <c r="R188" s="136" t="s">
        <v>2748</v>
      </c>
      <c r="S188" s="136" t="s">
        <v>2749</v>
      </c>
      <c r="T188" s="345" t="s">
        <v>2750</v>
      </c>
      <c r="U188" s="139" t="s">
        <v>2751</v>
      </c>
      <c r="V188" s="139">
        <v>28944</v>
      </c>
      <c r="W188" s="147" t="s">
        <v>2752</v>
      </c>
      <c r="X188" s="147" t="s">
        <v>179</v>
      </c>
      <c r="Y188" s="147" t="s">
        <v>163</v>
      </c>
      <c r="Z188" s="147"/>
      <c r="AA188" s="136">
        <v>19</v>
      </c>
      <c r="AB188" s="139">
        <v>43313</v>
      </c>
      <c r="AC188" s="285">
        <v>43160</v>
      </c>
      <c r="AD188" s="139"/>
      <c r="AE188" s="139" t="s">
        <v>2753</v>
      </c>
      <c r="AF188" s="139" t="s">
        <v>2754</v>
      </c>
      <c r="AG188" s="139"/>
      <c r="AH188" s="136">
        <f t="shared" si="43"/>
        <v>2</v>
      </c>
      <c r="AI188" s="139" t="s">
        <v>161</v>
      </c>
      <c r="AJ188" s="139" t="s">
        <v>161</v>
      </c>
      <c r="AK188" s="139"/>
      <c r="AL188" s="139" t="s">
        <v>163</v>
      </c>
      <c r="AM188" s="139" t="s">
        <v>163</v>
      </c>
      <c r="AN188" s="139"/>
      <c r="AO188" s="139" t="s">
        <v>164</v>
      </c>
      <c r="AP188" s="139" t="s">
        <v>203</v>
      </c>
      <c r="AQ188" s="139" t="s">
        <v>203</v>
      </c>
      <c r="AR188" s="139"/>
      <c r="AS188" s="236" t="s">
        <v>2755</v>
      </c>
      <c r="AT188" s="421" t="s">
        <v>372</v>
      </c>
      <c r="AU188" s="136" t="s">
        <v>299</v>
      </c>
      <c r="AV188" s="139"/>
      <c r="AW188" s="141">
        <v>43164</v>
      </c>
      <c r="AX188" s="141">
        <v>43409</v>
      </c>
      <c r="AY188" s="141" t="s">
        <v>150</v>
      </c>
      <c r="AZ188" s="141">
        <v>43531</v>
      </c>
      <c r="BA188" s="141">
        <v>43623</v>
      </c>
      <c r="BB188" s="141"/>
      <c r="BC188" s="141"/>
      <c r="BD188" s="141"/>
      <c r="BE188" s="142" t="s">
        <v>2756</v>
      </c>
      <c r="BF188" s="141">
        <v>44207</v>
      </c>
      <c r="BG188" s="141" t="s">
        <v>150</v>
      </c>
      <c r="BH188" s="141">
        <v>44410</v>
      </c>
      <c r="BI188" s="141" t="s">
        <v>150</v>
      </c>
      <c r="BJ188" s="139"/>
      <c r="BK188" s="139"/>
      <c r="BL188" s="139"/>
      <c r="BM188" s="143">
        <v>45610</v>
      </c>
      <c r="BN188" s="136" t="s">
        <v>16</v>
      </c>
      <c r="BO188" s="136">
        <f t="shared" ref="BO188" si="57">DATEDIF(AW188,BM188, "M")+1</f>
        <v>81</v>
      </c>
      <c r="BP188" s="136">
        <f t="shared" ref="BP188" si="58">DATEDIF(AX188,BM188, "M")+1</f>
        <v>73</v>
      </c>
      <c r="BQ188" s="136" t="s">
        <v>2757</v>
      </c>
      <c r="BR188" s="136">
        <v>2</v>
      </c>
      <c r="BS188" s="136"/>
      <c r="BT188" s="136"/>
      <c r="BU188" s="136"/>
      <c r="BV188" s="136"/>
      <c r="BW188" s="136"/>
      <c r="BX188" s="136"/>
      <c r="BY188" s="136" t="s">
        <v>163</v>
      </c>
      <c r="BZ188" s="136" t="s">
        <v>163</v>
      </c>
      <c r="CA188" s="136"/>
      <c r="CB188" s="144"/>
      <c r="CC188" s="144"/>
      <c r="CD188" s="136"/>
      <c r="CE188" s="136" t="s">
        <v>163</v>
      </c>
      <c r="CF188" s="136"/>
      <c r="CG188" s="136"/>
      <c r="CH188" s="374">
        <v>2</v>
      </c>
      <c r="CI188" s="136"/>
      <c r="CJ188" s="136"/>
      <c r="CK188" s="136" t="s">
        <v>809</v>
      </c>
      <c r="CL188"/>
    </row>
    <row r="189" spans="1:90" s="53" customFormat="1" ht="24.95" customHeight="1">
      <c r="A189" s="136">
        <v>192</v>
      </c>
      <c r="B189" s="136" t="s">
        <v>2758</v>
      </c>
      <c r="C189" s="136" t="s">
        <v>763</v>
      </c>
      <c r="D189" s="136" t="s">
        <v>464</v>
      </c>
      <c r="E189" s="136" t="s">
        <v>1780</v>
      </c>
      <c r="F189" s="136" t="s">
        <v>24</v>
      </c>
      <c r="G189" s="136">
        <v>8</v>
      </c>
      <c r="H189" s="136" t="s">
        <v>52</v>
      </c>
      <c r="I189" s="136" t="s">
        <v>42</v>
      </c>
      <c r="J189" s="136" t="s">
        <v>1175</v>
      </c>
      <c r="K189" s="136" t="s">
        <v>1175</v>
      </c>
      <c r="L189" s="136" t="s">
        <v>42</v>
      </c>
      <c r="M189" s="136" t="s">
        <v>150</v>
      </c>
      <c r="N189" s="136" t="s">
        <v>2759</v>
      </c>
      <c r="O189" s="136" t="s">
        <v>151</v>
      </c>
      <c r="P189" s="136" t="s">
        <v>151</v>
      </c>
      <c r="Q189" s="136"/>
      <c r="R189" s="136" t="s">
        <v>2760</v>
      </c>
      <c r="S189" s="136" t="s">
        <v>2761</v>
      </c>
      <c r="T189" s="346" t="s">
        <v>2762</v>
      </c>
      <c r="U189" s="139" t="s">
        <v>2763</v>
      </c>
      <c r="V189" s="139">
        <v>29223</v>
      </c>
      <c r="W189" s="147" t="s">
        <v>2764</v>
      </c>
      <c r="X189" s="147" t="s">
        <v>2765</v>
      </c>
      <c r="Y189" s="147"/>
      <c r="Z189" s="147"/>
      <c r="AA189" s="136">
        <v>11</v>
      </c>
      <c r="AB189" s="139">
        <v>43466</v>
      </c>
      <c r="AC189" s="285">
        <v>43160</v>
      </c>
      <c r="AD189" s="139"/>
      <c r="AE189" s="139" t="s">
        <v>2766</v>
      </c>
      <c r="AF189" s="139" t="s">
        <v>2767</v>
      </c>
      <c r="AG189" s="139" t="s">
        <v>2768</v>
      </c>
      <c r="AH189" s="136">
        <f t="shared" si="43"/>
        <v>3</v>
      </c>
      <c r="AI189" s="139" t="s">
        <v>161</v>
      </c>
      <c r="AJ189" s="139" t="s">
        <v>161</v>
      </c>
      <c r="AK189" s="139"/>
      <c r="AL189" s="139" t="s">
        <v>150</v>
      </c>
      <c r="AM189" s="139" t="s">
        <v>163</v>
      </c>
      <c r="AN189" s="139"/>
      <c r="AO189" s="139" t="s">
        <v>164</v>
      </c>
      <c r="AP189" s="139" t="s">
        <v>1183</v>
      </c>
      <c r="AQ189" s="139" t="s">
        <v>1183</v>
      </c>
      <c r="AR189" s="139"/>
      <c r="AS189" s="139"/>
      <c r="AT189" s="421" t="s">
        <v>420</v>
      </c>
      <c r="AU189" s="136" t="s">
        <v>2769</v>
      </c>
      <c r="AV189" s="139"/>
      <c r="AW189" s="141">
        <v>43164</v>
      </c>
      <c r="AX189" s="141">
        <v>43409</v>
      </c>
      <c r="AY189" s="141" t="s">
        <v>150</v>
      </c>
      <c r="AZ189" s="141">
        <v>43319</v>
      </c>
      <c r="BA189" s="141">
        <v>43378</v>
      </c>
      <c r="BB189" s="141"/>
      <c r="BC189" s="141"/>
      <c r="BD189" s="141"/>
      <c r="BE189" s="142" t="s">
        <v>2770</v>
      </c>
      <c r="BF189" s="141">
        <v>44207</v>
      </c>
      <c r="BG189" s="141" t="s">
        <v>150</v>
      </c>
      <c r="BH189" s="141">
        <v>44410</v>
      </c>
      <c r="BI189" s="141" t="s">
        <v>150</v>
      </c>
      <c r="BJ189" s="139"/>
      <c r="BK189" s="139"/>
      <c r="BL189" s="139"/>
      <c r="BM189" s="143"/>
      <c r="BN189" s="136" t="s">
        <v>17</v>
      </c>
      <c r="BO189" s="139"/>
      <c r="BP189" s="136"/>
      <c r="BQ189" s="136"/>
      <c r="BR189" s="136">
        <v>1</v>
      </c>
      <c r="BS189" s="136">
        <v>3</v>
      </c>
      <c r="BT189" s="136">
        <v>0</v>
      </c>
      <c r="BU189" s="136"/>
      <c r="BV189" s="136"/>
      <c r="BW189" s="136"/>
      <c r="BX189" s="136"/>
      <c r="BY189" s="136" t="s">
        <v>163</v>
      </c>
      <c r="BZ189" s="136" t="s">
        <v>163</v>
      </c>
      <c r="CA189" s="136"/>
      <c r="CB189" s="144"/>
      <c r="CC189" s="144"/>
      <c r="CD189" s="136"/>
      <c r="CE189" s="136" t="s">
        <v>163</v>
      </c>
      <c r="CF189" s="136"/>
      <c r="CG189" s="136"/>
      <c r="CH189" s="374">
        <v>3</v>
      </c>
      <c r="CI189" s="136"/>
      <c r="CJ189" s="136"/>
      <c r="CK189" s="136" t="s">
        <v>1822</v>
      </c>
      <c r="CL189"/>
    </row>
    <row r="190" spans="1:90" s="53" customFormat="1" ht="24.95" customHeight="1">
      <c r="A190" s="136">
        <v>193</v>
      </c>
      <c r="B190" s="136" t="s">
        <v>2771</v>
      </c>
      <c r="C190" s="136" t="s">
        <v>2772</v>
      </c>
      <c r="D190" s="136" t="s">
        <v>2773</v>
      </c>
      <c r="E190" s="136" t="s">
        <v>2774</v>
      </c>
      <c r="F190" s="136" t="s">
        <v>24</v>
      </c>
      <c r="G190" s="136">
        <v>8</v>
      </c>
      <c r="H190" s="136" t="s">
        <v>54</v>
      </c>
      <c r="I190" s="136" t="s">
        <v>39</v>
      </c>
      <c r="J190" s="136" t="s">
        <v>1421</v>
      </c>
      <c r="K190" s="136" t="s">
        <v>2775</v>
      </c>
      <c r="L190" s="136" t="s">
        <v>45</v>
      </c>
      <c r="M190" s="136" t="s">
        <v>163</v>
      </c>
      <c r="N190" s="136">
        <v>1815816</v>
      </c>
      <c r="O190" s="136"/>
      <c r="P190" s="136" t="s">
        <v>322</v>
      </c>
      <c r="Q190" s="136"/>
      <c r="R190" s="145" t="s">
        <v>2776</v>
      </c>
      <c r="S190" s="427" t="s">
        <v>2777</v>
      </c>
      <c r="T190" s="346" t="s">
        <v>2778</v>
      </c>
      <c r="U190" s="139"/>
      <c r="V190" s="139">
        <v>30273</v>
      </c>
      <c r="W190" s="147" t="s">
        <v>2779</v>
      </c>
      <c r="X190" s="147" t="s">
        <v>156</v>
      </c>
      <c r="Y190" s="147"/>
      <c r="Z190" s="147"/>
      <c r="AA190" s="136">
        <v>7</v>
      </c>
      <c r="AB190" s="139">
        <v>43311</v>
      </c>
      <c r="AC190" s="285">
        <v>43160</v>
      </c>
      <c r="AD190" s="139"/>
      <c r="AE190" s="139" t="s">
        <v>2780</v>
      </c>
      <c r="AF190" s="139"/>
      <c r="AG190" s="139"/>
      <c r="AH190" s="136">
        <f t="shared" si="43"/>
        <v>1</v>
      </c>
      <c r="AI190" s="139" t="s">
        <v>162</v>
      </c>
      <c r="AJ190" s="139"/>
      <c r="AK190" s="139"/>
      <c r="AL190" s="139" t="s">
        <v>150</v>
      </c>
      <c r="AM190" s="139"/>
      <c r="AN190" s="139"/>
      <c r="AO190" s="139" t="s">
        <v>164</v>
      </c>
      <c r="AP190" s="139"/>
      <c r="AQ190" s="139" t="s">
        <v>250</v>
      </c>
      <c r="AR190" s="139" t="s">
        <v>150</v>
      </c>
      <c r="AS190" s="139"/>
      <c r="AT190" s="421" t="s">
        <v>285</v>
      </c>
      <c r="AU190" s="136" t="s">
        <v>2781</v>
      </c>
      <c r="AV190" s="139"/>
      <c r="AW190" s="141">
        <v>43164</v>
      </c>
      <c r="AX190" s="141">
        <v>43409</v>
      </c>
      <c r="AY190" s="141" t="s">
        <v>150</v>
      </c>
      <c r="AZ190" s="141">
        <v>43333</v>
      </c>
      <c r="BA190" s="141">
        <v>43364</v>
      </c>
      <c r="BB190" s="141"/>
      <c r="BC190" s="141"/>
      <c r="BD190" s="141"/>
      <c r="BE190" s="142" t="s">
        <v>2782</v>
      </c>
      <c r="BF190" s="141">
        <v>44207</v>
      </c>
      <c r="BG190" s="141" t="s">
        <v>150</v>
      </c>
      <c r="BH190" s="141">
        <v>44410</v>
      </c>
      <c r="BI190" s="141" t="s">
        <v>150</v>
      </c>
      <c r="BJ190" s="139"/>
      <c r="BK190" s="139"/>
      <c r="BL190" s="139"/>
      <c r="BM190" s="143">
        <v>44741</v>
      </c>
      <c r="BN190" s="136" t="s">
        <v>16</v>
      </c>
      <c r="BO190" s="136">
        <f t="shared" ref="BO190:BO192" si="59">DATEDIF(AW190,BM190, "M")+1</f>
        <v>52</v>
      </c>
      <c r="BP190" s="136">
        <f>DATEDIF(AX190,BM190, "M")+1</f>
        <v>44</v>
      </c>
      <c r="BQ190" s="264" t="s">
        <v>2783</v>
      </c>
      <c r="BR190" s="136">
        <v>2</v>
      </c>
      <c r="BS190" s="136">
        <v>5</v>
      </c>
      <c r="BT190" s="136">
        <v>2</v>
      </c>
      <c r="BU190" s="136"/>
      <c r="BV190" s="136"/>
      <c r="BW190" s="136"/>
      <c r="BX190" s="136"/>
      <c r="BY190" s="136" t="s">
        <v>163</v>
      </c>
      <c r="BZ190" s="136"/>
      <c r="CA190" s="136"/>
      <c r="CB190" s="144"/>
      <c r="CC190" s="144"/>
      <c r="CD190" s="136"/>
      <c r="CE190" s="136"/>
      <c r="CF190" s="136"/>
      <c r="CG190" s="136"/>
      <c r="CH190" s="374">
        <v>2</v>
      </c>
      <c r="CI190" s="136"/>
      <c r="CJ190" s="136"/>
      <c r="CK190" s="136" t="s">
        <v>1822</v>
      </c>
      <c r="CL190"/>
    </row>
    <row r="191" spans="1:90" s="53" customFormat="1" ht="24.95" customHeight="1">
      <c r="A191" s="136">
        <v>194</v>
      </c>
      <c r="B191" s="136" t="s">
        <v>2784</v>
      </c>
      <c r="C191" s="136" t="s">
        <v>2785</v>
      </c>
      <c r="D191" s="136"/>
      <c r="E191" s="136" t="s">
        <v>2786</v>
      </c>
      <c r="F191" s="136" t="s">
        <v>25</v>
      </c>
      <c r="G191" s="136">
        <v>8</v>
      </c>
      <c r="H191" s="136" t="s">
        <v>55</v>
      </c>
      <c r="I191" s="136" t="s">
        <v>43</v>
      </c>
      <c r="J191" s="136" t="s">
        <v>2787</v>
      </c>
      <c r="K191" s="136" t="s">
        <v>2788</v>
      </c>
      <c r="L191" s="136" t="s">
        <v>43</v>
      </c>
      <c r="M191" s="136" t="s">
        <v>150</v>
      </c>
      <c r="N191" s="136"/>
      <c r="O191" s="136" t="s">
        <v>151</v>
      </c>
      <c r="P191" s="136" t="s">
        <v>151</v>
      </c>
      <c r="Q191" s="136"/>
      <c r="R191" s="136" t="s">
        <v>2789</v>
      </c>
      <c r="S191" s="136" t="s">
        <v>2790</v>
      </c>
      <c r="T191" s="345" t="s">
        <v>2791</v>
      </c>
      <c r="U191" s="139" t="s">
        <v>2788</v>
      </c>
      <c r="V191" s="139">
        <v>28915</v>
      </c>
      <c r="W191" s="147" t="s">
        <v>2792</v>
      </c>
      <c r="X191" s="147" t="s">
        <v>2379</v>
      </c>
      <c r="Y191" s="147" t="s">
        <v>157</v>
      </c>
      <c r="Z191" s="147"/>
      <c r="AA191" s="136">
        <v>12</v>
      </c>
      <c r="AB191" s="139">
        <v>43344</v>
      </c>
      <c r="AC191" s="285">
        <v>43160</v>
      </c>
      <c r="AD191" s="139"/>
      <c r="AE191" s="139" t="s">
        <v>2793</v>
      </c>
      <c r="AF191" s="139"/>
      <c r="AG191" s="139"/>
      <c r="AH191" s="136">
        <f>COUNTA(AE191:AG191)</f>
        <v>1</v>
      </c>
      <c r="AI191" s="139" t="s">
        <v>161</v>
      </c>
      <c r="AJ191" s="139"/>
      <c r="AK191" s="139"/>
      <c r="AL191" s="139" t="s">
        <v>150</v>
      </c>
      <c r="AM191" s="139"/>
      <c r="AN191" s="139"/>
      <c r="AO191" s="139" t="s">
        <v>164</v>
      </c>
      <c r="AP191" s="139" t="s">
        <v>2794</v>
      </c>
      <c r="AQ191" s="139" t="s">
        <v>217</v>
      </c>
      <c r="AR191" s="139" t="s">
        <v>150</v>
      </c>
      <c r="AS191" s="139"/>
      <c r="AT191" s="421" t="s">
        <v>219</v>
      </c>
      <c r="AU191" s="136" t="s">
        <v>2795</v>
      </c>
      <c r="AV191" s="139"/>
      <c r="AW191" s="141">
        <v>43164</v>
      </c>
      <c r="AX191" s="141">
        <v>43409</v>
      </c>
      <c r="AY191" s="141" t="s">
        <v>150</v>
      </c>
      <c r="AZ191" s="141">
        <v>43252</v>
      </c>
      <c r="BA191" s="141">
        <v>43132</v>
      </c>
      <c r="BB191" s="141"/>
      <c r="BC191" s="141"/>
      <c r="BD191" s="141"/>
      <c r="BE191" s="142" t="s">
        <v>2796</v>
      </c>
      <c r="BF191" s="141">
        <v>44207</v>
      </c>
      <c r="BG191" s="141" t="s">
        <v>150</v>
      </c>
      <c r="BH191" s="141">
        <v>44410</v>
      </c>
      <c r="BI191" s="141" t="s">
        <v>150</v>
      </c>
      <c r="BJ191" s="139"/>
      <c r="BK191" s="139"/>
      <c r="BL191" s="139"/>
      <c r="BM191" s="143">
        <v>45247</v>
      </c>
      <c r="BN191" s="136" t="s">
        <v>16</v>
      </c>
      <c r="BO191" s="238"/>
      <c r="BP191" s="136"/>
      <c r="BQ191" s="136"/>
      <c r="BR191" s="136">
        <v>9</v>
      </c>
      <c r="BS191" s="136">
        <v>57</v>
      </c>
      <c r="BT191" s="136">
        <v>0</v>
      </c>
      <c r="BU191" s="136"/>
      <c r="BV191" s="136"/>
      <c r="BW191" s="136"/>
      <c r="BX191" s="136"/>
      <c r="BY191" s="136" t="s">
        <v>163</v>
      </c>
      <c r="BZ191" s="136" t="s">
        <v>163</v>
      </c>
      <c r="CA191" s="136"/>
      <c r="CB191" s="144"/>
      <c r="CC191" s="144"/>
      <c r="CD191" s="136"/>
      <c r="CE191" s="136" t="s">
        <v>163</v>
      </c>
      <c r="CF191" s="136"/>
      <c r="CG191" s="136"/>
      <c r="CH191" s="374">
        <v>2</v>
      </c>
      <c r="CI191" s="136"/>
      <c r="CJ191" s="136"/>
      <c r="CK191" s="136" t="s">
        <v>1822</v>
      </c>
      <c r="CL191"/>
    </row>
    <row r="192" spans="1:90" s="53" customFormat="1" ht="24.95" customHeight="1">
      <c r="A192" s="136">
        <v>195</v>
      </c>
      <c r="B192" s="136" t="s">
        <v>2797</v>
      </c>
      <c r="C192" s="136" t="s">
        <v>2798</v>
      </c>
      <c r="D192" s="136" t="s">
        <v>2799</v>
      </c>
      <c r="E192" s="136" t="s">
        <v>2800</v>
      </c>
      <c r="F192" s="136" t="s">
        <v>24</v>
      </c>
      <c r="G192" s="136">
        <v>8</v>
      </c>
      <c r="H192" s="136" t="s">
        <v>54</v>
      </c>
      <c r="I192" s="136" t="s">
        <v>31</v>
      </c>
      <c r="J192" s="136" t="s">
        <v>2801</v>
      </c>
      <c r="K192" s="136" t="s">
        <v>2802</v>
      </c>
      <c r="L192" s="136" t="s">
        <v>45</v>
      </c>
      <c r="M192" s="136" t="s">
        <v>163</v>
      </c>
      <c r="N192" s="136">
        <v>2113374</v>
      </c>
      <c r="O192" s="136"/>
      <c r="P192" s="136" t="s">
        <v>151</v>
      </c>
      <c r="Q192" s="136"/>
      <c r="R192" s="136" t="s">
        <v>2803</v>
      </c>
      <c r="S192" s="136" t="s">
        <v>2804</v>
      </c>
      <c r="T192" s="346" t="s">
        <v>2805</v>
      </c>
      <c r="U192" s="139"/>
      <c r="V192" s="139">
        <v>28332</v>
      </c>
      <c r="W192" s="147" t="s">
        <v>2806</v>
      </c>
      <c r="X192" s="147" t="s">
        <v>2498</v>
      </c>
      <c r="Y192" s="147"/>
      <c r="Z192" s="147"/>
      <c r="AA192" s="136">
        <v>9</v>
      </c>
      <c r="AB192" s="139">
        <v>43261</v>
      </c>
      <c r="AC192" s="285">
        <v>43160</v>
      </c>
      <c r="AD192" s="139"/>
      <c r="AE192" s="139" t="s">
        <v>2807</v>
      </c>
      <c r="AF192" s="139" t="s">
        <v>2808</v>
      </c>
      <c r="AG192" s="139" t="s">
        <v>2809</v>
      </c>
      <c r="AH192" s="136">
        <f t="shared" ref="AH192:AH197" si="60">COUNTA(AE192:AG192)</f>
        <v>3</v>
      </c>
      <c r="AI192" s="139" t="s">
        <v>162</v>
      </c>
      <c r="AJ192" s="139" t="s">
        <v>162</v>
      </c>
      <c r="AK192" s="139"/>
      <c r="AL192" s="139" t="s">
        <v>150</v>
      </c>
      <c r="AM192" s="139" t="s">
        <v>163</v>
      </c>
      <c r="AN192" s="139" t="s">
        <v>163</v>
      </c>
      <c r="AO192" s="139" t="s">
        <v>164</v>
      </c>
      <c r="AP192" s="139" t="s">
        <v>203</v>
      </c>
      <c r="AQ192" s="139" t="s">
        <v>250</v>
      </c>
      <c r="AR192" s="139"/>
      <c r="AS192" s="139"/>
      <c r="AT192" s="421" t="s">
        <v>328</v>
      </c>
      <c r="AU192" s="136" t="s">
        <v>2810</v>
      </c>
      <c r="AV192" s="139"/>
      <c r="AW192" s="141">
        <v>43164</v>
      </c>
      <c r="AX192" s="141">
        <v>43409</v>
      </c>
      <c r="AY192" s="141" t="s">
        <v>150</v>
      </c>
      <c r="AZ192" s="141">
        <v>44169</v>
      </c>
      <c r="BA192" s="141">
        <v>44124</v>
      </c>
      <c r="BB192" s="141"/>
      <c r="BC192" s="141"/>
      <c r="BD192" s="141"/>
      <c r="BE192" s="142" t="s">
        <v>2811</v>
      </c>
      <c r="BF192" s="141">
        <v>44207</v>
      </c>
      <c r="BG192" s="141" t="s">
        <v>150</v>
      </c>
      <c r="BH192" s="141">
        <v>44410</v>
      </c>
      <c r="BI192" s="141" t="s">
        <v>150</v>
      </c>
      <c r="BJ192" s="139"/>
      <c r="BK192" s="139"/>
      <c r="BL192" s="139"/>
      <c r="BM192" s="143">
        <v>45498</v>
      </c>
      <c r="BN192" s="136" t="s">
        <v>16</v>
      </c>
      <c r="BO192" s="136">
        <f t="shared" si="59"/>
        <v>77</v>
      </c>
      <c r="BP192" s="136">
        <f>DATEDIF(AX192,BM192, "M")+1</f>
        <v>69</v>
      </c>
      <c r="BQ192" s="264" t="s">
        <v>2812</v>
      </c>
      <c r="BR192" s="136">
        <v>1</v>
      </c>
      <c r="BS192" s="136">
        <v>5</v>
      </c>
      <c r="BT192" s="136">
        <v>0</v>
      </c>
      <c r="BU192" s="136"/>
      <c r="BV192" s="136"/>
      <c r="BW192" s="136"/>
      <c r="BX192" s="136"/>
      <c r="BY192" s="136" t="s">
        <v>163</v>
      </c>
      <c r="BZ192" s="136"/>
      <c r="CA192" s="136"/>
      <c r="CB192" s="144"/>
      <c r="CC192" s="144"/>
      <c r="CD192" s="136"/>
      <c r="CE192" s="136"/>
      <c r="CF192" s="136"/>
      <c r="CG192" s="136"/>
      <c r="CH192" s="374"/>
      <c r="CI192" s="136"/>
      <c r="CJ192" s="136"/>
      <c r="CK192" s="136" t="s">
        <v>1822</v>
      </c>
      <c r="CL192"/>
    </row>
    <row r="193" spans="1:90" s="53" customFormat="1" ht="24.95" customHeight="1">
      <c r="A193" s="91">
        <v>196</v>
      </c>
      <c r="B193" s="91" t="s">
        <v>2813</v>
      </c>
      <c r="C193" s="91" t="s">
        <v>2814</v>
      </c>
      <c r="D193" s="91" t="s">
        <v>2815</v>
      </c>
      <c r="E193" s="91" t="s">
        <v>2816</v>
      </c>
      <c r="F193" s="91" t="s">
        <v>25</v>
      </c>
      <c r="G193" s="91">
        <v>8</v>
      </c>
      <c r="H193" s="91" t="s">
        <v>53</v>
      </c>
      <c r="I193" s="91" t="s">
        <v>46</v>
      </c>
      <c r="J193" s="91" t="s">
        <v>2289</v>
      </c>
      <c r="K193" s="91" t="s">
        <v>2817</v>
      </c>
      <c r="L193" s="91" t="s">
        <v>44</v>
      </c>
      <c r="M193" s="91" t="s">
        <v>150</v>
      </c>
      <c r="N193" s="91"/>
      <c r="O193" s="91"/>
      <c r="P193" s="91" t="s">
        <v>151</v>
      </c>
      <c r="Q193" s="91"/>
      <c r="R193" s="91" t="s">
        <v>2818</v>
      </c>
      <c r="S193" s="91" t="s">
        <v>2819</v>
      </c>
      <c r="T193" s="341" t="s">
        <v>2820</v>
      </c>
      <c r="U193" s="92"/>
      <c r="V193" s="92">
        <v>29109</v>
      </c>
      <c r="W193" s="164" t="s">
        <v>2821</v>
      </c>
      <c r="X193" s="164"/>
      <c r="Y193" s="164"/>
      <c r="Z193" s="164"/>
      <c r="AA193" s="91">
        <v>12</v>
      </c>
      <c r="AB193" s="92">
        <v>43284</v>
      </c>
      <c r="AC193" s="281">
        <v>43160</v>
      </c>
      <c r="AD193" s="92">
        <v>44398</v>
      </c>
      <c r="AE193" s="92" t="s">
        <v>2822</v>
      </c>
      <c r="AF193" s="92"/>
      <c r="AG193" s="92"/>
      <c r="AH193" s="91">
        <f t="shared" si="60"/>
        <v>1</v>
      </c>
      <c r="AI193" s="92" t="s">
        <v>161</v>
      </c>
      <c r="AJ193" s="92"/>
      <c r="AK193" s="92"/>
      <c r="AL193" s="92" t="s">
        <v>150</v>
      </c>
      <c r="AM193" s="92"/>
      <c r="AN193" s="92"/>
      <c r="AO193" s="92" t="s">
        <v>164</v>
      </c>
      <c r="AP193" s="92"/>
      <c r="AQ193" s="92"/>
      <c r="AR193" s="92"/>
      <c r="AS193" s="92"/>
      <c r="AT193" s="400" t="s">
        <v>298</v>
      </c>
      <c r="AU193" s="91" t="s">
        <v>2823</v>
      </c>
      <c r="AV193" s="92"/>
      <c r="AW193" s="93">
        <v>43164</v>
      </c>
      <c r="AX193" s="93">
        <v>43409</v>
      </c>
      <c r="AY193" s="93" t="s">
        <v>150</v>
      </c>
      <c r="AZ193" s="93">
        <v>44099</v>
      </c>
      <c r="BA193" s="93">
        <v>44122</v>
      </c>
      <c r="BB193" s="93"/>
      <c r="BC193" s="93"/>
      <c r="BD193" s="93"/>
      <c r="BE193" s="94"/>
      <c r="BF193" s="93"/>
      <c r="BG193" s="93"/>
      <c r="BH193" s="93"/>
      <c r="BI193" s="93"/>
      <c r="BJ193" s="92"/>
      <c r="BK193" s="92"/>
      <c r="BL193" s="92"/>
      <c r="BM193" s="109"/>
      <c r="BN193" s="91" t="s">
        <v>18</v>
      </c>
      <c r="BO193" s="265"/>
      <c r="BP193" s="265"/>
      <c r="BQ193" s="91"/>
      <c r="BR193" s="91">
        <v>0</v>
      </c>
      <c r="BS193" s="91"/>
      <c r="BT193" s="91"/>
      <c r="BU193" s="91"/>
      <c r="BV193" s="91"/>
      <c r="BW193" s="91"/>
      <c r="BX193" s="91"/>
      <c r="BY193" s="91" t="s">
        <v>163</v>
      </c>
      <c r="BZ193" s="91"/>
      <c r="CA193" s="91"/>
      <c r="CB193" s="95"/>
      <c r="CC193" s="95"/>
      <c r="CD193" s="91"/>
      <c r="CE193" s="91"/>
      <c r="CF193" s="91"/>
      <c r="CG193" s="91"/>
      <c r="CH193" s="113"/>
      <c r="CI193" s="91"/>
      <c r="CJ193" s="91"/>
      <c r="CK193" s="91" t="s">
        <v>1822</v>
      </c>
      <c r="CL193"/>
    </row>
    <row r="194" spans="1:90" s="53" customFormat="1" ht="24.95" customHeight="1">
      <c r="A194" s="91">
        <v>197</v>
      </c>
      <c r="B194" s="91" t="s">
        <v>2824</v>
      </c>
      <c r="C194" s="91" t="s">
        <v>2825</v>
      </c>
      <c r="D194" s="91" t="s">
        <v>2826</v>
      </c>
      <c r="E194" s="91" t="s">
        <v>2827</v>
      </c>
      <c r="F194" s="91" t="s">
        <v>24</v>
      </c>
      <c r="G194" s="91">
        <v>8</v>
      </c>
      <c r="H194" s="91" t="s">
        <v>60</v>
      </c>
      <c r="I194" s="91" t="s">
        <v>35</v>
      </c>
      <c r="J194" s="91" t="s">
        <v>602</v>
      </c>
      <c r="K194" s="91" t="s">
        <v>2828</v>
      </c>
      <c r="L194" s="91"/>
      <c r="M194" s="91" t="s">
        <v>163</v>
      </c>
      <c r="N194" s="91"/>
      <c r="O194" s="91"/>
      <c r="P194" s="91" t="s">
        <v>322</v>
      </c>
      <c r="Q194" s="91"/>
      <c r="R194" s="91" t="s">
        <v>2829</v>
      </c>
      <c r="S194" s="91" t="s">
        <v>2830</v>
      </c>
      <c r="T194" s="353" t="s">
        <v>2831</v>
      </c>
      <c r="U194" s="92"/>
      <c r="V194" s="92">
        <v>26666</v>
      </c>
      <c r="W194" s="164" t="s">
        <v>2832</v>
      </c>
      <c r="X194" s="164"/>
      <c r="Y194" s="164"/>
      <c r="Z194" s="164"/>
      <c r="AA194" s="91">
        <v>14</v>
      </c>
      <c r="AB194" s="92">
        <v>43343</v>
      </c>
      <c r="AC194" s="281">
        <v>43160</v>
      </c>
      <c r="AD194" s="92">
        <v>44651</v>
      </c>
      <c r="AE194" s="92" t="s">
        <v>2833</v>
      </c>
      <c r="AF194" s="92" t="s">
        <v>1136</v>
      </c>
      <c r="AG194" s="92"/>
      <c r="AH194" s="91">
        <f t="shared" si="60"/>
        <v>2</v>
      </c>
      <c r="AI194" s="92" t="s">
        <v>161</v>
      </c>
      <c r="AJ194" s="92" t="s">
        <v>161</v>
      </c>
      <c r="AK194" s="92"/>
      <c r="AL194" s="92" t="s">
        <v>163</v>
      </c>
      <c r="AM194" s="92"/>
      <c r="AN194" s="92"/>
      <c r="AO194" s="92" t="s">
        <v>164</v>
      </c>
      <c r="AP194" s="92"/>
      <c r="AQ194" s="92"/>
      <c r="AR194" s="92"/>
      <c r="AS194" s="92"/>
      <c r="AT194" s="400" t="s">
        <v>580</v>
      </c>
      <c r="AU194" s="91" t="s">
        <v>2834</v>
      </c>
      <c r="AV194" s="92"/>
      <c r="AW194" s="93">
        <v>43164</v>
      </c>
      <c r="AX194" s="93">
        <v>43409</v>
      </c>
      <c r="AY194" s="93" t="s">
        <v>150</v>
      </c>
      <c r="AZ194" s="93"/>
      <c r="BA194" s="93"/>
      <c r="BB194" s="93"/>
      <c r="BC194" s="93"/>
      <c r="BD194" s="93"/>
      <c r="BE194" s="94"/>
      <c r="BF194" s="93"/>
      <c r="BG194" s="93"/>
      <c r="BH194" s="93"/>
      <c r="BI194" s="93"/>
      <c r="BJ194" s="92"/>
      <c r="BK194" s="92"/>
      <c r="BL194" s="92"/>
      <c r="BM194" s="109"/>
      <c r="BN194" s="91" t="s">
        <v>18</v>
      </c>
      <c r="BO194" s="265"/>
      <c r="BP194" s="265"/>
      <c r="BQ194" s="91"/>
      <c r="BR194" s="91">
        <v>4</v>
      </c>
      <c r="BS194" s="91"/>
      <c r="BT194" s="91"/>
      <c r="BU194" s="91"/>
      <c r="BV194" s="91"/>
      <c r="BW194" s="91"/>
      <c r="BX194" s="91"/>
      <c r="BY194" s="91" t="s">
        <v>163</v>
      </c>
      <c r="BZ194" s="91"/>
      <c r="CA194" s="91"/>
      <c r="CB194" s="95"/>
      <c r="CC194" s="95"/>
      <c r="CD194" s="91"/>
      <c r="CE194" s="91"/>
      <c r="CF194" s="91"/>
      <c r="CG194" s="91"/>
      <c r="CH194" s="113"/>
      <c r="CI194" s="91"/>
      <c r="CJ194" s="91"/>
      <c r="CK194" s="91" t="s">
        <v>1822</v>
      </c>
      <c r="CL194"/>
    </row>
    <row r="195" spans="1:90" s="53" customFormat="1" ht="24.95" customHeight="1">
      <c r="A195" s="136">
        <v>198</v>
      </c>
      <c r="B195" s="136" t="s">
        <v>2835</v>
      </c>
      <c r="C195" s="136" t="s">
        <v>2836</v>
      </c>
      <c r="D195" s="136" t="s">
        <v>2837</v>
      </c>
      <c r="E195" s="136" t="s">
        <v>2838</v>
      </c>
      <c r="F195" s="136" t="s">
        <v>25</v>
      </c>
      <c r="G195" s="136">
        <v>8</v>
      </c>
      <c r="H195" s="136" t="s">
        <v>54</v>
      </c>
      <c r="I195" s="136" t="s">
        <v>31</v>
      </c>
      <c r="J195" s="136" t="s">
        <v>602</v>
      </c>
      <c r="K195" s="136" t="s">
        <v>2241</v>
      </c>
      <c r="L195" s="136" t="s">
        <v>31</v>
      </c>
      <c r="M195" s="136" t="s">
        <v>150</v>
      </c>
      <c r="N195" s="136"/>
      <c r="O195" s="136"/>
      <c r="P195" s="136" t="s">
        <v>151</v>
      </c>
      <c r="Q195" s="136"/>
      <c r="R195" s="387" t="s">
        <v>2839</v>
      </c>
      <c r="S195" s="136" t="s">
        <v>2840</v>
      </c>
      <c r="T195" s="345" t="s">
        <v>2841</v>
      </c>
      <c r="U195" s="139"/>
      <c r="V195" s="139">
        <v>28488</v>
      </c>
      <c r="W195" s="147" t="s">
        <v>2842</v>
      </c>
      <c r="X195" s="147" t="s">
        <v>156</v>
      </c>
      <c r="Y195" s="147"/>
      <c r="Z195" s="147"/>
      <c r="AA195" s="136">
        <v>2</v>
      </c>
      <c r="AB195" s="139">
        <v>43405</v>
      </c>
      <c r="AC195" s="285">
        <v>43160</v>
      </c>
      <c r="AD195" s="139"/>
      <c r="AE195" s="139" t="s">
        <v>2843</v>
      </c>
      <c r="AF195" s="139" t="s">
        <v>2844</v>
      </c>
      <c r="AG195" s="139"/>
      <c r="AH195" s="136">
        <f t="shared" si="60"/>
        <v>2</v>
      </c>
      <c r="AI195" s="139"/>
      <c r="AJ195" s="139" t="s">
        <v>161</v>
      </c>
      <c r="AK195" s="139"/>
      <c r="AL195" s="139" t="s">
        <v>150</v>
      </c>
      <c r="AM195" s="139" t="s">
        <v>150</v>
      </c>
      <c r="AN195" s="139"/>
      <c r="AO195" s="139" t="s">
        <v>164</v>
      </c>
      <c r="AP195" s="139"/>
      <c r="AQ195" s="139" t="s">
        <v>2845</v>
      </c>
      <c r="AR195" s="139"/>
      <c r="AS195" s="139"/>
      <c r="AT195" s="421" t="s">
        <v>328</v>
      </c>
      <c r="AU195" s="136" t="s">
        <v>2846</v>
      </c>
      <c r="AV195" s="139"/>
      <c r="AW195" s="141">
        <v>43164</v>
      </c>
      <c r="AX195" s="141">
        <v>43409</v>
      </c>
      <c r="AY195" s="141" t="s">
        <v>150</v>
      </c>
      <c r="AZ195" s="141">
        <v>43833</v>
      </c>
      <c r="BA195" s="141">
        <v>43857</v>
      </c>
      <c r="BB195" s="141"/>
      <c r="BC195" s="141"/>
      <c r="BD195" s="141"/>
      <c r="BE195" s="142" t="s">
        <v>2847</v>
      </c>
      <c r="BF195" s="141">
        <v>44207</v>
      </c>
      <c r="BG195" s="141" t="s">
        <v>150</v>
      </c>
      <c r="BH195" s="141">
        <v>44410</v>
      </c>
      <c r="BI195" s="141" t="s">
        <v>150</v>
      </c>
      <c r="BJ195" s="139"/>
      <c r="BK195" s="139"/>
      <c r="BL195" s="139"/>
      <c r="BM195" s="143"/>
      <c r="BN195" s="136" t="s">
        <v>17</v>
      </c>
      <c r="BO195" s="238"/>
      <c r="BP195" s="238"/>
      <c r="BQ195" s="136"/>
      <c r="BR195" s="136">
        <v>5</v>
      </c>
      <c r="BS195" s="136">
        <v>12</v>
      </c>
      <c r="BT195" s="136">
        <v>0</v>
      </c>
      <c r="BU195" s="136"/>
      <c r="BV195" s="136"/>
      <c r="BW195" s="136"/>
      <c r="BX195" s="136"/>
      <c r="BY195" s="136" t="s">
        <v>163</v>
      </c>
      <c r="BZ195" s="136"/>
      <c r="CA195" s="136"/>
      <c r="CB195" s="144"/>
      <c r="CC195" s="144"/>
      <c r="CD195" s="136"/>
      <c r="CE195" s="136"/>
      <c r="CF195" s="136"/>
      <c r="CG195" s="136"/>
      <c r="CH195" s="374"/>
      <c r="CI195" s="136"/>
      <c r="CJ195" s="136"/>
      <c r="CK195" s="136" t="s">
        <v>1822</v>
      </c>
      <c r="CL195"/>
    </row>
    <row r="196" spans="1:90" s="53" customFormat="1" ht="24.95" customHeight="1">
      <c r="A196" s="136">
        <v>199</v>
      </c>
      <c r="B196" s="136" t="s">
        <v>2848</v>
      </c>
      <c r="C196" s="136" t="s">
        <v>2221</v>
      </c>
      <c r="D196" s="136"/>
      <c r="E196" s="136" t="s">
        <v>2849</v>
      </c>
      <c r="F196" s="136" t="s">
        <v>24</v>
      </c>
      <c r="G196" s="136">
        <v>8</v>
      </c>
      <c r="H196" s="136" t="s">
        <v>52</v>
      </c>
      <c r="I196" s="136" t="s">
        <v>37</v>
      </c>
      <c r="J196" s="136" t="s">
        <v>2850</v>
      </c>
      <c r="K196" s="136" t="s">
        <v>2851</v>
      </c>
      <c r="L196" s="136" t="s">
        <v>45</v>
      </c>
      <c r="M196" s="136" t="s">
        <v>163</v>
      </c>
      <c r="N196" s="136">
        <v>1540298</v>
      </c>
      <c r="O196" s="136" t="s">
        <v>322</v>
      </c>
      <c r="P196" s="136" t="s">
        <v>322</v>
      </c>
      <c r="Q196" s="136"/>
      <c r="R196" s="387" t="s">
        <v>2852</v>
      </c>
      <c r="S196" s="136" t="s">
        <v>2853</v>
      </c>
      <c r="T196" s="346" t="s">
        <v>2854</v>
      </c>
      <c r="U196" s="139" t="s">
        <v>2855</v>
      </c>
      <c r="V196" s="139">
        <v>31614</v>
      </c>
      <c r="W196" s="147" t="s">
        <v>2856</v>
      </c>
      <c r="X196" s="147" t="s">
        <v>179</v>
      </c>
      <c r="Y196" s="147" t="s">
        <v>163</v>
      </c>
      <c r="Z196" s="147"/>
      <c r="AA196" s="136">
        <v>15</v>
      </c>
      <c r="AB196" s="139">
        <v>43346</v>
      </c>
      <c r="AC196" s="285">
        <v>43160</v>
      </c>
      <c r="AD196" s="139"/>
      <c r="AE196" s="139" t="s">
        <v>2857</v>
      </c>
      <c r="AF196" s="139" t="s">
        <v>2310</v>
      </c>
      <c r="AG196" s="139"/>
      <c r="AH196" s="136">
        <f t="shared" si="60"/>
        <v>2</v>
      </c>
      <c r="AI196" s="139" t="s">
        <v>162</v>
      </c>
      <c r="AJ196" s="139" t="s">
        <v>161</v>
      </c>
      <c r="AK196" s="139"/>
      <c r="AL196" s="139" t="s">
        <v>163</v>
      </c>
      <c r="AM196" s="139" t="s">
        <v>163</v>
      </c>
      <c r="AN196" s="139"/>
      <c r="AO196" s="139" t="s">
        <v>182</v>
      </c>
      <c r="AP196" s="139" t="s">
        <v>2858</v>
      </c>
      <c r="AQ196" s="139" t="s">
        <v>2859</v>
      </c>
      <c r="AR196" s="139"/>
      <c r="AS196" s="139"/>
      <c r="AT196" s="421" t="s">
        <v>204</v>
      </c>
      <c r="AU196" s="136" t="s">
        <v>2860</v>
      </c>
      <c r="AV196" s="139"/>
      <c r="AW196" s="141">
        <v>43164</v>
      </c>
      <c r="AX196" s="141">
        <v>43409</v>
      </c>
      <c r="AY196" s="141" t="s">
        <v>150</v>
      </c>
      <c r="AZ196" s="141">
        <v>43607</v>
      </c>
      <c r="BA196" s="141">
        <v>43941</v>
      </c>
      <c r="BB196" s="141"/>
      <c r="BC196" s="141"/>
      <c r="BD196" s="141"/>
      <c r="BE196" s="142" t="s">
        <v>2861</v>
      </c>
      <c r="BF196" s="141">
        <v>44207</v>
      </c>
      <c r="BG196" s="141" t="s">
        <v>150</v>
      </c>
      <c r="BH196" s="141">
        <v>44410</v>
      </c>
      <c r="BI196" s="141" t="s">
        <v>150</v>
      </c>
      <c r="BJ196" s="139"/>
      <c r="BK196" s="139"/>
      <c r="BL196" s="139"/>
      <c r="BM196" s="143">
        <v>45701</v>
      </c>
      <c r="BN196" s="136" t="s">
        <v>16</v>
      </c>
      <c r="BO196" s="238"/>
      <c r="BP196" s="238"/>
      <c r="BQ196" s="136" t="s">
        <v>2862</v>
      </c>
      <c r="BR196" s="136">
        <v>1</v>
      </c>
      <c r="BS196" s="136">
        <v>8</v>
      </c>
      <c r="BT196" s="136">
        <v>0</v>
      </c>
      <c r="BU196" s="136"/>
      <c r="BV196" s="136"/>
      <c r="BW196" s="136"/>
      <c r="BX196" s="136"/>
      <c r="BY196" s="136" t="s">
        <v>163</v>
      </c>
      <c r="BZ196" s="136" t="s">
        <v>163</v>
      </c>
      <c r="CA196" s="136" t="s">
        <v>2863</v>
      </c>
      <c r="CB196" s="144"/>
      <c r="CC196" s="144"/>
      <c r="CD196" s="136"/>
      <c r="CE196" s="136" t="s">
        <v>163</v>
      </c>
      <c r="CF196" s="136"/>
      <c r="CG196" s="136"/>
      <c r="CH196" s="374">
        <v>1</v>
      </c>
      <c r="CI196" s="136"/>
      <c r="CJ196" s="136"/>
      <c r="CK196" s="136" t="s">
        <v>809</v>
      </c>
      <c r="CL196"/>
    </row>
    <row r="197" spans="1:90" s="53" customFormat="1" ht="25.5" customHeight="1">
      <c r="A197" s="136">
        <v>200</v>
      </c>
      <c r="B197" s="136" t="s">
        <v>2864</v>
      </c>
      <c r="C197" s="136" t="s">
        <v>2865</v>
      </c>
      <c r="D197" s="136" t="s">
        <v>2866</v>
      </c>
      <c r="E197" s="136" t="s">
        <v>2867</v>
      </c>
      <c r="F197" s="136" t="s">
        <v>24</v>
      </c>
      <c r="G197" s="136">
        <v>8</v>
      </c>
      <c r="H197" s="136" t="s">
        <v>52</v>
      </c>
      <c r="I197" s="136" t="s">
        <v>37</v>
      </c>
      <c r="J197" s="136" t="s">
        <v>2868</v>
      </c>
      <c r="K197" s="136" t="s">
        <v>2869</v>
      </c>
      <c r="L197" s="136" t="s">
        <v>42</v>
      </c>
      <c r="M197" s="136" t="s">
        <v>163</v>
      </c>
      <c r="N197" s="136">
        <v>10104312016</v>
      </c>
      <c r="O197" s="136"/>
      <c r="P197" s="136" t="s">
        <v>151</v>
      </c>
      <c r="Q197" s="136"/>
      <c r="R197" s="136" t="s">
        <v>2870</v>
      </c>
      <c r="S197" s="145" t="s">
        <v>2871</v>
      </c>
      <c r="T197" s="345" t="s">
        <v>2872</v>
      </c>
      <c r="U197" s="139"/>
      <c r="V197" s="139">
        <v>31356</v>
      </c>
      <c r="W197" s="147" t="s">
        <v>2873</v>
      </c>
      <c r="X197" s="147" t="s">
        <v>179</v>
      </c>
      <c r="Y197" s="147"/>
      <c r="Z197" s="147"/>
      <c r="AA197" s="136">
        <v>41</v>
      </c>
      <c r="AB197" s="139">
        <v>42594</v>
      </c>
      <c r="AC197" s="285">
        <v>43160</v>
      </c>
      <c r="AD197" s="139"/>
      <c r="AE197" s="139" t="s">
        <v>2874</v>
      </c>
      <c r="AF197" s="139" t="s">
        <v>2875</v>
      </c>
      <c r="AG197" s="139"/>
      <c r="AH197" s="136">
        <f t="shared" si="60"/>
        <v>2</v>
      </c>
      <c r="AI197" s="139" t="s">
        <v>162</v>
      </c>
      <c r="AJ197" s="139" t="s">
        <v>162</v>
      </c>
      <c r="AK197" s="139"/>
      <c r="AL197" s="139" t="s">
        <v>163</v>
      </c>
      <c r="AM197" s="139"/>
      <c r="AN197" s="139"/>
      <c r="AO197" s="139" t="s">
        <v>164</v>
      </c>
      <c r="AP197" s="139" t="s">
        <v>181</v>
      </c>
      <c r="AQ197" s="139" t="s">
        <v>181</v>
      </c>
      <c r="AR197" s="139"/>
      <c r="AS197" s="139"/>
      <c r="AT197" s="421" t="s">
        <v>204</v>
      </c>
      <c r="AU197" s="136" t="s">
        <v>2876</v>
      </c>
      <c r="AV197" s="139"/>
      <c r="AW197" s="141">
        <v>43164</v>
      </c>
      <c r="AX197" s="141">
        <v>43409</v>
      </c>
      <c r="AY197" s="141" t="s">
        <v>150</v>
      </c>
      <c r="AZ197" s="141">
        <v>43714</v>
      </c>
      <c r="BA197" s="141">
        <v>43927</v>
      </c>
      <c r="BB197" s="141"/>
      <c r="BC197" s="141"/>
      <c r="BD197" s="141"/>
      <c r="BE197" s="142" t="s">
        <v>2877</v>
      </c>
      <c r="BF197" s="141">
        <v>44207</v>
      </c>
      <c r="BG197" s="141" t="s">
        <v>150</v>
      </c>
      <c r="BH197" s="141">
        <v>44410</v>
      </c>
      <c r="BI197" s="141" t="s">
        <v>150</v>
      </c>
      <c r="BJ197" s="139"/>
      <c r="BK197" s="139"/>
      <c r="BL197" s="139"/>
      <c r="BM197" s="143"/>
      <c r="BN197" s="136" t="s">
        <v>17</v>
      </c>
      <c r="BO197" s="238"/>
      <c r="BP197" s="238"/>
      <c r="BQ197" s="136"/>
      <c r="BR197" s="136">
        <v>3</v>
      </c>
      <c r="BS197" s="136"/>
      <c r="BT197" s="136"/>
      <c r="BU197" s="136"/>
      <c r="BV197" s="136"/>
      <c r="BW197" s="136"/>
      <c r="BX197" s="136"/>
      <c r="BY197" s="136" t="s">
        <v>163</v>
      </c>
      <c r="BZ197" s="136"/>
      <c r="CA197" s="136"/>
      <c r="CB197" s="144"/>
      <c r="CC197" s="144"/>
      <c r="CD197" s="136"/>
      <c r="CE197" s="136"/>
      <c r="CF197" s="136"/>
      <c r="CG197" s="136"/>
      <c r="CH197" s="374"/>
      <c r="CI197" s="136"/>
      <c r="CJ197" s="136"/>
      <c r="CK197" s="136" t="s">
        <v>809</v>
      </c>
      <c r="CL197"/>
    </row>
    <row r="198" spans="1:90" s="53" customFormat="1" ht="24.95" customHeight="1">
      <c r="A198" s="96">
        <v>201</v>
      </c>
      <c r="B198" s="96" t="s">
        <v>2878</v>
      </c>
      <c r="C198" s="96" t="s">
        <v>2879</v>
      </c>
      <c r="D198" s="96" t="s">
        <v>2880</v>
      </c>
      <c r="E198" s="96" t="s">
        <v>2881</v>
      </c>
      <c r="F198" s="96" t="s">
        <v>25</v>
      </c>
      <c r="G198" s="96">
        <v>9</v>
      </c>
      <c r="H198" s="96" t="s">
        <v>53</v>
      </c>
      <c r="I198" s="96" t="s">
        <v>46</v>
      </c>
      <c r="J198" s="96" t="s">
        <v>2882</v>
      </c>
      <c r="K198" s="96" t="s">
        <v>2883</v>
      </c>
      <c r="L198" s="96" t="s">
        <v>44</v>
      </c>
      <c r="M198" s="96" t="s">
        <v>150</v>
      </c>
      <c r="N198" s="96"/>
      <c r="O198" s="96" t="s">
        <v>151</v>
      </c>
      <c r="P198" s="96" t="s">
        <v>151</v>
      </c>
      <c r="Q198" s="96"/>
      <c r="R198" s="96" t="s">
        <v>2884</v>
      </c>
      <c r="S198" s="96" t="s">
        <v>2885</v>
      </c>
      <c r="T198" s="196" t="s">
        <v>2886</v>
      </c>
      <c r="U198" s="97"/>
      <c r="V198" s="97">
        <v>31152</v>
      </c>
      <c r="W198" s="105" t="s">
        <v>2887</v>
      </c>
      <c r="X198" s="105" t="s">
        <v>2888</v>
      </c>
      <c r="Y198" s="105"/>
      <c r="Z198" s="105"/>
      <c r="AA198" s="96">
        <v>14</v>
      </c>
      <c r="AB198" s="97">
        <v>43709</v>
      </c>
      <c r="AC198" s="282">
        <v>43525</v>
      </c>
      <c r="AD198" s="97"/>
      <c r="AE198" s="97" t="s">
        <v>2889</v>
      </c>
      <c r="AF198" s="97" t="s">
        <v>2890</v>
      </c>
      <c r="AG198" s="97"/>
      <c r="AH198" s="96">
        <f>COUNTA(AE198:AG198)</f>
        <v>2</v>
      </c>
      <c r="AI198" s="97" t="s">
        <v>161</v>
      </c>
      <c r="AJ198" s="97" t="s">
        <v>161</v>
      </c>
      <c r="AK198" s="97"/>
      <c r="AL198" s="97" t="s">
        <v>163</v>
      </c>
      <c r="AM198" s="97" t="s">
        <v>150</v>
      </c>
      <c r="AN198" s="97"/>
      <c r="AO198" s="97" t="s">
        <v>182</v>
      </c>
      <c r="AP198" s="97" t="s">
        <v>2891</v>
      </c>
      <c r="AQ198" s="97" t="s">
        <v>2892</v>
      </c>
      <c r="AR198" s="97" t="s">
        <v>150</v>
      </c>
      <c r="AS198" s="97"/>
      <c r="AT198" s="401" t="s">
        <v>298</v>
      </c>
      <c r="AU198" s="96" t="s">
        <v>2893</v>
      </c>
      <c r="AV198" s="97"/>
      <c r="AW198" s="99">
        <v>43528</v>
      </c>
      <c r="AX198" s="99">
        <v>43770</v>
      </c>
      <c r="AY198" s="99" t="s">
        <v>150</v>
      </c>
      <c r="AZ198" s="99">
        <v>43815</v>
      </c>
      <c r="BA198" s="99">
        <v>43808</v>
      </c>
      <c r="BB198" s="99"/>
      <c r="BC198" s="99"/>
      <c r="BD198" s="99"/>
      <c r="BE198" s="100" t="s">
        <v>2894</v>
      </c>
      <c r="BF198" s="99">
        <v>44470</v>
      </c>
      <c r="BG198" s="99" t="s">
        <v>150</v>
      </c>
      <c r="BH198" s="99">
        <v>44732</v>
      </c>
      <c r="BI198" s="99" t="s">
        <v>150</v>
      </c>
      <c r="BJ198" s="97">
        <v>45197</v>
      </c>
      <c r="BK198" s="97"/>
      <c r="BL198" s="97"/>
      <c r="BM198" s="101">
        <v>45337</v>
      </c>
      <c r="BN198" s="96" t="s">
        <v>16</v>
      </c>
      <c r="BO198" s="96">
        <f t="shared" ref="BO198:BO203" si="61">DATEDIF(AW198,BM198, "M")+1</f>
        <v>60</v>
      </c>
      <c r="BP198" s="266">
        <f t="shared" ref="BP198:BP200" si="62">DATEDIF(AX198,BM198, "M")+1</f>
        <v>52</v>
      </c>
      <c r="BQ198" s="96"/>
      <c r="BR198" s="96">
        <v>0</v>
      </c>
      <c r="BS198" s="96">
        <v>5</v>
      </c>
      <c r="BT198" s="96"/>
      <c r="BU198" s="96"/>
      <c r="BV198" s="96"/>
      <c r="BW198" s="96"/>
      <c r="BX198" s="96"/>
      <c r="BY198" s="96" t="s">
        <v>163</v>
      </c>
      <c r="BZ198" s="96"/>
      <c r="CA198" s="96"/>
      <c r="CB198" s="103"/>
      <c r="CC198" s="103"/>
      <c r="CD198" s="96"/>
      <c r="CE198" s="96"/>
      <c r="CF198" s="96"/>
      <c r="CG198" s="96"/>
      <c r="CH198" s="371">
        <v>2</v>
      </c>
      <c r="CI198" s="96"/>
      <c r="CJ198" s="96"/>
      <c r="CK198" s="96" t="s">
        <v>1822</v>
      </c>
      <c r="CL198"/>
    </row>
    <row r="199" spans="1:90" s="53" customFormat="1" ht="24.95" customHeight="1">
      <c r="A199" s="96">
        <v>202</v>
      </c>
      <c r="B199" s="96" t="s">
        <v>2895</v>
      </c>
      <c r="C199" s="96" t="s">
        <v>2896</v>
      </c>
      <c r="D199" s="96" t="s">
        <v>2897</v>
      </c>
      <c r="E199" s="96" t="s">
        <v>2898</v>
      </c>
      <c r="F199" s="96" t="s">
        <v>25</v>
      </c>
      <c r="G199" s="96">
        <v>9</v>
      </c>
      <c r="H199" s="96" t="s">
        <v>54</v>
      </c>
      <c r="I199" s="96" t="s">
        <v>39</v>
      </c>
      <c r="J199" s="96" t="s">
        <v>602</v>
      </c>
      <c r="K199" s="96" t="s">
        <v>602</v>
      </c>
      <c r="L199" s="96" t="s">
        <v>45</v>
      </c>
      <c r="M199" s="96" t="s">
        <v>163</v>
      </c>
      <c r="N199" s="197">
        <v>1507128</v>
      </c>
      <c r="O199" s="197" t="s">
        <v>151</v>
      </c>
      <c r="P199" s="96" t="s">
        <v>151</v>
      </c>
      <c r="Q199" s="96"/>
      <c r="R199" s="96" t="s">
        <v>2899</v>
      </c>
      <c r="S199" s="96" t="s">
        <v>2900</v>
      </c>
      <c r="T199" s="196" t="s">
        <v>2901</v>
      </c>
      <c r="U199" s="97" t="s">
        <v>2902</v>
      </c>
      <c r="V199" s="97">
        <v>28764</v>
      </c>
      <c r="W199" s="105" t="s">
        <v>2903</v>
      </c>
      <c r="X199" s="105" t="s">
        <v>179</v>
      </c>
      <c r="Y199" s="105" t="s">
        <v>163</v>
      </c>
      <c r="Z199" s="105"/>
      <c r="AA199" s="96">
        <v>21</v>
      </c>
      <c r="AB199" s="97">
        <v>43837</v>
      </c>
      <c r="AC199" s="282">
        <v>43525</v>
      </c>
      <c r="AD199" s="97"/>
      <c r="AE199" s="97" t="s">
        <v>2904</v>
      </c>
      <c r="AF199" s="97"/>
      <c r="AG199" s="97"/>
      <c r="AH199" s="96">
        <f t="shared" ref="AH199:AH221" si="63">COUNTA(AE199:AG199)</f>
        <v>1</v>
      </c>
      <c r="AI199" s="97" t="s">
        <v>2905</v>
      </c>
      <c r="AJ199" s="97"/>
      <c r="AK199" s="97"/>
      <c r="AL199" s="97" t="s">
        <v>150</v>
      </c>
      <c r="AM199" s="97"/>
      <c r="AN199" s="97"/>
      <c r="AO199" s="97" t="s">
        <v>182</v>
      </c>
      <c r="AP199" s="97" t="s">
        <v>2202</v>
      </c>
      <c r="AQ199" s="97" t="s">
        <v>2906</v>
      </c>
      <c r="AR199" s="97" t="s">
        <v>150</v>
      </c>
      <c r="AS199" s="97"/>
      <c r="AT199" s="401" t="s">
        <v>285</v>
      </c>
      <c r="AU199" s="96" t="s">
        <v>2907</v>
      </c>
      <c r="AV199" s="97"/>
      <c r="AW199" s="99">
        <v>43528</v>
      </c>
      <c r="AX199" s="99">
        <v>43770</v>
      </c>
      <c r="AY199" s="99" t="s">
        <v>150</v>
      </c>
      <c r="AZ199" s="99">
        <v>44057</v>
      </c>
      <c r="BA199" s="99">
        <v>44319</v>
      </c>
      <c r="BB199" s="99"/>
      <c r="BC199" s="99"/>
      <c r="BD199" s="99"/>
      <c r="BE199" s="100" t="s">
        <v>2908</v>
      </c>
      <c r="BF199" s="99">
        <v>44470</v>
      </c>
      <c r="BG199" s="99" t="s">
        <v>150</v>
      </c>
      <c r="BH199" s="99">
        <v>44732</v>
      </c>
      <c r="BI199" s="99" t="s">
        <v>150</v>
      </c>
      <c r="BJ199" s="97"/>
      <c r="BK199" s="97"/>
      <c r="BL199" s="97"/>
      <c r="BM199" s="101">
        <v>45202</v>
      </c>
      <c r="BN199" s="96" t="s">
        <v>16</v>
      </c>
      <c r="BO199" s="96">
        <f t="shared" si="61"/>
        <v>55</v>
      </c>
      <c r="BP199" s="266">
        <f t="shared" si="62"/>
        <v>48</v>
      </c>
      <c r="BQ199" s="266" t="s">
        <v>2909</v>
      </c>
      <c r="BR199" s="96">
        <v>7</v>
      </c>
      <c r="BS199" s="96">
        <v>8</v>
      </c>
      <c r="BT199" s="96"/>
      <c r="BU199" s="96"/>
      <c r="BV199" s="96"/>
      <c r="BW199" s="96"/>
      <c r="BX199" s="96"/>
      <c r="BY199" s="96" t="s">
        <v>163</v>
      </c>
      <c r="BZ199" s="96"/>
      <c r="CA199" s="96"/>
      <c r="CB199" s="103"/>
      <c r="CC199" s="103"/>
      <c r="CD199" s="96"/>
      <c r="CE199" s="96" t="s">
        <v>163</v>
      </c>
      <c r="CF199" s="96"/>
      <c r="CG199" s="96"/>
      <c r="CH199" s="371">
        <v>3</v>
      </c>
      <c r="CI199" s="96"/>
      <c r="CJ199" s="96"/>
      <c r="CK199" s="96" t="s">
        <v>1822</v>
      </c>
      <c r="CL199"/>
    </row>
    <row r="200" spans="1:90" s="53" customFormat="1" ht="24.95" customHeight="1">
      <c r="A200" s="96">
        <v>203</v>
      </c>
      <c r="B200" s="96" t="s">
        <v>2910</v>
      </c>
      <c r="C200" s="96" t="s">
        <v>2911</v>
      </c>
      <c r="D200" s="96" t="s">
        <v>2912</v>
      </c>
      <c r="E200" s="96" t="s">
        <v>2913</v>
      </c>
      <c r="F200" s="96" t="s">
        <v>24</v>
      </c>
      <c r="G200" s="96">
        <v>9</v>
      </c>
      <c r="H200" s="96" t="s">
        <v>58</v>
      </c>
      <c r="I200" s="96" t="s">
        <v>45</v>
      </c>
      <c r="J200" s="96" t="s">
        <v>2914</v>
      </c>
      <c r="K200" s="96" t="s">
        <v>2914</v>
      </c>
      <c r="L200" s="96" t="s">
        <v>45</v>
      </c>
      <c r="M200" s="96" t="s">
        <v>150</v>
      </c>
      <c r="N200" s="96">
        <v>161842</v>
      </c>
      <c r="O200" s="96" t="s">
        <v>322</v>
      </c>
      <c r="P200" s="96" t="s">
        <v>322</v>
      </c>
      <c r="Q200" s="96"/>
      <c r="R200" s="318" t="s">
        <v>2915</v>
      </c>
      <c r="S200" s="318" t="s">
        <v>2916</v>
      </c>
      <c r="T200" s="196" t="s">
        <v>2917</v>
      </c>
      <c r="U200" s="97"/>
      <c r="V200" s="97">
        <v>33162</v>
      </c>
      <c r="W200" s="105" t="s">
        <v>2918</v>
      </c>
      <c r="X200" s="105" t="s">
        <v>2888</v>
      </c>
      <c r="Y200" s="105"/>
      <c r="Z200" s="105"/>
      <c r="AA200" s="96">
        <v>33</v>
      </c>
      <c r="AB200" s="97">
        <v>43242</v>
      </c>
      <c r="AC200" s="282">
        <v>43525</v>
      </c>
      <c r="AD200" s="97"/>
      <c r="AE200" s="97" t="s">
        <v>2919</v>
      </c>
      <c r="AF200" s="97"/>
      <c r="AG200" s="97"/>
      <c r="AH200" s="96">
        <f t="shared" si="63"/>
        <v>1</v>
      </c>
      <c r="AI200" s="97" t="s">
        <v>161</v>
      </c>
      <c r="AJ200" s="97"/>
      <c r="AK200" s="97"/>
      <c r="AL200" s="97" t="s">
        <v>150</v>
      </c>
      <c r="AM200" s="97"/>
      <c r="AN200" s="97"/>
      <c r="AO200" s="97" t="s">
        <v>164</v>
      </c>
      <c r="AP200" s="97"/>
      <c r="AQ200" s="97" t="s">
        <v>165</v>
      </c>
      <c r="AR200" s="97"/>
      <c r="AS200" s="97"/>
      <c r="AT200" s="401" t="s">
        <v>372</v>
      </c>
      <c r="AU200" s="96" t="s">
        <v>2920</v>
      </c>
      <c r="AV200" s="97"/>
      <c r="AW200" s="99">
        <v>43528</v>
      </c>
      <c r="AX200" s="99">
        <v>43770</v>
      </c>
      <c r="AY200" s="99" t="s">
        <v>150</v>
      </c>
      <c r="AZ200" s="99">
        <v>43775</v>
      </c>
      <c r="BA200" s="99">
        <v>43693</v>
      </c>
      <c r="BB200" s="99"/>
      <c r="BC200" s="99"/>
      <c r="BD200" s="99"/>
      <c r="BE200" s="100" t="s">
        <v>2921</v>
      </c>
      <c r="BF200" s="99">
        <v>44470</v>
      </c>
      <c r="BG200" s="99" t="s">
        <v>150</v>
      </c>
      <c r="BH200" s="99">
        <v>45110</v>
      </c>
      <c r="BI200" s="99" t="s">
        <v>163</v>
      </c>
      <c r="BJ200" s="97">
        <v>44678</v>
      </c>
      <c r="BK200" s="97"/>
      <c r="BL200" s="97"/>
      <c r="BM200" s="101">
        <v>44851</v>
      </c>
      <c r="BN200" s="96" t="s">
        <v>16</v>
      </c>
      <c r="BO200" s="96">
        <f t="shared" si="61"/>
        <v>44</v>
      </c>
      <c r="BP200" s="266">
        <f t="shared" si="62"/>
        <v>36</v>
      </c>
      <c r="BQ200" s="266" t="s">
        <v>2922</v>
      </c>
      <c r="BR200" s="96">
        <v>0</v>
      </c>
      <c r="BS200" s="96">
        <v>5</v>
      </c>
      <c r="BT200" s="96"/>
      <c r="BU200" s="96"/>
      <c r="BV200" s="96"/>
      <c r="BW200" s="96"/>
      <c r="BX200" s="96"/>
      <c r="BY200" s="96" t="s">
        <v>163</v>
      </c>
      <c r="BZ200" s="96"/>
      <c r="CA200" s="96"/>
      <c r="CB200" s="103"/>
      <c r="CC200" s="103"/>
      <c r="CD200" s="96"/>
      <c r="CE200" s="96"/>
      <c r="CF200" s="96"/>
      <c r="CG200" s="96"/>
      <c r="CH200" s="371">
        <v>0</v>
      </c>
      <c r="CI200" s="96"/>
      <c r="CJ200" s="96"/>
      <c r="CK200" s="96" t="s">
        <v>1822</v>
      </c>
      <c r="CL200"/>
    </row>
    <row r="201" spans="1:90" s="53" customFormat="1" ht="24.95" customHeight="1">
      <c r="A201" s="96">
        <v>204</v>
      </c>
      <c r="B201" s="96" t="s">
        <v>2923</v>
      </c>
      <c r="C201" s="96" t="s">
        <v>2924</v>
      </c>
      <c r="D201" s="96"/>
      <c r="E201" s="96" t="s">
        <v>2925</v>
      </c>
      <c r="F201" s="96" t="s">
        <v>25</v>
      </c>
      <c r="G201" s="96">
        <v>9</v>
      </c>
      <c r="H201" s="96" t="s">
        <v>55</v>
      </c>
      <c r="I201" s="96" t="s">
        <v>43</v>
      </c>
      <c r="J201" s="96" t="s">
        <v>2926</v>
      </c>
      <c r="K201" s="96" t="s">
        <v>2926</v>
      </c>
      <c r="L201" s="96" t="s">
        <v>43</v>
      </c>
      <c r="M201" s="96" t="s">
        <v>150</v>
      </c>
      <c r="N201" s="96">
        <v>217303134</v>
      </c>
      <c r="O201" s="96" t="s">
        <v>151</v>
      </c>
      <c r="P201" s="96" t="s">
        <v>151</v>
      </c>
      <c r="Q201" s="96"/>
      <c r="R201" s="96" t="s">
        <v>2927</v>
      </c>
      <c r="S201" s="96" t="s">
        <v>2928</v>
      </c>
      <c r="T201" s="196" t="s">
        <v>2929</v>
      </c>
      <c r="U201" s="97" t="s">
        <v>2930</v>
      </c>
      <c r="V201" s="97">
        <v>29580</v>
      </c>
      <c r="W201" s="105" t="s">
        <v>2931</v>
      </c>
      <c r="X201" s="105" t="s">
        <v>2379</v>
      </c>
      <c r="Y201" s="105" t="s">
        <v>163</v>
      </c>
      <c r="Z201" s="105"/>
      <c r="AA201" s="96">
        <v>21</v>
      </c>
      <c r="AB201" s="97">
        <v>43709</v>
      </c>
      <c r="AC201" s="282">
        <v>43525</v>
      </c>
      <c r="AD201" s="97"/>
      <c r="AE201" s="97" t="s">
        <v>2932</v>
      </c>
      <c r="AF201" s="97"/>
      <c r="AG201" s="97"/>
      <c r="AH201" s="96">
        <f t="shared" si="63"/>
        <v>1</v>
      </c>
      <c r="AI201" s="97" t="s">
        <v>2933</v>
      </c>
      <c r="AJ201" s="97"/>
      <c r="AK201" s="97"/>
      <c r="AL201" s="97" t="s">
        <v>150</v>
      </c>
      <c r="AM201" s="97"/>
      <c r="AN201" s="97"/>
      <c r="AO201" s="97" t="s">
        <v>164</v>
      </c>
      <c r="AP201" s="97" t="s">
        <v>203</v>
      </c>
      <c r="AQ201" s="97" t="s">
        <v>203</v>
      </c>
      <c r="AR201" s="97" t="s">
        <v>163</v>
      </c>
      <c r="AS201" s="104" t="s">
        <v>2934</v>
      </c>
      <c r="AT201" s="401" t="s">
        <v>219</v>
      </c>
      <c r="AU201" s="96" t="s">
        <v>2935</v>
      </c>
      <c r="AV201" s="97"/>
      <c r="AW201" s="99">
        <v>43528</v>
      </c>
      <c r="AX201" s="99">
        <v>43770</v>
      </c>
      <c r="AY201" s="99" t="s">
        <v>150</v>
      </c>
      <c r="AZ201" s="99">
        <v>44266</v>
      </c>
      <c r="BA201" s="99">
        <v>44270</v>
      </c>
      <c r="BB201" s="99"/>
      <c r="BC201" s="99"/>
      <c r="BD201" s="99"/>
      <c r="BE201" s="100" t="s">
        <v>2936</v>
      </c>
      <c r="BF201" s="99">
        <v>44470</v>
      </c>
      <c r="BG201" s="99" t="s">
        <v>150</v>
      </c>
      <c r="BH201" s="99">
        <v>44732</v>
      </c>
      <c r="BI201" s="99" t="s">
        <v>150</v>
      </c>
      <c r="BJ201" s="97"/>
      <c r="BK201" s="97"/>
      <c r="BL201" s="97"/>
      <c r="BM201" s="101">
        <v>45916</v>
      </c>
      <c r="BN201" s="96" t="s">
        <v>16</v>
      </c>
      <c r="BO201" s="96">
        <f t="shared" si="61"/>
        <v>79</v>
      </c>
      <c r="BP201" s="266">
        <f t="shared" ref="BP201" si="64">DATEDIF(AX201,BM201, "M")+1</f>
        <v>71</v>
      </c>
      <c r="BQ201" s="266"/>
      <c r="BR201" s="96"/>
      <c r="BS201" s="96"/>
      <c r="BT201" s="96"/>
      <c r="BU201" s="96"/>
      <c r="BV201" s="96"/>
      <c r="BW201" s="96"/>
      <c r="BX201" s="96"/>
      <c r="BY201" s="96" t="s">
        <v>163</v>
      </c>
      <c r="BZ201" s="96"/>
      <c r="CA201" s="96"/>
      <c r="CB201" s="103"/>
      <c r="CC201" s="103"/>
      <c r="CD201" s="96"/>
      <c r="CE201" s="96"/>
      <c r="CF201" s="96"/>
      <c r="CG201" s="96"/>
      <c r="CH201" s="371">
        <v>2</v>
      </c>
      <c r="CI201" s="96"/>
      <c r="CJ201" s="96"/>
      <c r="CK201" s="96" t="s">
        <v>1822</v>
      </c>
      <c r="CL201"/>
    </row>
    <row r="202" spans="1:90" s="53" customFormat="1" ht="24.95" customHeight="1">
      <c r="A202" s="96">
        <v>205</v>
      </c>
      <c r="B202" s="96" t="s">
        <v>2937</v>
      </c>
      <c r="C202" s="96" t="s">
        <v>2938</v>
      </c>
      <c r="D202" s="96"/>
      <c r="E202" s="96" t="s">
        <v>2939</v>
      </c>
      <c r="F202" s="96" t="s">
        <v>24</v>
      </c>
      <c r="G202" s="96">
        <v>9</v>
      </c>
      <c r="H202" s="96" t="s">
        <v>55</v>
      </c>
      <c r="I202" s="96" t="s">
        <v>43</v>
      </c>
      <c r="J202" s="96" t="s">
        <v>1421</v>
      </c>
      <c r="K202" s="96" t="s">
        <v>2013</v>
      </c>
      <c r="L202" s="96" t="s">
        <v>45</v>
      </c>
      <c r="M202" s="96" t="s">
        <v>163</v>
      </c>
      <c r="N202" s="96">
        <v>2394319</v>
      </c>
      <c r="O202" s="96" t="s">
        <v>151</v>
      </c>
      <c r="P202" s="96" t="s">
        <v>151</v>
      </c>
      <c r="Q202" s="96"/>
      <c r="R202" s="318" t="s">
        <v>2940</v>
      </c>
      <c r="S202" s="318" t="s">
        <v>2941</v>
      </c>
      <c r="T202" s="196" t="s">
        <v>2942</v>
      </c>
      <c r="U202" s="97" t="s">
        <v>2943</v>
      </c>
      <c r="V202" s="97">
        <v>27760</v>
      </c>
      <c r="W202" s="105" t="s">
        <v>2944</v>
      </c>
      <c r="X202" s="105" t="s">
        <v>2379</v>
      </c>
      <c r="Y202" s="105" t="s">
        <v>150</v>
      </c>
      <c r="Z202" s="105"/>
      <c r="AA202" s="96">
        <v>8</v>
      </c>
      <c r="AB202" s="97">
        <v>43840</v>
      </c>
      <c r="AC202" s="282">
        <v>43525</v>
      </c>
      <c r="AD202" s="97"/>
      <c r="AE202" s="97" t="s">
        <v>2945</v>
      </c>
      <c r="AF202" s="97"/>
      <c r="AG202" s="97"/>
      <c r="AH202" s="96">
        <f t="shared" si="63"/>
        <v>1</v>
      </c>
      <c r="AI202" s="97" t="s">
        <v>162</v>
      </c>
      <c r="AJ202" s="97"/>
      <c r="AK202" s="97"/>
      <c r="AL202" s="97" t="s">
        <v>150</v>
      </c>
      <c r="AM202" s="97"/>
      <c r="AN202" s="97"/>
      <c r="AO202" s="97" t="s">
        <v>164</v>
      </c>
      <c r="AP202" s="97" t="s">
        <v>203</v>
      </c>
      <c r="AQ202" s="97" t="s">
        <v>203</v>
      </c>
      <c r="AR202" s="97" t="s">
        <v>163</v>
      </c>
      <c r="AS202" s="97"/>
      <c r="AT202" s="401" t="s">
        <v>219</v>
      </c>
      <c r="AU202" s="96" t="s">
        <v>2946</v>
      </c>
      <c r="AV202" s="97"/>
      <c r="AW202" s="99">
        <v>43528</v>
      </c>
      <c r="AX202" s="99">
        <v>43770</v>
      </c>
      <c r="AY202" s="99" t="s">
        <v>150</v>
      </c>
      <c r="AZ202" s="99">
        <v>44166</v>
      </c>
      <c r="BA202" s="99">
        <v>44228</v>
      </c>
      <c r="BB202" s="99"/>
      <c r="BC202" s="99"/>
      <c r="BD202" s="99"/>
      <c r="BE202" s="100" t="s">
        <v>2947</v>
      </c>
      <c r="BF202" s="99">
        <v>44470</v>
      </c>
      <c r="BG202" s="99" t="s">
        <v>150</v>
      </c>
      <c r="BH202" s="99">
        <v>44732</v>
      </c>
      <c r="BI202" s="99" t="s">
        <v>150</v>
      </c>
      <c r="BJ202" s="97">
        <v>44986</v>
      </c>
      <c r="BK202" s="97"/>
      <c r="BL202" s="97"/>
      <c r="BM202" s="101">
        <v>45240</v>
      </c>
      <c r="BN202" s="96" t="s">
        <v>16</v>
      </c>
      <c r="BO202" s="96">
        <f t="shared" si="61"/>
        <v>57</v>
      </c>
      <c r="BP202" s="266">
        <f>DATEDIF(AX202,BM202, "M")+1</f>
        <v>49</v>
      </c>
      <c r="BQ202" s="266" t="s">
        <v>2948</v>
      </c>
      <c r="BR202" s="96">
        <v>1</v>
      </c>
      <c r="BS202" s="96">
        <v>1</v>
      </c>
      <c r="BT202" s="96"/>
      <c r="BU202" s="96"/>
      <c r="BV202" s="96"/>
      <c r="BW202" s="96"/>
      <c r="BX202" s="96"/>
      <c r="BY202" s="96" t="s">
        <v>163</v>
      </c>
      <c r="BZ202" s="96"/>
      <c r="CA202" s="96"/>
      <c r="CB202" s="103"/>
      <c r="CC202" s="103"/>
      <c r="CD202" s="96"/>
      <c r="CE202" s="96"/>
      <c r="CF202" s="96"/>
      <c r="CG202" s="96"/>
      <c r="CH202" s="371">
        <v>3</v>
      </c>
      <c r="CI202" s="96"/>
      <c r="CJ202" s="96"/>
      <c r="CK202" s="96" t="s">
        <v>1822</v>
      </c>
      <c r="CL202"/>
    </row>
    <row r="203" spans="1:90" s="53" customFormat="1" ht="24.95" customHeight="1">
      <c r="A203" s="96">
        <v>206</v>
      </c>
      <c r="B203" s="96" t="s">
        <v>2949</v>
      </c>
      <c r="C203" s="96" t="s">
        <v>2950</v>
      </c>
      <c r="D203" s="96" t="s">
        <v>2951</v>
      </c>
      <c r="E203" s="96" t="s">
        <v>2952</v>
      </c>
      <c r="F203" s="96" t="s">
        <v>24</v>
      </c>
      <c r="G203" s="96">
        <v>9</v>
      </c>
      <c r="H203" s="96" t="s">
        <v>52</v>
      </c>
      <c r="I203" s="96" t="s">
        <v>42</v>
      </c>
      <c r="J203" s="96" t="s">
        <v>2953</v>
      </c>
      <c r="K203" s="96" t="s">
        <v>2954</v>
      </c>
      <c r="L203" s="96" t="s">
        <v>42</v>
      </c>
      <c r="M203" s="96" t="s">
        <v>150</v>
      </c>
      <c r="N203" s="96" t="s">
        <v>2955</v>
      </c>
      <c r="O203" s="96" t="s">
        <v>322</v>
      </c>
      <c r="P203" s="96" t="s">
        <v>322</v>
      </c>
      <c r="Q203" s="96"/>
      <c r="R203" s="96" t="s">
        <v>2956</v>
      </c>
      <c r="S203" s="96" t="s">
        <v>2957</v>
      </c>
      <c r="T203" s="196" t="s">
        <v>2958</v>
      </c>
      <c r="U203" s="97" t="s">
        <v>2959</v>
      </c>
      <c r="V203" s="97">
        <v>28925</v>
      </c>
      <c r="W203" s="105" t="s">
        <v>2960</v>
      </c>
      <c r="X203" s="105" t="s">
        <v>2379</v>
      </c>
      <c r="Y203" s="105" t="s">
        <v>157</v>
      </c>
      <c r="Z203" s="105"/>
      <c r="AA203" s="96">
        <v>12</v>
      </c>
      <c r="AB203" s="97">
        <v>43442</v>
      </c>
      <c r="AC203" s="282">
        <v>43525</v>
      </c>
      <c r="AD203" s="97"/>
      <c r="AE203" s="313" t="s">
        <v>2961</v>
      </c>
      <c r="AF203" s="97" t="s">
        <v>2962</v>
      </c>
      <c r="AG203" s="313" t="s">
        <v>2963</v>
      </c>
      <c r="AH203" s="96">
        <f t="shared" si="63"/>
        <v>3</v>
      </c>
      <c r="AI203" s="97" t="s">
        <v>161</v>
      </c>
      <c r="AJ203" s="97" t="s">
        <v>161</v>
      </c>
      <c r="AK203" s="97" t="s">
        <v>202</v>
      </c>
      <c r="AL203" s="97" t="s">
        <v>150</v>
      </c>
      <c r="AM203" s="97" t="s">
        <v>163</v>
      </c>
      <c r="AN203" s="97" t="s">
        <v>163</v>
      </c>
      <c r="AO203" s="97" t="s">
        <v>202</v>
      </c>
      <c r="AP203" s="97" t="s">
        <v>2964</v>
      </c>
      <c r="AQ203" s="97" t="s">
        <v>2965</v>
      </c>
      <c r="AR203" s="97" t="s">
        <v>150</v>
      </c>
      <c r="AS203" s="104" t="s">
        <v>2966</v>
      </c>
      <c r="AT203" s="401" t="s">
        <v>2967</v>
      </c>
      <c r="AU203" s="96" t="s">
        <v>2968</v>
      </c>
      <c r="AV203" s="97"/>
      <c r="AW203" s="99">
        <v>43528</v>
      </c>
      <c r="AX203" s="99">
        <v>43770</v>
      </c>
      <c r="AY203" s="99" t="s">
        <v>150</v>
      </c>
      <c r="AZ203" s="99">
        <v>43411</v>
      </c>
      <c r="BA203" s="99">
        <v>43768</v>
      </c>
      <c r="BB203" s="99"/>
      <c r="BC203" s="99"/>
      <c r="BD203" s="99"/>
      <c r="BE203" s="100" t="s">
        <v>2969</v>
      </c>
      <c r="BF203" s="99">
        <v>44470</v>
      </c>
      <c r="BG203" s="99" t="s">
        <v>150</v>
      </c>
      <c r="BH203" s="99">
        <v>44732</v>
      </c>
      <c r="BI203" s="99" t="s">
        <v>150</v>
      </c>
      <c r="BJ203" s="97"/>
      <c r="BK203" s="97">
        <v>45694</v>
      </c>
      <c r="BL203" s="97"/>
      <c r="BM203" s="101">
        <v>45702</v>
      </c>
      <c r="BN203" s="96" t="s">
        <v>16</v>
      </c>
      <c r="BO203" s="220">
        <f t="shared" si="61"/>
        <v>72</v>
      </c>
      <c r="BP203" s="266">
        <f>DATEDIF(AX203,BM203, "M")+1</f>
        <v>64</v>
      </c>
      <c r="BQ203" s="96"/>
      <c r="BR203" s="96">
        <v>3</v>
      </c>
      <c r="BS203" s="96">
        <v>0</v>
      </c>
      <c r="BT203" s="96"/>
      <c r="BU203" s="96"/>
      <c r="BV203" s="96"/>
      <c r="BW203" s="96"/>
      <c r="BX203" s="96"/>
      <c r="BY203" s="96" t="s">
        <v>163</v>
      </c>
      <c r="BZ203" s="96"/>
      <c r="CA203" s="96"/>
      <c r="CB203" s="103">
        <v>45170</v>
      </c>
      <c r="CC203" s="103">
        <v>45473</v>
      </c>
      <c r="CD203" s="96">
        <v>10</v>
      </c>
      <c r="CE203" s="96"/>
      <c r="CF203" s="96"/>
      <c r="CG203" s="96"/>
      <c r="CH203" s="371">
        <v>1</v>
      </c>
      <c r="CI203" s="96"/>
      <c r="CJ203" s="96"/>
      <c r="CK203" s="96" t="s">
        <v>1822</v>
      </c>
      <c r="CL203"/>
    </row>
    <row r="204" spans="1:90" s="53" customFormat="1" ht="24.95" customHeight="1">
      <c r="A204" s="96">
        <v>207</v>
      </c>
      <c r="B204" s="96" t="s">
        <v>2970</v>
      </c>
      <c r="C204" s="96" t="s">
        <v>2971</v>
      </c>
      <c r="D204" s="96"/>
      <c r="E204" s="96" t="s">
        <v>2207</v>
      </c>
      <c r="F204" s="96" t="s">
        <v>25</v>
      </c>
      <c r="G204" s="96">
        <v>9</v>
      </c>
      <c r="H204" s="96" t="s">
        <v>55</v>
      </c>
      <c r="I204" s="96" t="s">
        <v>43</v>
      </c>
      <c r="J204" s="96" t="s">
        <v>2139</v>
      </c>
      <c r="K204" s="96" t="s">
        <v>173</v>
      </c>
      <c r="L204" s="96" t="s">
        <v>43</v>
      </c>
      <c r="M204" s="96" t="s">
        <v>150</v>
      </c>
      <c r="N204" s="96"/>
      <c r="O204" s="96" t="s">
        <v>151</v>
      </c>
      <c r="P204" s="96" t="s">
        <v>151</v>
      </c>
      <c r="Q204" s="96"/>
      <c r="R204" s="318" t="s">
        <v>2972</v>
      </c>
      <c r="S204" s="96" t="s">
        <v>2973</v>
      </c>
      <c r="T204" s="196" t="s">
        <v>2974</v>
      </c>
      <c r="U204" s="97" t="s">
        <v>303</v>
      </c>
      <c r="V204" s="97">
        <v>30157</v>
      </c>
      <c r="W204" s="105" t="s">
        <v>2975</v>
      </c>
      <c r="X204" s="105" t="s">
        <v>179</v>
      </c>
      <c r="Y204" s="105"/>
      <c r="Z204" s="105"/>
      <c r="AA204" s="96">
        <v>6</v>
      </c>
      <c r="AB204" s="97">
        <v>43758</v>
      </c>
      <c r="AC204" s="282">
        <v>43525</v>
      </c>
      <c r="AD204" s="97"/>
      <c r="AE204" s="97" t="s">
        <v>2976</v>
      </c>
      <c r="AF204" s="97" t="s">
        <v>2977</v>
      </c>
      <c r="AG204" s="97"/>
      <c r="AH204" s="96">
        <f t="shared" si="63"/>
        <v>2</v>
      </c>
      <c r="AI204" s="97" t="s">
        <v>162</v>
      </c>
      <c r="AJ204" s="97" t="s">
        <v>202</v>
      </c>
      <c r="AK204" s="97"/>
      <c r="AL204" s="97" t="s">
        <v>150</v>
      </c>
      <c r="AM204" s="97" t="s">
        <v>163</v>
      </c>
      <c r="AN204" s="97"/>
      <c r="AO204" s="97" t="s">
        <v>164</v>
      </c>
      <c r="AP204" s="97" t="s">
        <v>165</v>
      </c>
      <c r="AQ204" s="97" t="s">
        <v>203</v>
      </c>
      <c r="AR204" s="97" t="s">
        <v>163</v>
      </c>
      <c r="AS204" s="97"/>
      <c r="AT204" s="401" t="s">
        <v>219</v>
      </c>
      <c r="AU204" s="96" t="s">
        <v>2978</v>
      </c>
      <c r="AV204" s="97"/>
      <c r="AW204" s="99">
        <v>43528</v>
      </c>
      <c r="AX204" s="99">
        <v>43770</v>
      </c>
      <c r="AY204" s="99" t="s">
        <v>150</v>
      </c>
      <c r="AZ204" s="99">
        <v>43915</v>
      </c>
      <c r="BA204" s="99">
        <v>43971</v>
      </c>
      <c r="BB204" s="99"/>
      <c r="BC204" s="99"/>
      <c r="BD204" s="99"/>
      <c r="BE204" s="100" t="s">
        <v>2979</v>
      </c>
      <c r="BF204" s="99">
        <v>44470</v>
      </c>
      <c r="BG204" s="99" t="s">
        <v>150</v>
      </c>
      <c r="BH204" s="99">
        <v>44732</v>
      </c>
      <c r="BI204" s="99" t="s">
        <v>150</v>
      </c>
      <c r="BJ204" s="97"/>
      <c r="BK204" s="97"/>
      <c r="BL204" s="97"/>
      <c r="BM204" s="101"/>
      <c r="BN204" s="96" t="s">
        <v>17</v>
      </c>
      <c r="BO204" s="220"/>
      <c r="BP204" s="266"/>
      <c r="BQ204" s="96"/>
      <c r="BR204" s="96">
        <v>1</v>
      </c>
      <c r="BS204" s="96">
        <v>0</v>
      </c>
      <c r="BT204" s="96"/>
      <c r="BU204" s="96"/>
      <c r="BV204" s="96"/>
      <c r="BW204" s="96"/>
      <c r="BX204" s="96"/>
      <c r="BY204" s="96" t="s">
        <v>163</v>
      </c>
      <c r="BZ204" s="96"/>
      <c r="CA204" s="96"/>
      <c r="CB204" s="103"/>
      <c r="CC204" s="103"/>
      <c r="CD204" s="96"/>
      <c r="CE204" s="96"/>
      <c r="CF204" s="96"/>
      <c r="CG204" s="96"/>
      <c r="CH204" s="371">
        <v>1</v>
      </c>
      <c r="CI204" s="96"/>
      <c r="CJ204" s="96"/>
      <c r="CK204" s="96" t="s">
        <v>1822</v>
      </c>
      <c r="CL204"/>
    </row>
    <row r="205" spans="1:90" s="53" customFormat="1" ht="24.95" customHeight="1">
      <c r="A205" s="96">
        <v>208</v>
      </c>
      <c r="B205" s="96" t="s">
        <v>2980</v>
      </c>
      <c r="C205" s="96" t="s">
        <v>811</v>
      </c>
      <c r="D205" s="96"/>
      <c r="E205" s="96" t="s">
        <v>2981</v>
      </c>
      <c r="F205" s="96" t="s">
        <v>25</v>
      </c>
      <c r="G205" s="96">
        <v>9</v>
      </c>
      <c r="H205" s="96" t="s">
        <v>60</v>
      </c>
      <c r="I205" s="96" t="s">
        <v>35</v>
      </c>
      <c r="J205" s="96" t="s">
        <v>1744</v>
      </c>
      <c r="K205" s="96" t="s">
        <v>2982</v>
      </c>
      <c r="L205" s="96" t="s">
        <v>35</v>
      </c>
      <c r="M205" s="96" t="s">
        <v>150</v>
      </c>
      <c r="N205" s="96" t="s">
        <v>2983</v>
      </c>
      <c r="O205" s="96" t="s">
        <v>322</v>
      </c>
      <c r="P205" s="96" t="s">
        <v>322</v>
      </c>
      <c r="Q205" s="96"/>
      <c r="R205" s="96" t="s">
        <v>2984</v>
      </c>
      <c r="S205" s="96" t="s">
        <v>2985</v>
      </c>
      <c r="T205" s="198" t="s">
        <v>2986</v>
      </c>
      <c r="U205" s="97" t="s">
        <v>2987</v>
      </c>
      <c r="V205" s="97">
        <v>32361</v>
      </c>
      <c r="W205" s="105" t="s">
        <v>2988</v>
      </c>
      <c r="X205" s="105" t="s">
        <v>2379</v>
      </c>
      <c r="Y205" s="105" t="s">
        <v>157</v>
      </c>
      <c r="Z205" s="105"/>
      <c r="AA205" s="96">
        <v>15</v>
      </c>
      <c r="AB205" s="97">
        <v>43647</v>
      </c>
      <c r="AC205" s="282">
        <v>43525</v>
      </c>
      <c r="AD205" s="97"/>
      <c r="AE205" s="97" t="s">
        <v>2989</v>
      </c>
      <c r="AF205" s="97" t="s">
        <v>2990</v>
      </c>
      <c r="AG205" s="97" t="s">
        <v>2991</v>
      </c>
      <c r="AH205" s="96">
        <f t="shared" si="63"/>
        <v>3</v>
      </c>
      <c r="AI205" s="97" t="s">
        <v>161</v>
      </c>
      <c r="AJ205" s="97" t="s">
        <v>161</v>
      </c>
      <c r="AK205" s="97" t="s">
        <v>202</v>
      </c>
      <c r="AL205" s="97" t="s">
        <v>163</v>
      </c>
      <c r="AM205" s="97" t="s">
        <v>163</v>
      </c>
      <c r="AN205" s="97" t="s">
        <v>163</v>
      </c>
      <c r="AO205" s="97" t="s">
        <v>164</v>
      </c>
      <c r="AP205" s="97" t="s">
        <v>2992</v>
      </c>
      <c r="AQ205" s="97" t="s">
        <v>2992</v>
      </c>
      <c r="AR205" s="97"/>
      <c r="AS205" s="97"/>
      <c r="AT205" s="401" t="s">
        <v>580</v>
      </c>
      <c r="AU205" s="96" t="s">
        <v>2993</v>
      </c>
      <c r="AV205" s="97"/>
      <c r="AW205" s="99">
        <v>43528</v>
      </c>
      <c r="AX205" s="99">
        <v>43770</v>
      </c>
      <c r="AY205" s="99" t="s">
        <v>150</v>
      </c>
      <c r="AZ205" s="99">
        <v>43599</v>
      </c>
      <c r="BA205" s="99">
        <v>43746</v>
      </c>
      <c r="BB205" s="99"/>
      <c r="BC205" s="99"/>
      <c r="BD205" s="99"/>
      <c r="BE205" s="100" t="s">
        <v>2994</v>
      </c>
      <c r="BF205" s="99">
        <v>44470</v>
      </c>
      <c r="BG205" s="99" t="s">
        <v>150</v>
      </c>
      <c r="BH205" s="99">
        <v>44732</v>
      </c>
      <c r="BI205" s="99" t="s">
        <v>150</v>
      </c>
      <c r="BJ205" s="97"/>
      <c r="BK205" s="97">
        <v>45168</v>
      </c>
      <c r="BL205" s="97"/>
      <c r="BM205" s="97">
        <v>45168</v>
      </c>
      <c r="BN205" s="96" t="s">
        <v>16</v>
      </c>
      <c r="BO205" s="96">
        <f>DATEDIF(AW205,BM205, "M")+1</f>
        <v>54</v>
      </c>
      <c r="BP205" s="266">
        <f>DATEDIF(AX205,BM205, "M")+1</f>
        <v>46</v>
      </c>
      <c r="BQ205" s="266" t="s">
        <v>2988</v>
      </c>
      <c r="BR205" s="96">
        <v>7</v>
      </c>
      <c r="BS205" s="96">
        <v>24</v>
      </c>
      <c r="BT205" s="96"/>
      <c r="BU205" s="96"/>
      <c r="BV205" s="96"/>
      <c r="BW205" s="96"/>
      <c r="BX205" s="96"/>
      <c r="BY205" s="96" t="s">
        <v>163</v>
      </c>
      <c r="BZ205" s="96"/>
      <c r="CA205" s="96"/>
      <c r="CB205" s="103"/>
      <c r="CC205" s="103"/>
      <c r="CD205" s="96"/>
      <c r="CE205" s="96"/>
      <c r="CF205" s="96"/>
      <c r="CG205" s="96"/>
      <c r="CH205" s="371"/>
      <c r="CI205" s="96"/>
      <c r="CJ205" s="96"/>
      <c r="CK205" s="96" t="s">
        <v>1822</v>
      </c>
      <c r="CL205"/>
    </row>
    <row r="206" spans="1:90" s="53" customFormat="1" ht="24.95" customHeight="1">
      <c r="A206" s="96">
        <v>209</v>
      </c>
      <c r="B206" s="96" t="s">
        <v>2995</v>
      </c>
      <c r="C206" s="96" t="s">
        <v>2996</v>
      </c>
      <c r="D206" s="96" t="s">
        <v>2997</v>
      </c>
      <c r="E206" s="96" t="s">
        <v>2998</v>
      </c>
      <c r="F206" s="96" t="s">
        <v>25</v>
      </c>
      <c r="G206" s="96">
        <v>9</v>
      </c>
      <c r="H206" s="96" t="s">
        <v>52</v>
      </c>
      <c r="I206" s="96" t="s">
        <v>42</v>
      </c>
      <c r="J206" s="96" t="s">
        <v>2319</v>
      </c>
      <c r="K206" s="96" t="s">
        <v>2999</v>
      </c>
      <c r="L206" s="96" t="s">
        <v>45</v>
      </c>
      <c r="M206" s="96" t="s">
        <v>163</v>
      </c>
      <c r="N206" s="96"/>
      <c r="O206" s="96" t="s">
        <v>151</v>
      </c>
      <c r="P206" s="96" t="s">
        <v>151</v>
      </c>
      <c r="Q206" s="96"/>
      <c r="R206" s="96" t="s">
        <v>3000</v>
      </c>
      <c r="S206" s="96" t="s">
        <v>3001</v>
      </c>
      <c r="T206" s="196" t="s">
        <v>3002</v>
      </c>
      <c r="U206" s="97"/>
      <c r="V206" s="97">
        <v>30383</v>
      </c>
      <c r="W206" s="105"/>
      <c r="X206" s="105" t="s">
        <v>179</v>
      </c>
      <c r="Y206" s="105"/>
      <c r="Z206" s="105"/>
      <c r="AA206" s="96">
        <v>17</v>
      </c>
      <c r="AB206" s="97">
        <v>44055</v>
      </c>
      <c r="AC206" s="282">
        <v>43525</v>
      </c>
      <c r="AD206" s="97"/>
      <c r="AE206" s="97" t="s">
        <v>3003</v>
      </c>
      <c r="AF206" s="97" t="s">
        <v>3004</v>
      </c>
      <c r="AG206" s="97"/>
      <c r="AH206" s="96">
        <f t="shared" si="63"/>
        <v>2</v>
      </c>
      <c r="AI206" s="97" t="s">
        <v>162</v>
      </c>
      <c r="AJ206" s="97" t="s">
        <v>161</v>
      </c>
      <c r="AK206" s="97"/>
      <c r="AL206" s="197" t="s">
        <v>163</v>
      </c>
      <c r="AM206" s="97" t="s">
        <v>150</v>
      </c>
      <c r="AN206" s="97"/>
      <c r="AO206" s="97" t="s">
        <v>164</v>
      </c>
      <c r="AP206" s="97" t="s">
        <v>3005</v>
      </c>
      <c r="AQ206" s="97" t="s">
        <v>165</v>
      </c>
      <c r="AR206" s="97"/>
      <c r="AS206" s="97"/>
      <c r="AT206" s="401" t="s">
        <v>420</v>
      </c>
      <c r="AU206" s="96" t="s">
        <v>3006</v>
      </c>
      <c r="AV206" s="97"/>
      <c r="AW206" s="99">
        <v>43528</v>
      </c>
      <c r="AX206" s="99">
        <v>43770</v>
      </c>
      <c r="AY206" s="99" t="s">
        <v>150</v>
      </c>
      <c r="AZ206" s="99"/>
      <c r="BA206" s="99"/>
      <c r="BB206" s="99"/>
      <c r="BC206" s="99"/>
      <c r="BD206" s="99"/>
      <c r="BE206" s="100" t="s">
        <v>3007</v>
      </c>
      <c r="BF206" s="99">
        <v>45061</v>
      </c>
      <c r="BG206" s="99" t="s">
        <v>163</v>
      </c>
      <c r="BH206" s="99">
        <v>45110</v>
      </c>
      <c r="BI206" s="99" t="s">
        <v>163</v>
      </c>
      <c r="BJ206" s="97"/>
      <c r="BK206" s="97"/>
      <c r="BL206" s="97"/>
      <c r="BM206" s="101"/>
      <c r="BN206" s="96" t="s">
        <v>17</v>
      </c>
      <c r="BO206" s="220"/>
      <c r="BP206" s="266"/>
      <c r="BQ206" s="96"/>
      <c r="BR206" s="96"/>
      <c r="BS206" s="96"/>
      <c r="BT206" s="96"/>
      <c r="BU206" s="96"/>
      <c r="BV206" s="96"/>
      <c r="BW206" s="96"/>
      <c r="BX206" s="96"/>
      <c r="BY206" s="96" t="s">
        <v>163</v>
      </c>
      <c r="BZ206" s="96"/>
      <c r="CA206" s="96"/>
      <c r="CB206" s="103"/>
      <c r="CC206" s="103"/>
      <c r="CD206" s="96"/>
      <c r="CE206" s="96"/>
      <c r="CF206" s="96"/>
      <c r="CG206" s="96"/>
      <c r="CH206" s="371">
        <v>3</v>
      </c>
      <c r="CI206" s="96"/>
      <c r="CJ206" s="96"/>
      <c r="CK206" s="96" t="s">
        <v>1822</v>
      </c>
      <c r="CL206"/>
    </row>
    <row r="207" spans="1:90" s="53" customFormat="1" ht="24.95" customHeight="1">
      <c r="A207" s="96">
        <v>210</v>
      </c>
      <c r="B207" s="96" t="s">
        <v>3008</v>
      </c>
      <c r="C207" s="96" t="s">
        <v>3009</v>
      </c>
      <c r="D207" s="96"/>
      <c r="E207" s="96" t="s">
        <v>3010</v>
      </c>
      <c r="F207" s="96" t="s">
        <v>24</v>
      </c>
      <c r="G207" s="96">
        <v>9</v>
      </c>
      <c r="H207" s="96" t="s">
        <v>55</v>
      </c>
      <c r="I207" s="96" t="s">
        <v>43</v>
      </c>
      <c r="J207" s="96" t="s">
        <v>3011</v>
      </c>
      <c r="K207" s="96" t="s">
        <v>3012</v>
      </c>
      <c r="L207" s="96" t="s">
        <v>43</v>
      </c>
      <c r="M207" s="96" t="s">
        <v>150</v>
      </c>
      <c r="N207" s="96"/>
      <c r="O207" s="96" t="s">
        <v>151</v>
      </c>
      <c r="P207" s="96" t="s">
        <v>151</v>
      </c>
      <c r="Q207" s="96"/>
      <c r="R207" s="96" t="s">
        <v>3013</v>
      </c>
      <c r="S207" s="96" t="s">
        <v>3014</v>
      </c>
      <c r="T207" s="196" t="s">
        <v>3015</v>
      </c>
      <c r="U207" s="97" t="s">
        <v>3016</v>
      </c>
      <c r="V207" s="97">
        <v>29221</v>
      </c>
      <c r="W207" s="105" t="s">
        <v>3017</v>
      </c>
      <c r="X207" s="105" t="s">
        <v>2379</v>
      </c>
      <c r="Y207" s="105" t="s">
        <v>157</v>
      </c>
      <c r="Z207" s="105"/>
      <c r="AA207" s="96">
        <v>11</v>
      </c>
      <c r="AB207" s="97">
        <v>43810</v>
      </c>
      <c r="AC207" s="282">
        <v>43525</v>
      </c>
      <c r="AD207" s="97"/>
      <c r="AE207" s="97" t="s">
        <v>3018</v>
      </c>
      <c r="AF207" s="97" t="s">
        <v>3019</v>
      </c>
      <c r="AG207" s="97"/>
      <c r="AH207" s="96">
        <f t="shared" si="63"/>
        <v>2</v>
      </c>
      <c r="AI207" s="97" t="s">
        <v>161</v>
      </c>
      <c r="AJ207" s="97" t="s">
        <v>161</v>
      </c>
      <c r="AK207" s="97"/>
      <c r="AL207" s="197" t="s">
        <v>163</v>
      </c>
      <c r="AM207" s="97" t="s">
        <v>150</v>
      </c>
      <c r="AN207" s="97"/>
      <c r="AO207" s="97" t="s">
        <v>164</v>
      </c>
      <c r="AP207" s="97" t="s">
        <v>181</v>
      </c>
      <c r="AQ207" s="97" t="s">
        <v>203</v>
      </c>
      <c r="AR207" s="97" t="s">
        <v>163</v>
      </c>
      <c r="AS207" s="97"/>
      <c r="AT207" s="401" t="s">
        <v>219</v>
      </c>
      <c r="AU207" s="96" t="s">
        <v>3020</v>
      </c>
      <c r="AV207" s="97"/>
      <c r="AW207" s="99">
        <v>43528</v>
      </c>
      <c r="AX207" s="99">
        <v>43770</v>
      </c>
      <c r="AY207" s="99" t="s">
        <v>150</v>
      </c>
      <c r="AZ207" s="99"/>
      <c r="BA207" s="99"/>
      <c r="BB207" s="99"/>
      <c r="BC207" s="99"/>
      <c r="BD207" s="99"/>
      <c r="BE207" s="100" t="s">
        <v>3021</v>
      </c>
      <c r="BF207" s="99">
        <v>44470</v>
      </c>
      <c r="BG207" s="99" t="s">
        <v>150</v>
      </c>
      <c r="BH207" s="99">
        <v>44732</v>
      </c>
      <c r="BI207" s="99" t="s">
        <v>150</v>
      </c>
      <c r="BJ207" s="97"/>
      <c r="BK207" s="97"/>
      <c r="BL207" s="97"/>
      <c r="BM207" s="101">
        <v>45229</v>
      </c>
      <c r="BN207" s="96" t="s">
        <v>16</v>
      </c>
      <c r="BO207" s="96">
        <f>DATEDIF(AW207,BM207, "M")+1</f>
        <v>56</v>
      </c>
      <c r="BP207" s="266">
        <f>DATEDIF(AX207,BM207, "M")+1</f>
        <v>48</v>
      </c>
      <c r="BQ207" s="303" t="s">
        <v>3022</v>
      </c>
      <c r="BR207" s="96">
        <v>0</v>
      </c>
      <c r="BS207" s="96"/>
      <c r="BT207" s="96"/>
      <c r="BU207" s="96"/>
      <c r="BV207" s="96"/>
      <c r="BW207" s="96"/>
      <c r="BX207" s="96"/>
      <c r="BY207" s="96" t="s">
        <v>3023</v>
      </c>
      <c r="BZ207" s="96"/>
      <c r="CA207" s="96"/>
      <c r="CB207" s="103"/>
      <c r="CC207" s="103"/>
      <c r="CD207" s="96"/>
      <c r="CE207" s="96"/>
      <c r="CF207" s="96"/>
      <c r="CG207" s="96"/>
      <c r="CH207" s="371">
        <v>4</v>
      </c>
      <c r="CI207" s="96"/>
      <c r="CJ207" s="96"/>
      <c r="CK207" s="96" t="s">
        <v>1822</v>
      </c>
      <c r="CL207"/>
    </row>
    <row r="208" spans="1:90" s="53" customFormat="1" ht="24.95" customHeight="1">
      <c r="A208" s="96">
        <v>211</v>
      </c>
      <c r="B208" s="96" t="s">
        <v>3024</v>
      </c>
      <c r="C208" s="96" t="s">
        <v>3025</v>
      </c>
      <c r="D208" s="96"/>
      <c r="E208" s="96" t="s">
        <v>3026</v>
      </c>
      <c r="F208" s="96" t="s">
        <v>25</v>
      </c>
      <c r="G208" s="96">
        <v>9</v>
      </c>
      <c r="H208" s="96" t="s">
        <v>60</v>
      </c>
      <c r="I208" s="96" t="s">
        <v>35</v>
      </c>
      <c r="J208" s="96" t="s">
        <v>3027</v>
      </c>
      <c r="K208" s="96" t="s">
        <v>3028</v>
      </c>
      <c r="L208" s="96" t="s">
        <v>35</v>
      </c>
      <c r="M208" s="96" t="s">
        <v>150</v>
      </c>
      <c r="N208" s="96">
        <v>201000282</v>
      </c>
      <c r="O208" s="96" t="s">
        <v>151</v>
      </c>
      <c r="P208" s="96" t="s">
        <v>151</v>
      </c>
      <c r="Q208" s="96"/>
      <c r="R208" s="96" t="s">
        <v>3029</v>
      </c>
      <c r="S208" s="96" t="s">
        <v>3030</v>
      </c>
      <c r="T208" s="196" t="s">
        <v>3031</v>
      </c>
      <c r="U208" s="97" t="s">
        <v>3032</v>
      </c>
      <c r="V208" s="97">
        <v>29803</v>
      </c>
      <c r="W208" s="105" t="s">
        <v>3033</v>
      </c>
      <c r="X208" s="105" t="s">
        <v>2498</v>
      </c>
      <c r="Y208" s="105"/>
      <c r="Z208" s="105"/>
      <c r="AA208" s="96">
        <v>28</v>
      </c>
      <c r="AB208" s="97">
        <v>43556</v>
      </c>
      <c r="AC208" s="282">
        <v>43525</v>
      </c>
      <c r="AD208" s="97"/>
      <c r="AE208" s="97" t="s">
        <v>3034</v>
      </c>
      <c r="AF208" s="97" t="s">
        <v>3035</v>
      </c>
      <c r="AG208" s="97"/>
      <c r="AH208" s="96">
        <f t="shared" si="63"/>
        <v>2</v>
      </c>
      <c r="AI208" s="97"/>
      <c r="AJ208" s="97"/>
      <c r="AK208" s="97"/>
      <c r="AL208" s="97"/>
      <c r="AM208" s="97"/>
      <c r="AN208" s="97"/>
      <c r="AO208" s="97" t="s">
        <v>164</v>
      </c>
      <c r="AP208" s="97" t="s">
        <v>181</v>
      </c>
      <c r="AQ208" s="97"/>
      <c r="AR208" s="97"/>
      <c r="AS208" s="97"/>
      <c r="AT208" s="401" t="s">
        <v>580</v>
      </c>
      <c r="AU208" s="96" t="s">
        <v>3036</v>
      </c>
      <c r="AV208" s="97"/>
      <c r="AW208" s="99">
        <v>43528</v>
      </c>
      <c r="AX208" s="99">
        <v>43770</v>
      </c>
      <c r="AY208" s="99" t="s">
        <v>150</v>
      </c>
      <c r="AZ208" s="99"/>
      <c r="BA208" s="99">
        <v>43934</v>
      </c>
      <c r="BB208" s="99"/>
      <c r="BC208" s="99"/>
      <c r="BD208" s="99"/>
      <c r="BE208" s="100" t="s">
        <v>3037</v>
      </c>
      <c r="BF208" s="99">
        <v>44470</v>
      </c>
      <c r="BG208" s="99" t="s">
        <v>150</v>
      </c>
      <c r="BH208" s="99">
        <v>44732</v>
      </c>
      <c r="BI208" s="99" t="s">
        <v>150</v>
      </c>
      <c r="BJ208" s="97"/>
      <c r="BK208" s="97"/>
      <c r="BL208" s="97"/>
      <c r="BM208" s="101">
        <v>45483</v>
      </c>
      <c r="BN208" s="96" t="s">
        <v>16</v>
      </c>
      <c r="BO208" s="96">
        <f>DATEDIF(AW208,BM208, "M")+1</f>
        <v>65</v>
      </c>
      <c r="BP208" s="266">
        <f>DATEDIF(AX208,BM208, "M")+1</f>
        <v>57</v>
      </c>
      <c r="BQ208" s="96"/>
      <c r="BR208" s="96">
        <v>4</v>
      </c>
      <c r="BS208" s="96">
        <v>1</v>
      </c>
      <c r="BT208" s="96"/>
      <c r="BU208" s="96"/>
      <c r="BV208" s="96"/>
      <c r="BW208" s="96"/>
      <c r="BX208" s="96"/>
      <c r="BY208" s="96" t="s">
        <v>163</v>
      </c>
      <c r="BZ208" s="96"/>
      <c r="CA208" s="96"/>
      <c r="CB208" s="103"/>
      <c r="CC208" s="103"/>
      <c r="CD208" s="96"/>
      <c r="CE208" s="96"/>
      <c r="CF208" s="96"/>
      <c r="CG208" s="96"/>
      <c r="CH208" s="371">
        <v>3</v>
      </c>
      <c r="CI208" s="96"/>
      <c r="CJ208" s="96"/>
      <c r="CK208" s="96" t="s">
        <v>1822</v>
      </c>
      <c r="CL208"/>
    </row>
    <row r="209" spans="1:90" s="53" customFormat="1" ht="24.95" customHeight="1">
      <c r="A209" s="96">
        <v>212</v>
      </c>
      <c r="B209" s="96" t="s">
        <v>3038</v>
      </c>
      <c r="C209" s="96" t="s">
        <v>3039</v>
      </c>
      <c r="D209" s="96"/>
      <c r="E209" s="96" t="s">
        <v>3040</v>
      </c>
      <c r="F209" s="96" t="s">
        <v>24</v>
      </c>
      <c r="G209" s="96">
        <v>9</v>
      </c>
      <c r="H209" s="96" t="s">
        <v>58</v>
      </c>
      <c r="I209" s="96" t="s">
        <v>45</v>
      </c>
      <c r="J209" s="96" t="s">
        <v>2746</v>
      </c>
      <c r="K209" s="96" t="s">
        <v>2746</v>
      </c>
      <c r="L209" s="96" t="s">
        <v>45</v>
      </c>
      <c r="M209" s="96" t="s">
        <v>150</v>
      </c>
      <c r="N209" s="96"/>
      <c r="O209" s="96" t="s">
        <v>322</v>
      </c>
      <c r="P209" s="96" t="s">
        <v>322</v>
      </c>
      <c r="Q209" s="96"/>
      <c r="R209" s="96" t="s">
        <v>3041</v>
      </c>
      <c r="S209" s="96" t="s">
        <v>3042</v>
      </c>
      <c r="T209" s="196" t="s">
        <v>3043</v>
      </c>
      <c r="U209" s="97" t="s">
        <v>3044</v>
      </c>
      <c r="V209" s="97">
        <v>30461</v>
      </c>
      <c r="W209" s="105" t="s">
        <v>3045</v>
      </c>
      <c r="X209" s="105" t="s">
        <v>179</v>
      </c>
      <c r="Y209" s="105"/>
      <c r="Z209" s="105"/>
      <c r="AA209" s="96">
        <v>1</v>
      </c>
      <c r="AB209" s="97">
        <v>43528</v>
      </c>
      <c r="AC209" s="282">
        <v>43525</v>
      </c>
      <c r="AD209" s="97"/>
      <c r="AE209" s="97" t="s">
        <v>3046</v>
      </c>
      <c r="AF209" s="97" t="s">
        <v>3047</v>
      </c>
      <c r="AG209" s="97" t="s">
        <v>3048</v>
      </c>
      <c r="AH209" s="96">
        <f t="shared" si="63"/>
        <v>3</v>
      </c>
      <c r="AI209" s="97" t="s">
        <v>161</v>
      </c>
      <c r="AJ209" s="97" t="s">
        <v>202</v>
      </c>
      <c r="AK209" s="97"/>
      <c r="AL209" s="97" t="s">
        <v>150</v>
      </c>
      <c r="AM209" s="97" t="s">
        <v>163</v>
      </c>
      <c r="AN209" s="97"/>
      <c r="AO209" s="97" t="s">
        <v>164</v>
      </c>
      <c r="AP209" s="97" t="s">
        <v>1859</v>
      </c>
      <c r="AQ209" s="97" t="s">
        <v>2434</v>
      </c>
      <c r="AR209" s="97" t="s">
        <v>150</v>
      </c>
      <c r="AS209" s="104" t="s">
        <v>3049</v>
      </c>
      <c r="AT209" s="401" t="s">
        <v>372</v>
      </c>
      <c r="AU209" s="96" t="s">
        <v>3050</v>
      </c>
      <c r="AV209" s="97"/>
      <c r="AW209" s="99">
        <v>43528</v>
      </c>
      <c r="AX209" s="99">
        <v>43770</v>
      </c>
      <c r="AY209" s="99" t="s">
        <v>150</v>
      </c>
      <c r="AZ209" s="99">
        <v>43770</v>
      </c>
      <c r="BA209" s="99">
        <v>43862</v>
      </c>
      <c r="BB209" s="99"/>
      <c r="BC209" s="99"/>
      <c r="BD209" s="99"/>
      <c r="BE209" s="100" t="s">
        <v>3051</v>
      </c>
      <c r="BF209" s="99">
        <v>44470</v>
      </c>
      <c r="BG209" s="99" t="s">
        <v>150</v>
      </c>
      <c r="BH209" s="99">
        <v>44732</v>
      </c>
      <c r="BI209" s="99" t="s">
        <v>150</v>
      </c>
      <c r="BJ209" s="97"/>
      <c r="BK209" s="97"/>
      <c r="BL209" s="97"/>
      <c r="BM209" s="101">
        <v>45443</v>
      </c>
      <c r="BN209" s="96" t="s">
        <v>16</v>
      </c>
      <c r="BO209" s="96">
        <f>DATEDIF(AW209,BM209, "M")+1</f>
        <v>63</v>
      </c>
      <c r="BP209" s="266">
        <f t="shared" ref="BP209:BP210" si="65">DATEDIF(AX209,BM209, "M")+1</f>
        <v>55</v>
      </c>
      <c r="BQ209" s="303" t="s">
        <v>3052</v>
      </c>
      <c r="BR209" s="96">
        <v>2</v>
      </c>
      <c r="BS209" s="96">
        <v>0</v>
      </c>
      <c r="BT209" s="96"/>
      <c r="BU209" s="96"/>
      <c r="BV209" s="96"/>
      <c r="BW209" s="96"/>
      <c r="BX209" s="96"/>
      <c r="BY209" s="96" t="s">
        <v>163</v>
      </c>
      <c r="BZ209" s="96"/>
      <c r="CA209" s="96"/>
      <c r="CB209" s="103"/>
      <c r="CC209" s="103"/>
      <c r="CD209" s="96"/>
      <c r="CE209" s="96"/>
      <c r="CF209" s="96"/>
      <c r="CG209" s="96"/>
      <c r="CH209" s="371">
        <v>0</v>
      </c>
      <c r="CI209" s="96"/>
      <c r="CJ209" s="96"/>
      <c r="CK209" s="96" t="s">
        <v>1822</v>
      </c>
      <c r="CL209"/>
    </row>
    <row r="210" spans="1:90" s="53" customFormat="1" ht="24.95" customHeight="1">
      <c r="A210" s="96">
        <v>213</v>
      </c>
      <c r="B210" s="96" t="s">
        <v>3053</v>
      </c>
      <c r="C210" s="96" t="s">
        <v>3054</v>
      </c>
      <c r="D210" s="96" t="s">
        <v>3055</v>
      </c>
      <c r="E210" s="96" t="s">
        <v>3056</v>
      </c>
      <c r="F210" s="96" t="s">
        <v>24</v>
      </c>
      <c r="G210" s="96">
        <v>9</v>
      </c>
      <c r="H210" s="96" t="s">
        <v>54</v>
      </c>
      <c r="I210" s="96" t="s">
        <v>39</v>
      </c>
      <c r="J210" s="96" t="s">
        <v>3057</v>
      </c>
      <c r="K210" s="96" t="s">
        <v>290</v>
      </c>
      <c r="L210" s="96" t="s">
        <v>31</v>
      </c>
      <c r="M210" s="96" t="s">
        <v>163</v>
      </c>
      <c r="N210" s="96">
        <v>78570</v>
      </c>
      <c r="O210" s="96" t="s">
        <v>151</v>
      </c>
      <c r="P210" s="96" t="s">
        <v>151</v>
      </c>
      <c r="Q210" s="96"/>
      <c r="R210" s="96" t="s">
        <v>3058</v>
      </c>
      <c r="S210" s="318" t="s">
        <v>3059</v>
      </c>
      <c r="T210" s="196" t="s">
        <v>3060</v>
      </c>
      <c r="U210" s="97"/>
      <c r="V210" s="97">
        <v>28082</v>
      </c>
      <c r="W210" s="105" t="s">
        <v>3061</v>
      </c>
      <c r="X210" s="105" t="s">
        <v>179</v>
      </c>
      <c r="Y210" s="105"/>
      <c r="Z210" s="105"/>
      <c r="AA210" s="96">
        <v>30</v>
      </c>
      <c r="AB210" s="97">
        <v>43570</v>
      </c>
      <c r="AC210" s="282">
        <v>43525</v>
      </c>
      <c r="AD210" s="97"/>
      <c r="AE210" s="97" t="s">
        <v>3062</v>
      </c>
      <c r="AF210" s="97" t="s">
        <v>3063</v>
      </c>
      <c r="AG210" s="97"/>
      <c r="AH210" s="96">
        <f t="shared" si="63"/>
        <v>2</v>
      </c>
      <c r="AI210" s="97" t="s">
        <v>162</v>
      </c>
      <c r="AJ210" s="97" t="s">
        <v>161</v>
      </c>
      <c r="AK210" s="97"/>
      <c r="AL210" s="97" t="s">
        <v>150</v>
      </c>
      <c r="AM210" s="97"/>
      <c r="AN210" s="97"/>
      <c r="AO210" s="97" t="s">
        <v>164</v>
      </c>
      <c r="AP210" s="97" t="s">
        <v>203</v>
      </c>
      <c r="AQ210" s="97" t="s">
        <v>250</v>
      </c>
      <c r="AR210" s="97" t="s">
        <v>150</v>
      </c>
      <c r="AS210" s="97"/>
      <c r="AT210" s="401" t="s">
        <v>285</v>
      </c>
      <c r="AU210" s="96" t="s">
        <v>3064</v>
      </c>
      <c r="AV210" s="97"/>
      <c r="AW210" s="99">
        <v>43528</v>
      </c>
      <c r="AX210" s="99">
        <v>43770</v>
      </c>
      <c r="AY210" s="99" t="s">
        <v>150</v>
      </c>
      <c r="AZ210" s="99">
        <v>44369</v>
      </c>
      <c r="BA210" s="99">
        <v>44083</v>
      </c>
      <c r="BB210" s="99"/>
      <c r="BC210" s="99"/>
      <c r="BD210" s="99"/>
      <c r="BE210" s="100" t="s">
        <v>3065</v>
      </c>
      <c r="BF210" s="99">
        <v>44470</v>
      </c>
      <c r="BG210" s="99" t="s">
        <v>150</v>
      </c>
      <c r="BH210" s="99">
        <v>44732</v>
      </c>
      <c r="BI210" s="99" t="s">
        <v>150</v>
      </c>
      <c r="BJ210" s="97"/>
      <c r="BK210" s="97">
        <v>45187</v>
      </c>
      <c r="BL210" s="97"/>
      <c r="BM210" s="101">
        <v>45226</v>
      </c>
      <c r="BN210" s="96" t="s">
        <v>16</v>
      </c>
      <c r="BO210" s="96">
        <f>DATEDIF(AW210,BM210, "M")+1</f>
        <v>56</v>
      </c>
      <c r="BP210" s="266">
        <f t="shared" si="65"/>
        <v>48</v>
      </c>
      <c r="BQ210" s="96"/>
      <c r="BR210" s="96">
        <v>2</v>
      </c>
      <c r="BS210" s="96">
        <v>2</v>
      </c>
      <c r="BT210" s="96"/>
      <c r="BU210" s="96"/>
      <c r="BV210" s="96"/>
      <c r="BW210" s="96"/>
      <c r="BX210" s="96"/>
      <c r="BY210" s="96" t="s">
        <v>163</v>
      </c>
      <c r="BZ210" s="96"/>
      <c r="CA210" s="96"/>
      <c r="CB210" s="103">
        <v>45047</v>
      </c>
      <c r="CC210" s="103">
        <v>45229</v>
      </c>
      <c r="CD210" s="96">
        <v>6</v>
      </c>
      <c r="CE210" s="96"/>
      <c r="CF210" s="96"/>
      <c r="CG210" s="96"/>
      <c r="CH210" s="371">
        <v>3</v>
      </c>
      <c r="CI210" s="96"/>
      <c r="CJ210" s="96"/>
      <c r="CK210" s="96" t="s">
        <v>809</v>
      </c>
      <c r="CL210"/>
    </row>
    <row r="211" spans="1:90" s="53" customFormat="1" ht="24.95" customHeight="1">
      <c r="A211" s="96">
        <v>214</v>
      </c>
      <c r="B211" s="96" t="s">
        <v>3066</v>
      </c>
      <c r="C211" s="96" t="s">
        <v>3067</v>
      </c>
      <c r="D211" s="96" t="s">
        <v>3068</v>
      </c>
      <c r="E211" s="96" t="s">
        <v>3069</v>
      </c>
      <c r="F211" s="96" t="s">
        <v>24</v>
      </c>
      <c r="G211" s="96">
        <v>9</v>
      </c>
      <c r="H211" s="96" t="s">
        <v>54</v>
      </c>
      <c r="I211" s="96" t="s">
        <v>31</v>
      </c>
      <c r="J211" s="96" t="s">
        <v>1175</v>
      </c>
      <c r="K211" s="96" t="s">
        <v>3070</v>
      </c>
      <c r="L211" s="96" t="s">
        <v>31</v>
      </c>
      <c r="M211" s="96" t="s">
        <v>150</v>
      </c>
      <c r="N211" s="96" t="s">
        <v>3071</v>
      </c>
      <c r="O211" s="96" t="s">
        <v>151</v>
      </c>
      <c r="P211" s="96" t="s">
        <v>151</v>
      </c>
      <c r="Q211" s="96"/>
      <c r="R211" s="96" t="s">
        <v>3072</v>
      </c>
      <c r="S211" s="96" t="s">
        <v>3073</v>
      </c>
      <c r="T211" s="196" t="s">
        <v>3074</v>
      </c>
      <c r="U211" s="97" t="s">
        <v>3075</v>
      </c>
      <c r="V211" s="97">
        <v>27320</v>
      </c>
      <c r="W211" s="105" t="s">
        <v>3076</v>
      </c>
      <c r="X211" s="105" t="s">
        <v>2379</v>
      </c>
      <c r="Y211" s="105" t="s">
        <v>150</v>
      </c>
      <c r="Z211" s="105"/>
      <c r="AA211" s="96">
        <v>2</v>
      </c>
      <c r="AB211" s="97">
        <v>43472</v>
      </c>
      <c r="AC211" s="282">
        <v>43525</v>
      </c>
      <c r="AD211" s="97"/>
      <c r="AE211" s="97" t="s">
        <v>3077</v>
      </c>
      <c r="AF211" s="97"/>
      <c r="AG211" s="97"/>
      <c r="AH211" s="96">
        <f t="shared" si="63"/>
        <v>1</v>
      </c>
      <c r="AI211" s="97" t="s">
        <v>161</v>
      </c>
      <c r="AJ211" s="97"/>
      <c r="AK211" s="97"/>
      <c r="AL211" s="97" t="s">
        <v>150</v>
      </c>
      <c r="AM211" s="97"/>
      <c r="AN211" s="97"/>
      <c r="AO211" s="97" t="s">
        <v>164</v>
      </c>
      <c r="AP211" s="97" t="s">
        <v>1440</v>
      </c>
      <c r="AQ211" s="97" t="s">
        <v>250</v>
      </c>
      <c r="AR211" s="97" t="s">
        <v>150</v>
      </c>
      <c r="AS211" s="97"/>
      <c r="AT211" s="402" t="s">
        <v>328</v>
      </c>
      <c r="AU211" s="96" t="s">
        <v>3078</v>
      </c>
      <c r="AV211" s="97"/>
      <c r="AW211" s="99">
        <v>43528</v>
      </c>
      <c r="AX211" s="99">
        <v>43770</v>
      </c>
      <c r="AY211" s="99" t="s">
        <v>150</v>
      </c>
      <c r="AZ211" s="99">
        <v>43724</v>
      </c>
      <c r="BA211" s="99">
        <v>44187</v>
      </c>
      <c r="BB211" s="99"/>
      <c r="BC211" s="99"/>
      <c r="BD211" s="99"/>
      <c r="BE211" s="100" t="s">
        <v>3079</v>
      </c>
      <c r="BF211" s="99">
        <v>44872</v>
      </c>
      <c r="BG211" s="99" t="s">
        <v>163</v>
      </c>
      <c r="BH211" s="99">
        <v>45110</v>
      </c>
      <c r="BI211" s="99" t="s">
        <v>163</v>
      </c>
      <c r="BJ211" s="97"/>
      <c r="BK211" s="97"/>
      <c r="BL211" s="97"/>
      <c r="BM211" s="101"/>
      <c r="BN211" s="96" t="s">
        <v>17</v>
      </c>
      <c r="BO211" s="220"/>
      <c r="BP211" s="266"/>
      <c r="BQ211" s="96"/>
      <c r="BR211" s="96">
        <v>7</v>
      </c>
      <c r="BS211" s="96">
        <v>5</v>
      </c>
      <c r="BT211" s="96"/>
      <c r="BU211" s="96"/>
      <c r="BV211" s="96"/>
      <c r="BW211" s="96"/>
      <c r="BX211" s="96"/>
      <c r="BY211" s="96" t="s">
        <v>163</v>
      </c>
      <c r="BZ211" s="96"/>
      <c r="CA211" s="96"/>
      <c r="CB211" s="103"/>
      <c r="CC211" s="103"/>
      <c r="CD211" s="96"/>
      <c r="CE211" s="96"/>
      <c r="CF211" s="96"/>
      <c r="CG211" s="96"/>
      <c r="CH211" s="371">
        <v>4</v>
      </c>
      <c r="CI211" s="96"/>
      <c r="CJ211" s="96"/>
      <c r="CK211" s="96" t="s">
        <v>809</v>
      </c>
      <c r="CL211"/>
    </row>
    <row r="212" spans="1:90" s="53" customFormat="1" ht="30.95" customHeight="1">
      <c r="A212" s="96">
        <v>215</v>
      </c>
      <c r="B212" s="96" t="s">
        <v>3080</v>
      </c>
      <c r="C212" s="96" t="s">
        <v>3081</v>
      </c>
      <c r="D212" s="96" t="s">
        <v>3082</v>
      </c>
      <c r="E212" s="96" t="s">
        <v>3083</v>
      </c>
      <c r="F212" s="96" t="s">
        <v>24</v>
      </c>
      <c r="G212" s="96">
        <v>9</v>
      </c>
      <c r="H212" s="96" t="s">
        <v>54</v>
      </c>
      <c r="I212" s="96" t="s">
        <v>31</v>
      </c>
      <c r="J212" s="96" t="s">
        <v>3084</v>
      </c>
      <c r="K212" s="96" t="s">
        <v>3085</v>
      </c>
      <c r="L212" s="96" t="s">
        <v>31</v>
      </c>
      <c r="M212" s="96" t="s">
        <v>150</v>
      </c>
      <c r="N212" s="96">
        <v>138807</v>
      </c>
      <c r="O212" s="96" t="s">
        <v>322</v>
      </c>
      <c r="P212" s="96" t="s">
        <v>322</v>
      </c>
      <c r="Q212" s="96"/>
      <c r="R212" s="318" t="s">
        <v>3086</v>
      </c>
      <c r="S212" s="318" t="s">
        <v>3087</v>
      </c>
      <c r="T212" s="199" t="s">
        <v>3088</v>
      </c>
      <c r="U212" s="97" t="s">
        <v>3089</v>
      </c>
      <c r="V212" s="97">
        <v>31819</v>
      </c>
      <c r="W212" s="105" t="s">
        <v>3090</v>
      </c>
      <c r="X212" s="105" t="s">
        <v>2379</v>
      </c>
      <c r="Y212" s="105" t="s">
        <v>157</v>
      </c>
      <c r="Z212" s="105"/>
      <c r="AA212" s="96">
        <v>13</v>
      </c>
      <c r="AB212" s="97">
        <v>42417</v>
      </c>
      <c r="AC212" s="282">
        <v>43525</v>
      </c>
      <c r="AD212" s="97"/>
      <c r="AE212" s="97" t="s">
        <v>3091</v>
      </c>
      <c r="AF212" s="97"/>
      <c r="AG212" s="97"/>
      <c r="AH212" s="96">
        <f t="shared" si="63"/>
        <v>1</v>
      </c>
      <c r="AI212" s="97" t="s">
        <v>161</v>
      </c>
      <c r="AJ212" s="97"/>
      <c r="AK212" s="97"/>
      <c r="AL212" s="97" t="s">
        <v>150</v>
      </c>
      <c r="AM212" s="97"/>
      <c r="AN212" s="97"/>
      <c r="AO212" s="97" t="s">
        <v>164</v>
      </c>
      <c r="AP212" s="97" t="s">
        <v>3092</v>
      </c>
      <c r="AQ212" s="97" t="s">
        <v>3093</v>
      </c>
      <c r="AR212" s="97"/>
      <c r="AS212" s="97"/>
      <c r="AT212" s="402" t="s">
        <v>3094</v>
      </c>
      <c r="AU212" s="96" t="s">
        <v>3095</v>
      </c>
      <c r="AV212" s="97"/>
      <c r="AW212" s="99">
        <v>43528</v>
      </c>
      <c r="AX212" s="99">
        <v>43770</v>
      </c>
      <c r="AY212" s="99" t="s">
        <v>150</v>
      </c>
      <c r="AZ212" s="99">
        <v>43271</v>
      </c>
      <c r="BA212" s="99">
        <v>43977</v>
      </c>
      <c r="BB212" s="99"/>
      <c r="BC212" s="99"/>
      <c r="BD212" s="99"/>
      <c r="BE212" s="100" t="s">
        <v>3096</v>
      </c>
      <c r="BF212" s="99">
        <v>44470</v>
      </c>
      <c r="BG212" s="99" t="s">
        <v>150</v>
      </c>
      <c r="BH212" s="99">
        <v>44732</v>
      </c>
      <c r="BI212" s="99" t="s">
        <v>150</v>
      </c>
      <c r="BJ212" s="97"/>
      <c r="BK212" s="97">
        <v>45152</v>
      </c>
      <c r="BL212" s="97"/>
      <c r="BM212" s="101">
        <v>45163</v>
      </c>
      <c r="BN212" s="96" t="s">
        <v>16</v>
      </c>
      <c r="BO212" s="96">
        <f t="shared" ref="BO212" si="66">DATEDIF(AW212,BM212, "M")+1</f>
        <v>54</v>
      </c>
      <c r="BP212" s="266">
        <f t="shared" ref="BP212:BP213" si="67">DATEDIF(AX212,BM212, "M")+1</f>
        <v>46</v>
      </c>
      <c r="BQ212" s="266" t="s">
        <v>3097</v>
      </c>
      <c r="BR212" s="96">
        <v>2</v>
      </c>
      <c r="BS212" s="96">
        <v>1</v>
      </c>
      <c r="BT212" s="96"/>
      <c r="BU212" s="96"/>
      <c r="BV212" s="96"/>
      <c r="BW212" s="96"/>
      <c r="BX212" s="96"/>
      <c r="BY212" s="96" t="s">
        <v>163</v>
      </c>
      <c r="BZ212" s="96"/>
      <c r="CA212" s="96"/>
      <c r="CB212" s="103"/>
      <c r="CC212" s="103"/>
      <c r="CD212" s="96"/>
      <c r="CE212" s="96"/>
      <c r="CF212" s="96"/>
      <c r="CG212" s="96"/>
      <c r="CH212" s="371"/>
      <c r="CI212" s="96"/>
      <c r="CJ212" s="96"/>
      <c r="CK212" s="96" t="s">
        <v>809</v>
      </c>
      <c r="CL212"/>
    </row>
    <row r="213" spans="1:90" s="53" customFormat="1" ht="24" customHeight="1">
      <c r="A213" s="96">
        <v>216</v>
      </c>
      <c r="B213" s="96" t="s">
        <v>3098</v>
      </c>
      <c r="C213" s="96" t="s">
        <v>3099</v>
      </c>
      <c r="D213" s="96" t="s">
        <v>3100</v>
      </c>
      <c r="E213" s="96" t="s">
        <v>3101</v>
      </c>
      <c r="F213" s="96" t="s">
        <v>24</v>
      </c>
      <c r="G213" s="96">
        <v>9</v>
      </c>
      <c r="H213" s="96" t="s">
        <v>58</v>
      </c>
      <c r="I213" s="96" t="s">
        <v>45</v>
      </c>
      <c r="J213" s="96" t="s">
        <v>3102</v>
      </c>
      <c r="K213" s="96" t="s">
        <v>3103</v>
      </c>
      <c r="L213" s="96" t="s">
        <v>45</v>
      </c>
      <c r="M213" s="96" t="s">
        <v>150</v>
      </c>
      <c r="N213" s="96" t="s">
        <v>3104</v>
      </c>
      <c r="O213" s="96" t="s">
        <v>322</v>
      </c>
      <c r="P213" s="96" t="s">
        <v>322</v>
      </c>
      <c r="Q213" s="96"/>
      <c r="R213" s="96" t="s">
        <v>3105</v>
      </c>
      <c r="S213" s="96" t="s">
        <v>3106</v>
      </c>
      <c r="T213" s="196" t="s">
        <v>3107</v>
      </c>
      <c r="U213" s="97" t="s">
        <v>3108</v>
      </c>
      <c r="V213" s="97">
        <v>31878</v>
      </c>
      <c r="W213" s="105" t="s">
        <v>3109</v>
      </c>
      <c r="X213" s="105" t="s">
        <v>179</v>
      </c>
      <c r="Y213" s="105"/>
      <c r="Z213" s="105"/>
      <c r="AA213" s="96">
        <v>6</v>
      </c>
      <c r="AB213" s="97">
        <v>43861</v>
      </c>
      <c r="AC213" s="282">
        <v>43525</v>
      </c>
      <c r="AD213" s="97"/>
      <c r="AE213" s="97" t="s">
        <v>3110</v>
      </c>
      <c r="AF213" s="97" t="s">
        <v>3111</v>
      </c>
      <c r="AG213" s="97"/>
      <c r="AH213" s="96">
        <f t="shared" si="63"/>
        <v>2</v>
      </c>
      <c r="AI213" s="97" t="s">
        <v>161</v>
      </c>
      <c r="AJ213" s="97" t="s">
        <v>161</v>
      </c>
      <c r="AK213" s="97"/>
      <c r="AL213" s="97" t="s">
        <v>163</v>
      </c>
      <c r="AM213" s="97" t="s">
        <v>163</v>
      </c>
      <c r="AN213" s="97"/>
      <c r="AO213" s="97" t="s">
        <v>164</v>
      </c>
      <c r="AP213" s="97" t="s">
        <v>203</v>
      </c>
      <c r="AQ213" s="97" t="s">
        <v>250</v>
      </c>
      <c r="AR213" s="97"/>
      <c r="AS213" s="97"/>
      <c r="AT213" s="401" t="s">
        <v>3112</v>
      </c>
      <c r="AU213" s="96" t="s">
        <v>3050</v>
      </c>
      <c r="AV213" s="97"/>
      <c r="AW213" s="99">
        <v>43528</v>
      </c>
      <c r="AX213" s="99">
        <v>43770</v>
      </c>
      <c r="AY213" s="99" t="s">
        <v>150</v>
      </c>
      <c r="AZ213" s="99">
        <v>43918</v>
      </c>
      <c r="BA213" s="99">
        <v>44050</v>
      </c>
      <c r="BB213" s="99"/>
      <c r="BC213" s="99"/>
      <c r="BD213" s="99"/>
      <c r="BE213" s="100" t="s">
        <v>3113</v>
      </c>
      <c r="BF213" s="99">
        <v>44470</v>
      </c>
      <c r="BG213" s="99" t="s">
        <v>150</v>
      </c>
      <c r="BH213" s="99">
        <v>44732</v>
      </c>
      <c r="BI213" s="99" t="s">
        <v>150</v>
      </c>
      <c r="BJ213" s="97">
        <v>45247</v>
      </c>
      <c r="BK213" s="97"/>
      <c r="BL213" s="97"/>
      <c r="BM213" s="101">
        <v>45441</v>
      </c>
      <c r="BN213" s="96" t="s">
        <v>16</v>
      </c>
      <c r="BO213" s="96">
        <f>DATEDIF(AW213,BM213, "M")+1</f>
        <v>63</v>
      </c>
      <c r="BP213" s="266">
        <f t="shared" si="67"/>
        <v>55</v>
      </c>
      <c r="BQ213" s="266" t="s">
        <v>3114</v>
      </c>
      <c r="BR213" s="96">
        <v>0</v>
      </c>
      <c r="BS213" s="96"/>
      <c r="BT213" s="96"/>
      <c r="BU213" s="96"/>
      <c r="BV213" s="96"/>
      <c r="BW213" s="96"/>
      <c r="BX213" s="96"/>
      <c r="BY213" s="96" t="s">
        <v>163</v>
      </c>
      <c r="BZ213" s="96"/>
      <c r="CA213" s="96"/>
      <c r="CB213" s="103"/>
      <c r="CC213" s="103"/>
      <c r="CD213" s="96"/>
      <c r="CE213" s="96"/>
      <c r="CF213" s="96"/>
      <c r="CG213" s="96"/>
      <c r="CH213" s="371">
        <v>0</v>
      </c>
      <c r="CI213" s="96"/>
      <c r="CJ213" s="96"/>
      <c r="CK213" s="96" t="s">
        <v>809</v>
      </c>
      <c r="CL213"/>
    </row>
    <row r="214" spans="1:90" s="53" customFormat="1" ht="24.95" customHeight="1">
      <c r="A214" s="91">
        <v>217</v>
      </c>
      <c r="B214" s="91" t="s">
        <v>3115</v>
      </c>
      <c r="C214" s="91" t="s">
        <v>3116</v>
      </c>
      <c r="D214" s="91" t="s">
        <v>3117</v>
      </c>
      <c r="E214" s="91" t="s">
        <v>3118</v>
      </c>
      <c r="F214" s="91" t="s">
        <v>24</v>
      </c>
      <c r="G214" s="91">
        <v>9</v>
      </c>
      <c r="H214" s="91" t="s">
        <v>52</v>
      </c>
      <c r="I214" s="91" t="s">
        <v>42</v>
      </c>
      <c r="J214" s="91" t="s">
        <v>2679</v>
      </c>
      <c r="K214" s="91" t="s">
        <v>3119</v>
      </c>
      <c r="L214" s="91" t="s">
        <v>42</v>
      </c>
      <c r="M214" s="91" t="s">
        <v>150</v>
      </c>
      <c r="N214" s="91" t="s">
        <v>3120</v>
      </c>
      <c r="O214" s="91" t="s">
        <v>151</v>
      </c>
      <c r="P214" s="91" t="s">
        <v>151</v>
      </c>
      <c r="Q214" s="91"/>
      <c r="R214" s="91" t="s">
        <v>3121</v>
      </c>
      <c r="S214" s="91" t="s">
        <v>3122</v>
      </c>
      <c r="T214" s="200" t="s">
        <v>3123</v>
      </c>
      <c r="U214" s="92" t="s">
        <v>3124</v>
      </c>
      <c r="V214" s="92">
        <v>31511</v>
      </c>
      <c r="W214" s="164"/>
      <c r="X214" s="164" t="s">
        <v>202</v>
      </c>
      <c r="Y214" s="164"/>
      <c r="Z214" s="164"/>
      <c r="AA214" s="91">
        <v>5</v>
      </c>
      <c r="AB214" s="92">
        <v>43346</v>
      </c>
      <c r="AC214" s="281">
        <v>43525</v>
      </c>
      <c r="AD214" s="92">
        <v>44818</v>
      </c>
      <c r="AE214" s="92" t="s">
        <v>3125</v>
      </c>
      <c r="AF214" s="92" t="s">
        <v>3126</v>
      </c>
      <c r="AG214" s="114"/>
      <c r="AH214" s="91">
        <f>COUNTA(AE214:AF214)</f>
        <v>2</v>
      </c>
      <c r="AI214" s="92" t="s">
        <v>161</v>
      </c>
      <c r="AJ214" s="92" t="s">
        <v>161</v>
      </c>
      <c r="AK214" s="92" t="s">
        <v>202</v>
      </c>
      <c r="AL214" s="92" t="s">
        <v>163</v>
      </c>
      <c r="AM214" s="92"/>
      <c r="AN214" s="92"/>
      <c r="AO214" s="92" t="s">
        <v>182</v>
      </c>
      <c r="AP214" s="92" t="s">
        <v>3127</v>
      </c>
      <c r="AQ214" s="92" t="s">
        <v>182</v>
      </c>
      <c r="AR214" s="92"/>
      <c r="AS214" s="92"/>
      <c r="AT214" s="400" t="s">
        <v>420</v>
      </c>
      <c r="AU214" s="91" t="s">
        <v>3128</v>
      </c>
      <c r="AV214" s="92"/>
      <c r="AW214" s="93">
        <v>43528</v>
      </c>
      <c r="AX214" s="93">
        <v>43770</v>
      </c>
      <c r="AY214" s="93" t="s">
        <v>150</v>
      </c>
      <c r="AZ214" s="93">
        <v>43427</v>
      </c>
      <c r="BA214" s="93">
        <v>43599</v>
      </c>
      <c r="BB214" s="93"/>
      <c r="BC214" s="93"/>
      <c r="BD214" s="93"/>
      <c r="BE214" s="94" t="s">
        <v>3129</v>
      </c>
      <c r="BF214" s="93"/>
      <c r="BG214" s="93"/>
      <c r="BH214" s="93"/>
      <c r="BI214" s="93"/>
      <c r="BJ214" s="91"/>
      <c r="BK214" s="91"/>
      <c r="BL214" s="91"/>
      <c r="BM214" s="109"/>
      <c r="BN214" s="91" t="s">
        <v>18</v>
      </c>
      <c r="BO214" s="265" t="s">
        <v>18</v>
      </c>
      <c r="BP214" s="265"/>
      <c r="BQ214" s="91"/>
      <c r="BR214" s="91">
        <v>1</v>
      </c>
      <c r="BS214" s="91">
        <v>1</v>
      </c>
      <c r="BT214" s="91"/>
      <c r="BU214" s="91"/>
      <c r="BV214" s="91"/>
      <c r="BW214" s="91"/>
      <c r="BX214" s="91"/>
      <c r="BY214" s="91" t="s">
        <v>3130</v>
      </c>
      <c r="BZ214" s="91"/>
      <c r="CA214" s="91"/>
      <c r="CB214" s="95">
        <v>44398</v>
      </c>
      <c r="CC214" s="95">
        <v>44733</v>
      </c>
      <c r="CD214" s="91">
        <v>12</v>
      </c>
      <c r="CE214" s="91"/>
      <c r="CF214" s="91"/>
      <c r="CG214" s="91"/>
      <c r="CH214" s="113">
        <v>2</v>
      </c>
      <c r="CI214" s="91"/>
      <c r="CJ214" s="91"/>
      <c r="CK214" s="91" t="s">
        <v>809</v>
      </c>
      <c r="CL214"/>
    </row>
    <row r="215" spans="1:90" s="53" customFormat="1" ht="24.95" customHeight="1">
      <c r="A215" s="96">
        <v>218</v>
      </c>
      <c r="B215" s="96" t="s">
        <v>3131</v>
      </c>
      <c r="C215" s="96" t="s">
        <v>3132</v>
      </c>
      <c r="D215" s="96" t="s">
        <v>2651</v>
      </c>
      <c r="E215" s="96" t="s">
        <v>3133</v>
      </c>
      <c r="F215" s="96" t="s">
        <v>24</v>
      </c>
      <c r="G215" s="96">
        <v>9</v>
      </c>
      <c r="H215" s="96" t="s">
        <v>54</v>
      </c>
      <c r="I215" s="96" t="s">
        <v>31</v>
      </c>
      <c r="J215" s="96" t="s">
        <v>3134</v>
      </c>
      <c r="K215" s="96" t="s">
        <v>3134</v>
      </c>
      <c r="L215" s="96" t="s">
        <v>45</v>
      </c>
      <c r="M215" s="96" t="s">
        <v>163</v>
      </c>
      <c r="N215" s="96" t="s">
        <v>3135</v>
      </c>
      <c r="O215" s="96" t="s">
        <v>151</v>
      </c>
      <c r="P215" s="96" t="s">
        <v>151</v>
      </c>
      <c r="Q215" s="96"/>
      <c r="R215" s="96" t="s">
        <v>3136</v>
      </c>
      <c r="S215" s="96" t="s">
        <v>3137</v>
      </c>
      <c r="T215" s="199" t="s">
        <v>3138</v>
      </c>
      <c r="U215" s="267"/>
      <c r="V215" s="97">
        <v>27798</v>
      </c>
      <c r="W215" s="105" t="s">
        <v>3139</v>
      </c>
      <c r="X215" s="105" t="s">
        <v>179</v>
      </c>
      <c r="Y215" s="105"/>
      <c r="Z215" s="105"/>
      <c r="AA215" s="96">
        <v>24</v>
      </c>
      <c r="AB215" s="97">
        <v>43647</v>
      </c>
      <c r="AC215" s="282">
        <v>43525</v>
      </c>
      <c r="AD215" s="97"/>
      <c r="AE215" s="97" t="s">
        <v>3140</v>
      </c>
      <c r="AF215" s="97"/>
      <c r="AG215" s="97"/>
      <c r="AH215" s="96">
        <f t="shared" si="63"/>
        <v>1</v>
      </c>
      <c r="AI215" s="97" t="s">
        <v>162</v>
      </c>
      <c r="AJ215" s="97"/>
      <c r="AK215" s="97"/>
      <c r="AL215" s="97" t="s">
        <v>163</v>
      </c>
      <c r="AM215" s="97"/>
      <c r="AN215" s="97"/>
      <c r="AO215" s="97" t="s">
        <v>164</v>
      </c>
      <c r="AP215" s="97" t="s">
        <v>203</v>
      </c>
      <c r="AQ215" s="97" t="s">
        <v>250</v>
      </c>
      <c r="AR215" s="97"/>
      <c r="AS215" s="97"/>
      <c r="AT215" s="401" t="s">
        <v>328</v>
      </c>
      <c r="AU215" s="96" t="s">
        <v>3141</v>
      </c>
      <c r="AV215" s="97"/>
      <c r="AW215" s="99">
        <v>43528</v>
      </c>
      <c r="AX215" s="99">
        <v>43770</v>
      </c>
      <c r="AY215" s="99" t="s">
        <v>150</v>
      </c>
      <c r="AZ215" s="99">
        <v>44258</v>
      </c>
      <c r="BA215" s="99">
        <v>44287</v>
      </c>
      <c r="BB215" s="99"/>
      <c r="BC215" s="99"/>
      <c r="BD215" s="99"/>
      <c r="BE215" s="100" t="s">
        <v>3142</v>
      </c>
      <c r="BF215" s="99">
        <v>44470</v>
      </c>
      <c r="BG215" s="99" t="s">
        <v>150</v>
      </c>
      <c r="BH215" s="99">
        <v>44732</v>
      </c>
      <c r="BI215" s="99" t="s">
        <v>150</v>
      </c>
      <c r="BJ215" s="96"/>
      <c r="BK215" s="96"/>
      <c r="BL215" s="96"/>
      <c r="BM215" s="101">
        <v>45258</v>
      </c>
      <c r="BN215" s="96" t="s">
        <v>16</v>
      </c>
      <c r="BO215" s="96">
        <f t="shared" ref="BO215:BO218" si="68">DATEDIF(AW215,BM215, "M")+1</f>
        <v>57</v>
      </c>
      <c r="BP215" s="266">
        <f>DATEDIF(AX215,BM215, "M")+1</f>
        <v>49</v>
      </c>
      <c r="BQ215" s="266" t="s">
        <v>3143</v>
      </c>
      <c r="BR215" s="96">
        <v>5</v>
      </c>
      <c r="BS215" s="96">
        <v>6</v>
      </c>
      <c r="BT215" s="96"/>
      <c r="BU215" s="96"/>
      <c r="BV215" s="96"/>
      <c r="BW215" s="96"/>
      <c r="BX215" s="96"/>
      <c r="BY215" s="96" t="s">
        <v>163</v>
      </c>
      <c r="BZ215" s="96"/>
      <c r="CA215" s="96"/>
      <c r="CB215" s="103"/>
      <c r="CC215" s="103"/>
      <c r="CD215" s="96"/>
      <c r="CE215" s="96"/>
      <c r="CF215" s="96"/>
      <c r="CG215" s="96"/>
      <c r="CH215" s="371">
        <v>2</v>
      </c>
      <c r="CI215" s="96"/>
      <c r="CJ215" s="96"/>
      <c r="CK215" s="96" t="s">
        <v>809</v>
      </c>
      <c r="CL215"/>
    </row>
    <row r="216" spans="1:90" s="53" customFormat="1" ht="24.95" customHeight="1">
      <c r="A216" s="96">
        <v>219</v>
      </c>
      <c r="B216" s="96" t="s">
        <v>3144</v>
      </c>
      <c r="C216" s="96" t="s">
        <v>3145</v>
      </c>
      <c r="D216" s="96" t="s">
        <v>3146</v>
      </c>
      <c r="E216" s="96" t="s">
        <v>3147</v>
      </c>
      <c r="F216" s="96" t="s">
        <v>25</v>
      </c>
      <c r="G216" s="96">
        <v>9</v>
      </c>
      <c r="H216" s="96" t="s">
        <v>52</v>
      </c>
      <c r="I216" s="96" t="s">
        <v>37</v>
      </c>
      <c r="J216" s="96" t="s">
        <v>3148</v>
      </c>
      <c r="K216" s="96" t="s">
        <v>3149</v>
      </c>
      <c r="L216" s="96" t="s">
        <v>45</v>
      </c>
      <c r="M216" s="96" t="s">
        <v>163</v>
      </c>
      <c r="N216" s="96"/>
      <c r="O216" s="96" t="s">
        <v>151</v>
      </c>
      <c r="P216" s="96" t="s">
        <v>151</v>
      </c>
      <c r="Q216" s="96"/>
      <c r="R216" s="96" t="s">
        <v>3150</v>
      </c>
      <c r="S216" s="96" t="s">
        <v>3151</v>
      </c>
      <c r="T216" s="196" t="s">
        <v>3152</v>
      </c>
      <c r="U216" s="97" t="s">
        <v>3153</v>
      </c>
      <c r="V216" s="97">
        <v>29084</v>
      </c>
      <c r="W216" s="105" t="s">
        <v>3154</v>
      </c>
      <c r="X216" s="105" t="s">
        <v>2379</v>
      </c>
      <c r="Y216" s="105" t="s">
        <v>157</v>
      </c>
      <c r="Z216" s="105"/>
      <c r="AA216" s="96">
        <v>16</v>
      </c>
      <c r="AB216" s="97">
        <v>43831</v>
      </c>
      <c r="AC216" s="282">
        <v>43525</v>
      </c>
      <c r="AD216" s="97"/>
      <c r="AE216" s="97" t="s">
        <v>3155</v>
      </c>
      <c r="AF216" s="97" t="s">
        <v>3156</v>
      </c>
      <c r="AG216" s="97" t="s">
        <v>3157</v>
      </c>
      <c r="AH216" s="96">
        <f t="shared" si="63"/>
        <v>3</v>
      </c>
      <c r="AI216" s="97" t="s">
        <v>162</v>
      </c>
      <c r="AJ216" s="97" t="s">
        <v>161</v>
      </c>
      <c r="AK216" s="97" t="s">
        <v>161</v>
      </c>
      <c r="AL216" s="97" t="s">
        <v>150</v>
      </c>
      <c r="AM216" s="97"/>
      <c r="AN216" s="97"/>
      <c r="AO216" s="97" t="s">
        <v>164</v>
      </c>
      <c r="AP216" s="97" t="s">
        <v>203</v>
      </c>
      <c r="AQ216" s="97" t="s">
        <v>203</v>
      </c>
      <c r="AR216" s="97"/>
      <c r="AS216" s="97"/>
      <c r="AT216" s="401" t="s">
        <v>204</v>
      </c>
      <c r="AU216" s="96" t="s">
        <v>3158</v>
      </c>
      <c r="AV216" s="97"/>
      <c r="AW216" s="99">
        <v>43528</v>
      </c>
      <c r="AX216" s="99">
        <v>43770</v>
      </c>
      <c r="AY216" s="99" t="s">
        <v>150</v>
      </c>
      <c r="AZ216" s="99">
        <v>44887</v>
      </c>
      <c r="BA216" s="99">
        <v>44887</v>
      </c>
      <c r="BB216" s="99"/>
      <c r="BC216" s="99"/>
      <c r="BD216" s="99"/>
      <c r="BE216" s="100" t="s">
        <v>3159</v>
      </c>
      <c r="BF216" s="99">
        <v>44470</v>
      </c>
      <c r="BG216" s="99" t="s">
        <v>150</v>
      </c>
      <c r="BH216" s="99">
        <v>44732</v>
      </c>
      <c r="BI216" s="99" t="s">
        <v>150</v>
      </c>
      <c r="BJ216" s="96"/>
      <c r="BK216" s="96"/>
      <c r="BL216" s="96"/>
      <c r="BM216" s="101"/>
      <c r="BN216" s="96" t="s">
        <v>17</v>
      </c>
      <c r="BO216" s="220"/>
      <c r="BP216" s="266"/>
      <c r="BQ216" s="96"/>
      <c r="BR216" s="96">
        <v>3</v>
      </c>
      <c r="BS216" s="96"/>
      <c r="BT216" s="96"/>
      <c r="BU216" s="96"/>
      <c r="BV216" s="96"/>
      <c r="BW216" s="96"/>
      <c r="BX216" s="96"/>
      <c r="BY216" s="96" t="s">
        <v>163</v>
      </c>
      <c r="BZ216" s="96"/>
      <c r="CA216" s="96"/>
      <c r="CB216" s="103"/>
      <c r="CC216" s="103"/>
      <c r="CD216" s="96"/>
      <c r="CE216" s="96"/>
      <c r="CF216" s="96"/>
      <c r="CG216" s="96"/>
      <c r="CH216" s="371">
        <v>3</v>
      </c>
      <c r="CI216" s="96"/>
      <c r="CJ216" s="96"/>
      <c r="CK216" s="96" t="s">
        <v>809</v>
      </c>
      <c r="CL216"/>
    </row>
    <row r="217" spans="1:90" s="53" customFormat="1" ht="24.95" customHeight="1">
      <c r="A217" s="96">
        <v>220</v>
      </c>
      <c r="B217" s="96" t="s">
        <v>3160</v>
      </c>
      <c r="C217" s="96" t="s">
        <v>3161</v>
      </c>
      <c r="D217" s="96" t="s">
        <v>3162</v>
      </c>
      <c r="E217" s="96" t="s">
        <v>3163</v>
      </c>
      <c r="F217" s="96" t="s">
        <v>24</v>
      </c>
      <c r="G217" s="96">
        <v>9</v>
      </c>
      <c r="H217" s="96" t="s">
        <v>54</v>
      </c>
      <c r="I217" s="96" t="s">
        <v>39</v>
      </c>
      <c r="J217" s="96" t="s">
        <v>3164</v>
      </c>
      <c r="K217" s="96" t="s">
        <v>3165</v>
      </c>
      <c r="L217" s="96" t="s">
        <v>39</v>
      </c>
      <c r="M217" s="96" t="s">
        <v>150</v>
      </c>
      <c r="N217" s="96" t="s">
        <v>3166</v>
      </c>
      <c r="O217" s="96" t="s">
        <v>151</v>
      </c>
      <c r="P217" s="96" t="s">
        <v>151</v>
      </c>
      <c r="Q217" s="96"/>
      <c r="R217" s="96" t="s">
        <v>3167</v>
      </c>
      <c r="S217" s="96" t="s">
        <v>3168</v>
      </c>
      <c r="T217" s="196" t="s">
        <v>3169</v>
      </c>
      <c r="U217" s="97" t="s">
        <v>2751</v>
      </c>
      <c r="V217" s="97">
        <v>27500</v>
      </c>
      <c r="W217" s="105"/>
      <c r="X217" s="105" t="s">
        <v>179</v>
      </c>
      <c r="Y217" s="105" t="s">
        <v>163</v>
      </c>
      <c r="Z217" s="105"/>
      <c r="AA217" s="96">
        <v>9</v>
      </c>
      <c r="AB217" s="97">
        <v>43396</v>
      </c>
      <c r="AC217" s="282">
        <v>43525</v>
      </c>
      <c r="AD217" s="97"/>
      <c r="AE217" s="97" t="s">
        <v>3170</v>
      </c>
      <c r="AF217" s="97" t="s">
        <v>3171</v>
      </c>
      <c r="AG217" s="97"/>
      <c r="AH217" s="96">
        <f t="shared" si="63"/>
        <v>2</v>
      </c>
      <c r="AI217" s="97" t="s">
        <v>161</v>
      </c>
      <c r="AJ217" s="97" t="s">
        <v>161</v>
      </c>
      <c r="AK217" s="97"/>
      <c r="AL217" s="97" t="s">
        <v>150</v>
      </c>
      <c r="AM217" s="97"/>
      <c r="AN217" s="97"/>
      <c r="AO217" s="97" t="s">
        <v>182</v>
      </c>
      <c r="AP217" s="97" t="s">
        <v>1265</v>
      </c>
      <c r="AQ217" s="97"/>
      <c r="AR217" s="97"/>
      <c r="AS217" s="97"/>
      <c r="AT217" s="401" t="s">
        <v>285</v>
      </c>
      <c r="AU217" s="96" t="s">
        <v>3172</v>
      </c>
      <c r="AV217" s="97"/>
      <c r="AW217" s="99">
        <v>43528</v>
      </c>
      <c r="AX217" s="99">
        <v>43770</v>
      </c>
      <c r="AY217" s="99" t="s">
        <v>150</v>
      </c>
      <c r="AZ217" s="99">
        <v>44404</v>
      </c>
      <c r="BA217" s="99">
        <v>44351</v>
      </c>
      <c r="BB217" s="99"/>
      <c r="BC217" s="99"/>
      <c r="BD217" s="99"/>
      <c r="BE217" s="100" t="s">
        <v>3173</v>
      </c>
      <c r="BF217" s="99">
        <v>44470</v>
      </c>
      <c r="BG217" s="99" t="s">
        <v>150</v>
      </c>
      <c r="BH217" s="99">
        <v>44732</v>
      </c>
      <c r="BI217" s="99" t="s">
        <v>150</v>
      </c>
      <c r="BJ217" s="96"/>
      <c r="BK217" s="98">
        <v>45272</v>
      </c>
      <c r="BL217" s="98">
        <v>45283</v>
      </c>
      <c r="BM217" s="101">
        <v>44938</v>
      </c>
      <c r="BN217" s="96" t="s">
        <v>16</v>
      </c>
      <c r="BO217" s="96">
        <f t="shared" si="68"/>
        <v>47</v>
      </c>
      <c r="BP217" s="266">
        <f t="shared" ref="BP217:BP218" si="69">DATEDIF(AX217,BM217, "M")+1</f>
        <v>39</v>
      </c>
      <c r="BQ217" s="266" t="s">
        <v>3174</v>
      </c>
      <c r="BR217" s="96">
        <v>7</v>
      </c>
      <c r="BS217" s="96">
        <v>4</v>
      </c>
      <c r="BT217" s="96"/>
      <c r="BU217" s="96"/>
      <c r="BV217" s="96"/>
      <c r="BW217" s="96"/>
      <c r="BX217" s="96"/>
      <c r="BY217" s="96" t="s">
        <v>163</v>
      </c>
      <c r="BZ217" s="96"/>
      <c r="CA217" s="96"/>
      <c r="CB217" s="103"/>
      <c r="CC217" s="103"/>
      <c r="CD217" s="96"/>
      <c r="CE217" s="96"/>
      <c r="CF217" s="96"/>
      <c r="CG217" s="96"/>
      <c r="CH217" s="371">
        <v>3</v>
      </c>
      <c r="CI217" s="96"/>
      <c r="CJ217" s="96"/>
      <c r="CK217" s="96" t="s">
        <v>809</v>
      </c>
      <c r="CL217"/>
    </row>
    <row r="218" spans="1:90" s="53" customFormat="1" ht="24.95" customHeight="1">
      <c r="A218" s="96">
        <v>221</v>
      </c>
      <c r="B218" s="96" t="s">
        <v>3175</v>
      </c>
      <c r="C218" s="96" t="s">
        <v>3176</v>
      </c>
      <c r="D218" s="96" t="s">
        <v>619</v>
      </c>
      <c r="E218" s="96" t="s">
        <v>3177</v>
      </c>
      <c r="F218" s="96" t="s">
        <v>25</v>
      </c>
      <c r="G218" s="96">
        <v>9</v>
      </c>
      <c r="H218" s="96" t="s">
        <v>59</v>
      </c>
      <c r="I218" s="96" t="s">
        <v>40</v>
      </c>
      <c r="J218" s="96" t="s">
        <v>1128</v>
      </c>
      <c r="K218" s="96" t="s">
        <v>3178</v>
      </c>
      <c r="L218" s="96" t="s">
        <v>45</v>
      </c>
      <c r="M218" s="96" t="s">
        <v>163</v>
      </c>
      <c r="N218" s="96"/>
      <c r="O218" s="96" t="s">
        <v>151</v>
      </c>
      <c r="P218" s="96" t="s">
        <v>151</v>
      </c>
      <c r="Q218" s="96"/>
      <c r="R218" s="318" t="s">
        <v>3179</v>
      </c>
      <c r="S218" s="318" t="s">
        <v>3180</v>
      </c>
      <c r="T218" s="198" t="s">
        <v>3181</v>
      </c>
      <c r="U218" s="97" t="s">
        <v>3182</v>
      </c>
      <c r="V218" s="97">
        <v>30008</v>
      </c>
      <c r="W218" s="105" t="s">
        <v>3183</v>
      </c>
      <c r="X218" s="105" t="s">
        <v>2379</v>
      </c>
      <c r="Y218" s="105" t="s">
        <v>157</v>
      </c>
      <c r="Z218" s="105"/>
      <c r="AA218" s="96">
        <v>9</v>
      </c>
      <c r="AB218" s="97">
        <v>43861</v>
      </c>
      <c r="AC218" s="282">
        <v>43525</v>
      </c>
      <c r="AD218" s="97"/>
      <c r="AE218" s="97" t="s">
        <v>3184</v>
      </c>
      <c r="AF218" s="97" t="s">
        <v>3185</v>
      </c>
      <c r="AG218" s="97" t="s">
        <v>3186</v>
      </c>
      <c r="AH218" s="96">
        <f t="shared" si="63"/>
        <v>3</v>
      </c>
      <c r="AI218" s="97" t="s">
        <v>162</v>
      </c>
      <c r="AJ218" s="97" t="s">
        <v>162</v>
      </c>
      <c r="AK218" s="97" t="s">
        <v>161</v>
      </c>
      <c r="AL218" s="97" t="s">
        <v>150</v>
      </c>
      <c r="AM218" s="97" t="s">
        <v>163</v>
      </c>
      <c r="AN218" s="97" t="s">
        <v>163</v>
      </c>
      <c r="AO218" s="97" t="s">
        <v>182</v>
      </c>
      <c r="AP218" s="97" t="s">
        <v>593</v>
      </c>
      <c r="AQ218" s="97"/>
      <c r="AR218" s="97"/>
      <c r="AS218" s="97"/>
      <c r="AT218" s="401" t="s">
        <v>1266</v>
      </c>
      <c r="AU218" s="96" t="s">
        <v>3187</v>
      </c>
      <c r="AV218" s="97"/>
      <c r="AW218" s="99">
        <v>43528</v>
      </c>
      <c r="AX218" s="99">
        <v>43770</v>
      </c>
      <c r="AY218" s="99" t="s">
        <v>150</v>
      </c>
      <c r="AZ218" s="99">
        <v>44239</v>
      </c>
      <c r="BA218" s="99">
        <v>44375</v>
      </c>
      <c r="BB218" s="99"/>
      <c r="BC218" s="99"/>
      <c r="BD218" s="99"/>
      <c r="BE218" s="100" t="s">
        <v>3188</v>
      </c>
      <c r="BF218" s="99">
        <v>44470</v>
      </c>
      <c r="BG218" s="99" t="s">
        <v>150</v>
      </c>
      <c r="BH218" s="99">
        <v>44732</v>
      </c>
      <c r="BI218" s="99" t="s">
        <v>150</v>
      </c>
      <c r="BJ218" s="96"/>
      <c r="BK218" s="96"/>
      <c r="BL218" s="96"/>
      <c r="BM218" s="101">
        <v>45313</v>
      </c>
      <c r="BN218" s="96" t="s">
        <v>16</v>
      </c>
      <c r="BO218" s="96">
        <f t="shared" si="68"/>
        <v>59</v>
      </c>
      <c r="BP218" s="266">
        <f t="shared" si="69"/>
        <v>51</v>
      </c>
      <c r="BQ218" s="266" t="s">
        <v>3189</v>
      </c>
      <c r="BR218" s="96">
        <v>24</v>
      </c>
      <c r="BS218" s="96">
        <v>6</v>
      </c>
      <c r="BT218" s="96"/>
      <c r="BU218" s="96"/>
      <c r="BV218" s="96"/>
      <c r="BW218" s="96"/>
      <c r="BX218" s="96"/>
      <c r="BY218" s="96" t="s">
        <v>163</v>
      </c>
      <c r="BZ218" s="96"/>
      <c r="CA218" s="96"/>
      <c r="CB218" s="103"/>
      <c r="CC218" s="103"/>
      <c r="CD218" s="96"/>
      <c r="CE218" s="96"/>
      <c r="CF218" s="96"/>
      <c r="CG218" s="96"/>
      <c r="CH218" s="371">
        <v>1</v>
      </c>
      <c r="CI218" s="96"/>
      <c r="CJ218" s="96"/>
      <c r="CK218" s="96" t="s">
        <v>809</v>
      </c>
      <c r="CL218"/>
    </row>
    <row r="219" spans="1:90" s="53" customFormat="1" ht="24.95" customHeight="1">
      <c r="A219" s="96">
        <v>222</v>
      </c>
      <c r="B219" s="96" t="s">
        <v>3190</v>
      </c>
      <c r="C219" s="96" t="s">
        <v>3191</v>
      </c>
      <c r="D219" s="96"/>
      <c r="E219" s="96" t="s">
        <v>3192</v>
      </c>
      <c r="F219" s="96" t="s">
        <v>24</v>
      </c>
      <c r="G219" s="96">
        <v>9</v>
      </c>
      <c r="H219" s="96" t="s">
        <v>53</v>
      </c>
      <c r="I219" s="96" t="s">
        <v>46</v>
      </c>
      <c r="J219" s="96" t="s">
        <v>3193</v>
      </c>
      <c r="K219" s="96" t="s">
        <v>3194</v>
      </c>
      <c r="L219" s="96" t="s">
        <v>44</v>
      </c>
      <c r="M219" s="96" t="s">
        <v>150</v>
      </c>
      <c r="N219" s="96">
        <v>201980015427</v>
      </c>
      <c r="O219" s="96" t="s">
        <v>151</v>
      </c>
      <c r="P219" s="96" t="s">
        <v>151</v>
      </c>
      <c r="Q219" s="96"/>
      <c r="R219" s="96" t="s">
        <v>3195</v>
      </c>
      <c r="S219" s="96" t="s">
        <v>3196</v>
      </c>
      <c r="T219" s="196" t="s">
        <v>3197</v>
      </c>
      <c r="U219" s="97" t="s">
        <v>3198</v>
      </c>
      <c r="V219" s="97">
        <v>33421</v>
      </c>
      <c r="W219" s="105" t="s">
        <v>3199</v>
      </c>
      <c r="X219" s="105" t="s">
        <v>156</v>
      </c>
      <c r="Y219" s="105"/>
      <c r="Z219" s="105"/>
      <c r="AA219" s="96">
        <v>3</v>
      </c>
      <c r="AB219" s="97">
        <v>43815</v>
      </c>
      <c r="AC219" s="282">
        <v>43525</v>
      </c>
      <c r="AD219" s="97"/>
      <c r="AE219" s="97" t="s">
        <v>3200</v>
      </c>
      <c r="AF219" s="97" t="s">
        <v>3201</v>
      </c>
      <c r="AG219" s="97"/>
      <c r="AH219" s="96">
        <f t="shared" si="63"/>
        <v>2</v>
      </c>
      <c r="AI219" s="97" t="s">
        <v>161</v>
      </c>
      <c r="AJ219" s="97" t="s">
        <v>161</v>
      </c>
      <c r="AK219" s="97"/>
      <c r="AL219" s="97" t="s">
        <v>163</v>
      </c>
      <c r="AM219" s="97" t="s">
        <v>150</v>
      </c>
      <c r="AN219" s="97"/>
      <c r="AO219" s="97" t="s">
        <v>182</v>
      </c>
      <c r="AP219" s="97" t="s">
        <v>2202</v>
      </c>
      <c r="AQ219" s="97" t="s">
        <v>2202</v>
      </c>
      <c r="AR219" s="97"/>
      <c r="AS219" s="97"/>
      <c r="AT219" s="401" t="s">
        <v>298</v>
      </c>
      <c r="AU219" s="96" t="s">
        <v>3202</v>
      </c>
      <c r="AV219" s="97"/>
      <c r="AW219" s="99">
        <v>43528</v>
      </c>
      <c r="AX219" s="99">
        <v>43770</v>
      </c>
      <c r="AY219" s="99" t="s">
        <v>150</v>
      </c>
      <c r="AZ219" s="99">
        <v>43609</v>
      </c>
      <c r="BA219" s="99">
        <v>43653</v>
      </c>
      <c r="BB219" s="99"/>
      <c r="BC219" s="99"/>
      <c r="BD219" s="99"/>
      <c r="BE219" s="100" t="s">
        <v>3203</v>
      </c>
      <c r="BF219" s="99">
        <v>44470</v>
      </c>
      <c r="BG219" s="99" t="s">
        <v>150</v>
      </c>
      <c r="BH219" s="99">
        <v>44732</v>
      </c>
      <c r="BI219" s="99" t="s">
        <v>150</v>
      </c>
      <c r="BJ219" s="96"/>
      <c r="BK219" s="96"/>
      <c r="BL219" s="96"/>
      <c r="BM219" s="101"/>
      <c r="BN219" s="96" t="s">
        <v>17</v>
      </c>
      <c r="BO219" s="220"/>
      <c r="BP219" s="266"/>
      <c r="BQ219" s="96"/>
      <c r="BR219" s="96">
        <v>0</v>
      </c>
      <c r="BS219" s="96">
        <v>5</v>
      </c>
      <c r="BT219" s="96"/>
      <c r="BU219" s="96"/>
      <c r="BV219" s="96"/>
      <c r="BW219" s="96"/>
      <c r="BX219" s="96"/>
      <c r="BY219" s="96" t="s">
        <v>163</v>
      </c>
      <c r="BZ219" s="96"/>
      <c r="CA219" s="96"/>
      <c r="CB219" s="103">
        <v>45078</v>
      </c>
      <c r="CC219" s="103">
        <v>45443</v>
      </c>
      <c r="CD219" s="96">
        <v>12</v>
      </c>
      <c r="CE219" s="96"/>
      <c r="CF219" s="96"/>
      <c r="CG219" s="96"/>
      <c r="CH219" s="371">
        <v>0</v>
      </c>
      <c r="CI219" s="96"/>
      <c r="CJ219" s="96"/>
      <c r="CK219" s="96" t="s">
        <v>809</v>
      </c>
      <c r="CL219"/>
    </row>
    <row r="220" spans="1:90" s="53" customFormat="1" ht="24.95" customHeight="1">
      <c r="A220" s="96">
        <v>223</v>
      </c>
      <c r="B220" s="96" t="s">
        <v>3204</v>
      </c>
      <c r="C220" s="96" t="s">
        <v>3205</v>
      </c>
      <c r="D220" s="96"/>
      <c r="E220" s="96" t="s">
        <v>3206</v>
      </c>
      <c r="F220" s="96" t="s">
        <v>24</v>
      </c>
      <c r="G220" s="96">
        <v>9</v>
      </c>
      <c r="H220" s="96" t="s">
        <v>54</v>
      </c>
      <c r="I220" s="96" t="s">
        <v>31</v>
      </c>
      <c r="J220" s="96" t="s">
        <v>3207</v>
      </c>
      <c r="K220" s="96" t="s">
        <v>3208</v>
      </c>
      <c r="L220" s="96" t="s">
        <v>31</v>
      </c>
      <c r="M220" s="96" t="s">
        <v>150</v>
      </c>
      <c r="N220" s="96"/>
      <c r="O220" s="96" t="s">
        <v>151</v>
      </c>
      <c r="P220" s="96" t="s">
        <v>151</v>
      </c>
      <c r="Q220" s="96"/>
      <c r="R220" s="96" t="s">
        <v>3209</v>
      </c>
      <c r="S220" s="96" t="s">
        <v>3210</v>
      </c>
      <c r="T220" s="196" t="s">
        <v>3211</v>
      </c>
      <c r="U220" s="268" t="s">
        <v>3212</v>
      </c>
      <c r="V220" s="97">
        <v>26828</v>
      </c>
      <c r="W220" s="201" t="s">
        <v>3213</v>
      </c>
      <c r="X220" s="201" t="s">
        <v>179</v>
      </c>
      <c r="Y220" s="201" t="s">
        <v>163</v>
      </c>
      <c r="Z220" s="201"/>
      <c r="AA220" s="96">
        <v>45</v>
      </c>
      <c r="AB220" s="97">
        <v>43840</v>
      </c>
      <c r="AC220" s="282">
        <v>43525</v>
      </c>
      <c r="AD220" s="97"/>
      <c r="AE220" s="97" t="s">
        <v>3214</v>
      </c>
      <c r="AF220" s="97"/>
      <c r="AG220" s="97"/>
      <c r="AH220" s="96">
        <f t="shared" si="63"/>
        <v>1</v>
      </c>
      <c r="AI220" s="97" t="s">
        <v>3215</v>
      </c>
      <c r="AJ220" s="97"/>
      <c r="AK220" s="97"/>
      <c r="AL220" s="97" t="s">
        <v>150</v>
      </c>
      <c r="AM220" s="97"/>
      <c r="AN220" s="97"/>
      <c r="AO220" s="97" t="s">
        <v>164</v>
      </c>
      <c r="AP220" s="97" t="s">
        <v>1440</v>
      </c>
      <c r="AQ220" s="97" t="s">
        <v>1440</v>
      </c>
      <c r="AR220" s="97"/>
      <c r="AS220" s="97"/>
      <c r="AT220" s="401" t="s">
        <v>328</v>
      </c>
      <c r="AU220" s="96" t="s">
        <v>3216</v>
      </c>
      <c r="AV220" s="97"/>
      <c r="AW220" s="99">
        <v>43528</v>
      </c>
      <c r="AX220" s="99">
        <v>43771</v>
      </c>
      <c r="AY220" s="99" t="s">
        <v>150</v>
      </c>
      <c r="AZ220" s="99">
        <v>40464</v>
      </c>
      <c r="BA220" s="99">
        <v>44116</v>
      </c>
      <c r="BB220" s="99"/>
      <c r="BC220" s="99"/>
      <c r="BD220" s="99"/>
      <c r="BE220" s="100" t="s">
        <v>3217</v>
      </c>
      <c r="BF220" s="99">
        <v>44470</v>
      </c>
      <c r="BG220" s="99" t="s">
        <v>150</v>
      </c>
      <c r="BH220" s="99">
        <v>44732</v>
      </c>
      <c r="BI220" s="99" t="s">
        <v>150</v>
      </c>
      <c r="BJ220" s="96"/>
      <c r="BK220" s="96"/>
      <c r="BL220" s="96"/>
      <c r="BM220" s="101"/>
      <c r="BN220" s="96" t="s">
        <v>17</v>
      </c>
      <c r="BO220" s="220"/>
      <c r="BP220" s="266"/>
      <c r="BQ220" s="96"/>
      <c r="BR220" s="96">
        <v>3</v>
      </c>
      <c r="BS220" s="96">
        <v>7</v>
      </c>
      <c r="BT220" s="96"/>
      <c r="BU220" s="96"/>
      <c r="BV220" s="96"/>
      <c r="BW220" s="96"/>
      <c r="BX220" s="96"/>
      <c r="BY220" s="96" t="s">
        <v>163</v>
      </c>
      <c r="BZ220" s="96"/>
      <c r="CA220" s="96"/>
      <c r="CB220" s="103"/>
      <c r="CC220" s="103"/>
      <c r="CD220" s="96"/>
      <c r="CE220" s="96"/>
      <c r="CF220" s="96"/>
      <c r="CG220" s="96"/>
      <c r="CH220" s="371">
        <v>3</v>
      </c>
      <c r="CI220" s="96"/>
      <c r="CJ220" s="96"/>
      <c r="CK220" s="96" t="s">
        <v>809</v>
      </c>
      <c r="CL220"/>
    </row>
    <row r="221" spans="1:90" s="53" customFormat="1" ht="24.95" customHeight="1">
      <c r="A221" s="96">
        <v>224</v>
      </c>
      <c r="B221" s="91" t="s">
        <v>3218</v>
      </c>
      <c r="C221" s="91" t="s">
        <v>3219</v>
      </c>
      <c r="D221" s="91" t="s">
        <v>3220</v>
      </c>
      <c r="E221" s="91" t="s">
        <v>3221</v>
      </c>
      <c r="F221" s="91" t="s">
        <v>24</v>
      </c>
      <c r="G221" s="91">
        <v>9</v>
      </c>
      <c r="H221" s="91" t="s">
        <v>60</v>
      </c>
      <c r="I221" s="91" t="s">
        <v>35</v>
      </c>
      <c r="J221" s="91" t="s">
        <v>1531</v>
      </c>
      <c r="K221" s="91" t="s">
        <v>2982</v>
      </c>
      <c r="L221" s="91"/>
      <c r="M221" s="91" t="s">
        <v>150</v>
      </c>
      <c r="N221" s="91"/>
      <c r="O221" s="91" t="s">
        <v>151</v>
      </c>
      <c r="P221" s="91" t="s">
        <v>151</v>
      </c>
      <c r="Q221" s="91"/>
      <c r="R221" s="91" t="s">
        <v>3222</v>
      </c>
      <c r="S221" s="194" t="s">
        <v>3223</v>
      </c>
      <c r="T221" s="200" t="s">
        <v>3224</v>
      </c>
      <c r="U221" s="92" t="s">
        <v>3225</v>
      </c>
      <c r="V221" s="92">
        <v>30844</v>
      </c>
      <c r="W221" s="164" t="s">
        <v>3226</v>
      </c>
      <c r="X221" s="164"/>
      <c r="Y221" s="164"/>
      <c r="Z221" s="164"/>
      <c r="AA221" s="91">
        <v>26</v>
      </c>
      <c r="AB221" s="92"/>
      <c r="AC221" s="281">
        <v>43525</v>
      </c>
      <c r="AD221" s="92">
        <v>44818</v>
      </c>
      <c r="AE221" s="92"/>
      <c r="AF221" s="92"/>
      <c r="AG221" s="92"/>
      <c r="AH221" s="91">
        <f t="shared" si="63"/>
        <v>0</v>
      </c>
      <c r="AI221" s="92"/>
      <c r="AJ221" s="92"/>
      <c r="AK221" s="92"/>
      <c r="AL221" s="92"/>
      <c r="AM221" s="92"/>
      <c r="AN221" s="92"/>
      <c r="AO221" s="92" t="s">
        <v>182</v>
      </c>
      <c r="AP221" s="92" t="s">
        <v>2891</v>
      </c>
      <c r="AQ221" s="92" t="s">
        <v>2891</v>
      </c>
      <c r="AR221" s="92"/>
      <c r="AS221" s="92"/>
      <c r="AT221" s="400" t="s">
        <v>580</v>
      </c>
      <c r="AU221" s="91" t="s">
        <v>3227</v>
      </c>
      <c r="AV221" s="92"/>
      <c r="AW221" s="93">
        <v>43891</v>
      </c>
      <c r="AX221" s="93">
        <v>44136</v>
      </c>
      <c r="AY221" s="93" t="s">
        <v>163</v>
      </c>
      <c r="AZ221" s="93"/>
      <c r="BA221" s="93"/>
      <c r="BB221" s="93"/>
      <c r="BC221" s="93"/>
      <c r="BD221" s="93"/>
      <c r="BE221" s="94" t="s">
        <v>3226</v>
      </c>
      <c r="BF221" s="93"/>
      <c r="BG221" s="93"/>
      <c r="BH221" s="93"/>
      <c r="BI221" s="93"/>
      <c r="BJ221" s="91"/>
      <c r="BK221" s="91"/>
      <c r="BL221" s="91"/>
      <c r="BM221" s="109"/>
      <c r="BN221" s="91" t="s">
        <v>18</v>
      </c>
      <c r="BO221" s="265" t="s">
        <v>18</v>
      </c>
      <c r="BP221" s="265"/>
      <c r="BQ221" s="91"/>
      <c r="BR221" s="91">
        <v>1</v>
      </c>
      <c r="BS221" s="91">
        <v>2</v>
      </c>
      <c r="BT221" s="91"/>
      <c r="BU221" s="91"/>
      <c r="BV221" s="91"/>
      <c r="BW221" s="91"/>
      <c r="BX221" s="91"/>
      <c r="BY221" s="91" t="s">
        <v>163</v>
      </c>
      <c r="BZ221" s="91" t="s">
        <v>150</v>
      </c>
      <c r="CA221" s="91"/>
      <c r="CB221" s="95">
        <v>43705</v>
      </c>
      <c r="CC221" s="95">
        <v>43914</v>
      </c>
      <c r="CD221" s="91">
        <v>7</v>
      </c>
      <c r="CE221" s="91"/>
      <c r="CF221" s="91"/>
      <c r="CG221" s="91"/>
      <c r="CH221" s="113">
        <v>3</v>
      </c>
      <c r="CI221" s="91"/>
      <c r="CJ221" s="91"/>
      <c r="CK221" s="91" t="s">
        <v>809</v>
      </c>
      <c r="CL221"/>
    </row>
    <row r="222" spans="1:90" s="53" customFormat="1" ht="29.45" customHeight="1">
      <c r="A222" s="202">
        <v>225</v>
      </c>
      <c r="B222" s="202" t="s">
        <v>3228</v>
      </c>
      <c r="C222" s="202" t="s">
        <v>3229</v>
      </c>
      <c r="D222" s="202"/>
      <c r="E222" s="202" t="s">
        <v>3230</v>
      </c>
      <c r="F222" s="202" t="s">
        <v>24</v>
      </c>
      <c r="G222" s="202">
        <v>10</v>
      </c>
      <c r="H222" s="202" t="s">
        <v>55</v>
      </c>
      <c r="I222" s="202" t="s">
        <v>43</v>
      </c>
      <c r="J222" s="202" t="s">
        <v>1421</v>
      </c>
      <c r="K222" s="202" t="s">
        <v>3231</v>
      </c>
      <c r="L222" s="202" t="s">
        <v>45</v>
      </c>
      <c r="M222" s="202" t="s">
        <v>163</v>
      </c>
      <c r="N222" s="202"/>
      <c r="O222" s="202" t="s">
        <v>151</v>
      </c>
      <c r="P222" s="202" t="s">
        <v>151</v>
      </c>
      <c r="Q222" s="202"/>
      <c r="R222" s="202" t="s">
        <v>3232</v>
      </c>
      <c r="S222" s="392" t="s">
        <v>3233</v>
      </c>
      <c r="T222" s="354" t="s">
        <v>3234</v>
      </c>
      <c r="U222" s="203" t="s">
        <v>3235</v>
      </c>
      <c r="V222" s="203">
        <v>29346</v>
      </c>
      <c r="W222" s="269" t="s">
        <v>3236</v>
      </c>
      <c r="X222" s="269" t="s">
        <v>179</v>
      </c>
      <c r="Y222" s="269"/>
      <c r="Z222" s="269"/>
      <c r="AA222" s="202"/>
      <c r="AB222" s="203">
        <v>44266</v>
      </c>
      <c r="AC222" s="289">
        <v>43891</v>
      </c>
      <c r="AD222" s="203"/>
      <c r="AE222" s="203" t="s">
        <v>3237</v>
      </c>
      <c r="AF222" s="203"/>
      <c r="AG222" s="203"/>
      <c r="AH222" s="202">
        <f t="shared" ref="AH222:AH246" si="70">COUNTA(AE222:AG222)</f>
        <v>1</v>
      </c>
      <c r="AI222" s="203"/>
      <c r="AJ222" s="203"/>
      <c r="AK222" s="203"/>
      <c r="AL222" s="203"/>
      <c r="AM222" s="203"/>
      <c r="AN222" s="203"/>
      <c r="AO222" s="203" t="s">
        <v>164</v>
      </c>
      <c r="AP222" s="203" t="s">
        <v>181</v>
      </c>
      <c r="AQ222" s="203" t="s">
        <v>181</v>
      </c>
      <c r="AR222" s="203" t="s">
        <v>163</v>
      </c>
      <c r="AS222" s="203"/>
      <c r="AT222" s="422" t="s">
        <v>219</v>
      </c>
      <c r="AU222" s="202" t="s">
        <v>3238</v>
      </c>
      <c r="AV222" s="203"/>
      <c r="AW222" s="204">
        <v>43892</v>
      </c>
      <c r="AX222" s="316" t="s">
        <v>3239</v>
      </c>
      <c r="AY222" s="203" t="s">
        <v>150</v>
      </c>
      <c r="AZ222" s="204">
        <v>44452</v>
      </c>
      <c r="BA222" s="204">
        <v>44531</v>
      </c>
      <c r="BB222" s="204"/>
      <c r="BC222" s="204"/>
      <c r="BD222" s="204"/>
      <c r="BE222" s="205" t="s">
        <v>3236</v>
      </c>
      <c r="BF222" s="204">
        <v>44872</v>
      </c>
      <c r="BG222" s="204" t="s">
        <v>150</v>
      </c>
      <c r="BH222" s="204">
        <v>45476</v>
      </c>
      <c r="BI222" s="204" t="s">
        <v>150</v>
      </c>
      <c r="BJ222" s="203"/>
      <c r="BK222" s="203"/>
      <c r="BL222" s="203"/>
      <c r="BM222" s="206">
        <v>45538</v>
      </c>
      <c r="BN222" s="202" t="s">
        <v>16</v>
      </c>
      <c r="BO222" s="270">
        <f>DATEDIF(AW222,BM222, "M")+1</f>
        <v>55</v>
      </c>
      <c r="BP222" s="270">
        <f>DATEDIF(AB222,BM222, "M")+1</f>
        <v>42</v>
      </c>
      <c r="BQ222" s="202" t="s">
        <v>3240</v>
      </c>
      <c r="BR222" s="202">
        <v>0</v>
      </c>
      <c r="BS222" s="202"/>
      <c r="BT222" s="202"/>
      <c r="BU222" s="202"/>
      <c r="BV222" s="202"/>
      <c r="BW222" s="202"/>
      <c r="BX222" s="202"/>
      <c r="BY222" s="202" t="s">
        <v>163</v>
      </c>
      <c r="BZ222" s="202"/>
      <c r="CA222" s="202"/>
      <c r="CB222" s="207"/>
      <c r="CC222" s="207"/>
      <c r="CD222" s="202"/>
      <c r="CE222" s="202"/>
      <c r="CF222" s="202"/>
      <c r="CG222" s="202"/>
      <c r="CH222" s="378">
        <v>3</v>
      </c>
      <c r="CI222" s="202"/>
      <c r="CJ222" s="202"/>
      <c r="CK222" s="202" t="s">
        <v>809</v>
      </c>
      <c r="CL222"/>
    </row>
    <row r="223" spans="1:90" s="53" customFormat="1" ht="32.450000000000003" customHeight="1">
      <c r="A223" s="202">
        <v>226</v>
      </c>
      <c r="B223" s="202" t="s">
        <v>3241</v>
      </c>
      <c r="C223" s="202" t="s">
        <v>3242</v>
      </c>
      <c r="D223" s="202"/>
      <c r="E223" s="202" t="s">
        <v>3243</v>
      </c>
      <c r="F223" s="202" t="s">
        <v>24</v>
      </c>
      <c r="G223" s="202">
        <v>10</v>
      </c>
      <c r="H223" s="202" t="s">
        <v>55</v>
      </c>
      <c r="I223" s="202" t="s">
        <v>43</v>
      </c>
      <c r="J223" s="202" t="s">
        <v>602</v>
      </c>
      <c r="K223" s="202" t="s">
        <v>3244</v>
      </c>
      <c r="L223" s="202" t="s">
        <v>45</v>
      </c>
      <c r="M223" s="202" t="s">
        <v>163</v>
      </c>
      <c r="N223" s="202">
        <v>2477108</v>
      </c>
      <c r="O223" s="202" t="s">
        <v>151</v>
      </c>
      <c r="P223" s="202" t="s">
        <v>151</v>
      </c>
      <c r="Q223" s="202"/>
      <c r="R223" s="392" t="s">
        <v>3245</v>
      </c>
      <c r="S223" s="392" t="s">
        <v>3246</v>
      </c>
      <c r="T223" s="354" t="s">
        <v>3247</v>
      </c>
      <c r="U223" s="203" t="s">
        <v>3248</v>
      </c>
      <c r="V223" s="203">
        <v>31357</v>
      </c>
      <c r="W223" s="269" t="s">
        <v>3249</v>
      </c>
      <c r="X223" s="269" t="s">
        <v>179</v>
      </c>
      <c r="Y223" s="269"/>
      <c r="Z223" s="269"/>
      <c r="AA223" s="202"/>
      <c r="AB223" s="203">
        <v>43815</v>
      </c>
      <c r="AC223" s="289">
        <v>43891</v>
      </c>
      <c r="AD223" s="203"/>
      <c r="AE223" s="203" t="s">
        <v>3250</v>
      </c>
      <c r="AF223" s="203"/>
      <c r="AG223" s="203"/>
      <c r="AH223" s="202">
        <f t="shared" si="70"/>
        <v>1</v>
      </c>
      <c r="AI223" s="203"/>
      <c r="AJ223" s="203"/>
      <c r="AK223" s="203"/>
      <c r="AL223" s="203"/>
      <c r="AM223" s="203"/>
      <c r="AN223" s="203"/>
      <c r="AO223" s="203" t="s">
        <v>164</v>
      </c>
      <c r="AP223" s="203" t="s">
        <v>181</v>
      </c>
      <c r="AQ223" s="203" t="s">
        <v>181</v>
      </c>
      <c r="AR223" s="203" t="s">
        <v>163</v>
      </c>
      <c r="AS223" s="203" t="s">
        <v>3251</v>
      </c>
      <c r="AT223" s="422" t="s">
        <v>219</v>
      </c>
      <c r="AU223" s="202" t="s">
        <v>3252</v>
      </c>
      <c r="AV223" s="203"/>
      <c r="AW223" s="204">
        <v>43893</v>
      </c>
      <c r="AX223" s="316" t="s">
        <v>3239</v>
      </c>
      <c r="AY223" s="203" t="s">
        <v>150</v>
      </c>
      <c r="AZ223" s="204">
        <v>44111</v>
      </c>
      <c r="BA223" s="204">
        <v>44075</v>
      </c>
      <c r="BB223" s="204"/>
      <c r="BC223" s="204"/>
      <c r="BD223" s="204"/>
      <c r="BE223" s="205" t="s">
        <v>3249</v>
      </c>
      <c r="BF223" s="204">
        <v>44872</v>
      </c>
      <c r="BG223" s="204" t="s">
        <v>150</v>
      </c>
      <c r="BH223" s="204">
        <v>45476</v>
      </c>
      <c r="BI223" s="204" t="s">
        <v>150</v>
      </c>
      <c r="BJ223" s="203">
        <v>45747</v>
      </c>
      <c r="BK223" s="203"/>
      <c r="BL223" s="203"/>
      <c r="BM223" s="206">
        <v>45936</v>
      </c>
      <c r="BN223" s="202" t="s">
        <v>16</v>
      </c>
      <c r="BO223" s="270">
        <f>DATEDIF(AW223,BM223, "M")+1</f>
        <v>68</v>
      </c>
      <c r="BP223" s="202" t="e">
        <f>DATEDIF(AX223,BM223, "M")+1</f>
        <v>#VALUE!</v>
      </c>
      <c r="BQ223" s="202"/>
      <c r="BR223" s="202">
        <v>1</v>
      </c>
      <c r="BS223" s="202">
        <v>2</v>
      </c>
      <c r="BT223" s="202"/>
      <c r="BU223" s="202"/>
      <c r="BV223" s="202"/>
      <c r="BW223" s="202"/>
      <c r="BX223" s="202"/>
      <c r="BY223" s="202" t="s">
        <v>163</v>
      </c>
      <c r="BZ223" s="202"/>
      <c r="CA223" s="202"/>
      <c r="CB223" s="207">
        <v>45586</v>
      </c>
      <c r="CC223" s="207">
        <v>45716</v>
      </c>
      <c r="CD223" s="202">
        <v>4</v>
      </c>
      <c r="CE223" s="202"/>
      <c r="CF223" s="202"/>
      <c r="CG223" s="202"/>
      <c r="CH223" s="378">
        <v>0</v>
      </c>
      <c r="CI223" s="202"/>
      <c r="CJ223" s="202"/>
      <c r="CK223" s="202" t="s">
        <v>809</v>
      </c>
      <c r="CL223"/>
    </row>
    <row r="224" spans="1:90" s="53" customFormat="1" ht="20.45" customHeight="1">
      <c r="A224" s="202">
        <v>227</v>
      </c>
      <c r="B224" s="202" t="s">
        <v>3253</v>
      </c>
      <c r="C224" s="202" t="s">
        <v>3254</v>
      </c>
      <c r="D224" s="202" t="s">
        <v>3255</v>
      </c>
      <c r="E224" s="202" t="s">
        <v>3256</v>
      </c>
      <c r="F224" s="202" t="s">
        <v>24</v>
      </c>
      <c r="G224" s="202">
        <v>10</v>
      </c>
      <c r="H224" s="202" t="s">
        <v>59</v>
      </c>
      <c r="I224" s="202" t="s">
        <v>40</v>
      </c>
      <c r="J224" s="202" t="s">
        <v>2139</v>
      </c>
      <c r="K224" s="202" t="s">
        <v>3257</v>
      </c>
      <c r="L224" s="202" t="s">
        <v>45</v>
      </c>
      <c r="M224" s="202" t="s">
        <v>163</v>
      </c>
      <c r="N224" s="202"/>
      <c r="O224" s="202" t="s">
        <v>322</v>
      </c>
      <c r="P224" s="202" t="s">
        <v>322</v>
      </c>
      <c r="Q224" s="202"/>
      <c r="R224" s="392" t="s">
        <v>3258</v>
      </c>
      <c r="S224" s="392" t="s">
        <v>3259</v>
      </c>
      <c r="T224" s="354" t="s">
        <v>3260</v>
      </c>
      <c r="U224" s="203" t="s">
        <v>3261</v>
      </c>
      <c r="V224" s="203">
        <v>30155</v>
      </c>
      <c r="W224" s="269" t="s">
        <v>3262</v>
      </c>
      <c r="X224" s="269" t="s">
        <v>2888</v>
      </c>
      <c r="Y224" s="269"/>
      <c r="Z224" s="269"/>
      <c r="AA224" s="202"/>
      <c r="AB224" s="203">
        <v>44089</v>
      </c>
      <c r="AC224" s="289">
        <v>43891</v>
      </c>
      <c r="AD224" s="203"/>
      <c r="AE224" s="203" t="s">
        <v>3263</v>
      </c>
      <c r="AF224" s="203" t="s">
        <v>3264</v>
      </c>
      <c r="AG224" s="203"/>
      <c r="AH224" s="202">
        <f t="shared" si="70"/>
        <v>2</v>
      </c>
      <c r="AI224" s="203"/>
      <c r="AJ224" s="203"/>
      <c r="AK224" s="203"/>
      <c r="AL224" s="203"/>
      <c r="AM224" s="203"/>
      <c r="AN224" s="203"/>
      <c r="AO224" s="203" t="s">
        <v>959</v>
      </c>
      <c r="AP224" s="203" t="s">
        <v>593</v>
      </c>
      <c r="AQ224" s="203"/>
      <c r="AR224" s="203"/>
      <c r="AS224" s="203"/>
      <c r="AT224" s="422" t="s">
        <v>1266</v>
      </c>
      <c r="AU224" s="202" t="s">
        <v>3265</v>
      </c>
      <c r="AV224" s="203"/>
      <c r="AW224" s="204">
        <v>43895</v>
      </c>
      <c r="AX224" s="316" t="s">
        <v>3239</v>
      </c>
      <c r="AY224" s="203" t="s">
        <v>150</v>
      </c>
      <c r="AZ224" s="204">
        <v>44309</v>
      </c>
      <c r="BA224" s="204">
        <v>44474</v>
      </c>
      <c r="BB224" s="204"/>
      <c r="BC224" s="204"/>
      <c r="BD224" s="204"/>
      <c r="BE224" s="205" t="s">
        <v>3262</v>
      </c>
      <c r="BF224" s="204">
        <v>44872</v>
      </c>
      <c r="BG224" s="204" t="s">
        <v>150</v>
      </c>
      <c r="BH224" s="204">
        <v>45476</v>
      </c>
      <c r="BI224" s="204" t="s">
        <v>150</v>
      </c>
      <c r="BJ224" s="203"/>
      <c r="BK224" s="203">
        <v>45597</v>
      </c>
      <c r="BL224" s="203"/>
      <c r="BM224" s="206">
        <v>45990</v>
      </c>
      <c r="BN224" s="202" t="s">
        <v>16</v>
      </c>
      <c r="BO224" s="270"/>
      <c r="BP224" s="270"/>
      <c r="BQ224" s="270">
        <v>2511</v>
      </c>
      <c r="BR224" s="202">
        <v>15</v>
      </c>
      <c r="BS224" s="202">
        <v>4</v>
      </c>
      <c r="BT224" s="202"/>
      <c r="BU224" s="202"/>
      <c r="BV224" s="202"/>
      <c r="BW224" s="202"/>
      <c r="BX224" s="202"/>
      <c r="BY224" s="202" t="s">
        <v>163</v>
      </c>
      <c r="BZ224" s="202"/>
      <c r="CA224" s="202"/>
      <c r="CB224" s="207"/>
      <c r="CC224" s="207"/>
      <c r="CD224" s="202"/>
      <c r="CE224" s="202"/>
      <c r="CF224" s="202"/>
      <c r="CG224" s="202"/>
      <c r="CH224" s="378">
        <v>0</v>
      </c>
      <c r="CI224" s="202"/>
      <c r="CJ224" s="202"/>
      <c r="CK224" s="202" t="s">
        <v>809</v>
      </c>
      <c r="CL224"/>
    </row>
    <row r="225" spans="1:90" s="53" customFormat="1" ht="29.45" customHeight="1">
      <c r="A225" s="202">
        <v>228</v>
      </c>
      <c r="B225" s="202" t="s">
        <v>3266</v>
      </c>
      <c r="C225" s="202" t="s">
        <v>629</v>
      </c>
      <c r="D225" s="202" t="s">
        <v>3267</v>
      </c>
      <c r="E225" s="202" t="s">
        <v>3268</v>
      </c>
      <c r="F225" s="202" t="s">
        <v>24</v>
      </c>
      <c r="G225" s="202">
        <v>10</v>
      </c>
      <c r="H225" s="202" t="s">
        <v>54</v>
      </c>
      <c r="I225" s="202" t="s">
        <v>31</v>
      </c>
      <c r="J225" s="202" t="s">
        <v>3269</v>
      </c>
      <c r="K225" s="202" t="s">
        <v>3270</v>
      </c>
      <c r="L225" s="202" t="s">
        <v>31</v>
      </c>
      <c r="M225" s="202" t="s">
        <v>150</v>
      </c>
      <c r="N225" s="202"/>
      <c r="O225" s="202" t="s">
        <v>322</v>
      </c>
      <c r="P225" s="202" t="s">
        <v>322</v>
      </c>
      <c r="Q225" s="202"/>
      <c r="R225" s="392" t="s">
        <v>3271</v>
      </c>
      <c r="S225" s="392" t="s">
        <v>3272</v>
      </c>
      <c r="T225" s="354" t="s">
        <v>3273</v>
      </c>
      <c r="U225" s="203" t="s">
        <v>3274</v>
      </c>
      <c r="V225" s="203">
        <v>27816</v>
      </c>
      <c r="W225" s="269" t="s">
        <v>3275</v>
      </c>
      <c r="X225" s="269" t="s">
        <v>179</v>
      </c>
      <c r="Y225" s="269"/>
      <c r="Z225" s="269"/>
      <c r="AA225" s="202"/>
      <c r="AB225" s="203">
        <v>43955</v>
      </c>
      <c r="AC225" s="289">
        <v>43891</v>
      </c>
      <c r="AD225" s="203"/>
      <c r="AE225" s="203" t="s">
        <v>3276</v>
      </c>
      <c r="AF225" s="203"/>
      <c r="AG225" s="203"/>
      <c r="AH225" s="202">
        <f t="shared" si="70"/>
        <v>1</v>
      </c>
      <c r="AI225" s="203"/>
      <c r="AJ225" s="203"/>
      <c r="AK225" s="203"/>
      <c r="AL225" s="203"/>
      <c r="AM225" s="203"/>
      <c r="AN225" s="203"/>
      <c r="AO225" s="203" t="s">
        <v>164</v>
      </c>
      <c r="AP225" s="203" t="s">
        <v>1440</v>
      </c>
      <c r="AQ225" s="203" t="s">
        <v>250</v>
      </c>
      <c r="AR225" s="203" t="s">
        <v>150</v>
      </c>
      <c r="AS225" s="203"/>
      <c r="AT225" s="422" t="s">
        <v>328</v>
      </c>
      <c r="AU225" s="202" t="s">
        <v>3277</v>
      </c>
      <c r="AV225" s="203"/>
      <c r="AW225" s="204">
        <v>43906</v>
      </c>
      <c r="AX225" s="317">
        <v>44136</v>
      </c>
      <c r="AY225" s="204" t="s">
        <v>150</v>
      </c>
      <c r="AZ225" s="204"/>
      <c r="BA225" s="204">
        <v>44600</v>
      </c>
      <c r="BB225" s="204"/>
      <c r="BC225" s="204"/>
      <c r="BD225" s="204"/>
      <c r="BE225" s="205" t="s">
        <v>3275</v>
      </c>
      <c r="BF225" s="204">
        <v>45061</v>
      </c>
      <c r="BG225" s="204" t="s">
        <v>163</v>
      </c>
      <c r="BH225" s="204">
        <v>45476</v>
      </c>
      <c r="BI225" s="204" t="s">
        <v>150</v>
      </c>
      <c r="BJ225" s="203"/>
      <c r="BK225" s="203"/>
      <c r="BL225" s="203"/>
      <c r="BM225" s="206">
        <v>45717</v>
      </c>
      <c r="BN225" s="202" t="s">
        <v>16</v>
      </c>
      <c r="BO225" s="270">
        <f>DATEDIF(AW225,BM225, "M")+1</f>
        <v>60</v>
      </c>
      <c r="BP225" s="270" t="e">
        <f>DATEDIF(AX225,BN225, "M")+1</f>
        <v>#VALUE!</v>
      </c>
      <c r="BQ225" s="202"/>
      <c r="BR225" s="202">
        <v>4</v>
      </c>
      <c r="BS225" s="202">
        <v>3</v>
      </c>
      <c r="BT225" s="202"/>
      <c r="BU225" s="202"/>
      <c r="BV225" s="202"/>
      <c r="BW225" s="202"/>
      <c r="BX225" s="202"/>
      <c r="BY225" s="202" t="s">
        <v>163</v>
      </c>
      <c r="BZ225" s="202"/>
      <c r="CA225" s="202"/>
      <c r="CB225" s="207">
        <v>45566</v>
      </c>
      <c r="CC225" s="207">
        <v>45688</v>
      </c>
      <c r="CD225" s="202">
        <v>4</v>
      </c>
      <c r="CE225" s="202"/>
      <c r="CF225" s="202"/>
      <c r="CG225" s="202"/>
      <c r="CH225" s="378">
        <v>0</v>
      </c>
      <c r="CI225" s="202"/>
      <c r="CJ225" s="202"/>
      <c r="CK225" s="202" t="s">
        <v>809</v>
      </c>
      <c r="CL225"/>
    </row>
    <row r="226" spans="1:90" s="53" customFormat="1" ht="29.45" customHeight="1">
      <c r="A226" s="202">
        <v>229</v>
      </c>
      <c r="B226" s="202" t="s">
        <v>3278</v>
      </c>
      <c r="C226" s="202" t="s">
        <v>3279</v>
      </c>
      <c r="D226" s="202" t="s">
        <v>3280</v>
      </c>
      <c r="E226" s="202" t="s">
        <v>3281</v>
      </c>
      <c r="F226" s="202" t="s">
        <v>24</v>
      </c>
      <c r="G226" s="202">
        <v>10</v>
      </c>
      <c r="H226" s="202" t="s">
        <v>53</v>
      </c>
      <c r="I226" s="202" t="s">
        <v>46</v>
      </c>
      <c r="J226" s="202" t="s">
        <v>1421</v>
      </c>
      <c r="K226" s="202" t="s">
        <v>3282</v>
      </c>
      <c r="L226" s="202" t="s">
        <v>45</v>
      </c>
      <c r="M226" s="202" t="s">
        <v>163</v>
      </c>
      <c r="N226" s="202"/>
      <c r="O226" s="202" t="s">
        <v>151</v>
      </c>
      <c r="P226" s="202" t="s">
        <v>151</v>
      </c>
      <c r="Q226" s="202"/>
      <c r="R226" s="392" t="s">
        <v>3283</v>
      </c>
      <c r="S226" s="392" t="s">
        <v>3284</v>
      </c>
      <c r="T226" s="354" t="s">
        <v>3285</v>
      </c>
      <c r="U226" s="203" t="s">
        <v>3286</v>
      </c>
      <c r="V226" s="203">
        <v>29049</v>
      </c>
      <c r="W226" s="269" t="s">
        <v>3287</v>
      </c>
      <c r="X226" s="269" t="s">
        <v>2888</v>
      </c>
      <c r="Y226" s="269"/>
      <c r="Z226" s="269"/>
      <c r="AA226" s="202"/>
      <c r="AB226" s="203">
        <v>44398</v>
      </c>
      <c r="AC226" s="289">
        <v>43891</v>
      </c>
      <c r="AD226" s="203"/>
      <c r="AE226" s="203" t="s">
        <v>2945</v>
      </c>
      <c r="AF226" s="313" t="s">
        <v>3288</v>
      </c>
      <c r="AG226" s="203"/>
      <c r="AH226" s="202">
        <f t="shared" si="70"/>
        <v>2</v>
      </c>
      <c r="AI226" s="203"/>
      <c r="AJ226" s="203"/>
      <c r="AK226" s="203"/>
      <c r="AL226" s="203"/>
      <c r="AM226" s="203"/>
      <c r="AN226" s="203"/>
      <c r="AO226" s="203" t="s">
        <v>164</v>
      </c>
      <c r="AP226" s="203" t="s">
        <v>250</v>
      </c>
      <c r="AQ226" s="203" t="s">
        <v>250</v>
      </c>
      <c r="AR226" s="203" t="s">
        <v>150</v>
      </c>
      <c r="AS226" s="203"/>
      <c r="AT226" s="422" t="s">
        <v>298</v>
      </c>
      <c r="AU226" s="202" t="s">
        <v>3289</v>
      </c>
      <c r="AV226" s="203"/>
      <c r="AW226" s="204">
        <v>43907</v>
      </c>
      <c r="AX226" s="316" t="s">
        <v>3239</v>
      </c>
      <c r="AY226" s="204" t="s">
        <v>150</v>
      </c>
      <c r="AZ226" s="204">
        <v>44596</v>
      </c>
      <c r="BA226" s="204">
        <v>44656</v>
      </c>
      <c r="BB226" s="204"/>
      <c r="BC226" s="204"/>
      <c r="BD226" s="204"/>
      <c r="BE226" s="205" t="s">
        <v>3287</v>
      </c>
      <c r="BF226" s="204">
        <v>44872</v>
      </c>
      <c r="BG226" s="204" t="s">
        <v>150</v>
      </c>
      <c r="BH226" s="204">
        <v>45476</v>
      </c>
      <c r="BI226" s="204" t="s">
        <v>150</v>
      </c>
      <c r="BJ226" s="203"/>
      <c r="BK226" s="203"/>
      <c r="BL226" s="203"/>
      <c r="BM226" s="206"/>
      <c r="BN226" s="202" t="s">
        <v>17</v>
      </c>
      <c r="BO226" s="270"/>
      <c r="BP226" s="270"/>
      <c r="BQ226" s="202"/>
      <c r="BR226" s="202">
        <v>1</v>
      </c>
      <c r="BS226" s="202">
        <v>6</v>
      </c>
      <c r="BT226" s="202"/>
      <c r="BU226" s="202"/>
      <c r="BV226" s="202"/>
      <c r="BW226" s="202"/>
      <c r="BX226" s="202"/>
      <c r="BY226" s="202" t="s">
        <v>163</v>
      </c>
      <c r="BZ226" s="202"/>
      <c r="CA226" s="202"/>
      <c r="CB226" s="207"/>
      <c r="CC226" s="207"/>
      <c r="CD226" s="202"/>
      <c r="CE226" s="202"/>
      <c r="CF226" s="202"/>
      <c r="CG226" s="202"/>
      <c r="CH226" s="378">
        <v>3</v>
      </c>
      <c r="CI226" s="202"/>
      <c r="CJ226" s="202"/>
      <c r="CK226" s="202" t="s">
        <v>809</v>
      </c>
      <c r="CL226"/>
    </row>
    <row r="227" spans="1:90" s="53" customFormat="1" ht="29.45" customHeight="1">
      <c r="A227" s="202">
        <v>230</v>
      </c>
      <c r="B227" s="202" t="s">
        <v>3290</v>
      </c>
      <c r="C227" s="202" t="s">
        <v>3291</v>
      </c>
      <c r="D227" s="202" t="s">
        <v>3292</v>
      </c>
      <c r="E227" s="202" t="s">
        <v>3293</v>
      </c>
      <c r="F227" s="202" t="s">
        <v>24</v>
      </c>
      <c r="G227" s="202">
        <v>10</v>
      </c>
      <c r="H227" s="202" t="s">
        <v>52</v>
      </c>
      <c r="I227" s="202" t="s">
        <v>37</v>
      </c>
      <c r="J227" s="202" t="s">
        <v>3294</v>
      </c>
      <c r="K227" s="202" t="s">
        <v>3295</v>
      </c>
      <c r="L227" s="202" t="s">
        <v>45</v>
      </c>
      <c r="M227" s="202" t="s">
        <v>163</v>
      </c>
      <c r="N227" s="202"/>
      <c r="O227" s="202" t="s">
        <v>1303</v>
      </c>
      <c r="P227" s="202" t="s">
        <v>1303</v>
      </c>
      <c r="Q227" s="202"/>
      <c r="R227" s="392" t="s">
        <v>3296</v>
      </c>
      <c r="S227" s="392" t="s">
        <v>3297</v>
      </c>
      <c r="T227" s="354" t="s">
        <v>3298</v>
      </c>
      <c r="U227" s="203" t="s">
        <v>3299</v>
      </c>
      <c r="V227" s="203">
        <v>31132</v>
      </c>
      <c r="W227" s="269" t="s">
        <v>3300</v>
      </c>
      <c r="X227" s="269" t="s">
        <v>179</v>
      </c>
      <c r="Y227" s="269"/>
      <c r="Z227" s="269"/>
      <c r="AA227" s="202"/>
      <c r="AB227" s="203">
        <v>44013</v>
      </c>
      <c r="AC227" s="289">
        <v>43891</v>
      </c>
      <c r="AD227" s="203"/>
      <c r="AE227" s="203" t="s">
        <v>3301</v>
      </c>
      <c r="AF227" s="203" t="s">
        <v>3302</v>
      </c>
      <c r="AG227" s="203" t="s">
        <v>3302</v>
      </c>
      <c r="AH227" s="202">
        <f t="shared" si="70"/>
        <v>3</v>
      </c>
      <c r="AI227" s="203"/>
      <c r="AJ227" s="203"/>
      <c r="AK227" s="203"/>
      <c r="AL227" s="203"/>
      <c r="AM227" s="203"/>
      <c r="AN227" s="203"/>
      <c r="AO227" s="203" t="s">
        <v>164</v>
      </c>
      <c r="AP227" s="203" t="s">
        <v>875</v>
      </c>
      <c r="AQ227" s="203" t="s">
        <v>3303</v>
      </c>
      <c r="AR227" s="203" t="s">
        <v>150</v>
      </c>
      <c r="AS227" s="203"/>
      <c r="AT227" s="422" t="s">
        <v>3304</v>
      </c>
      <c r="AU227" s="202" t="s">
        <v>3305</v>
      </c>
      <c r="AV227" s="203"/>
      <c r="AW227" s="204">
        <v>43897</v>
      </c>
      <c r="AX227" s="316" t="s">
        <v>3239</v>
      </c>
      <c r="AY227" s="204" t="s">
        <v>150</v>
      </c>
      <c r="AZ227" s="204">
        <v>44161</v>
      </c>
      <c r="BA227" s="204">
        <v>44214</v>
      </c>
      <c r="BB227" s="204"/>
      <c r="BC227" s="204"/>
      <c r="BD227" s="204"/>
      <c r="BE227" s="205" t="s">
        <v>3300</v>
      </c>
      <c r="BF227" s="204">
        <v>44872</v>
      </c>
      <c r="BG227" s="204" t="s">
        <v>150</v>
      </c>
      <c r="BH227" s="204">
        <v>45476</v>
      </c>
      <c r="BI227" s="204" t="s">
        <v>150</v>
      </c>
      <c r="BJ227" s="203"/>
      <c r="BK227" s="203"/>
      <c r="BL227" s="203"/>
      <c r="BM227" s="206">
        <v>45188</v>
      </c>
      <c r="BN227" s="208" t="s">
        <v>16</v>
      </c>
      <c r="BO227" s="270">
        <f>DATEDIF(AW227,BM227, "M")+1</f>
        <v>43</v>
      </c>
      <c r="BP227" s="202" t="e">
        <f t="shared" ref="BP227" si="71">DATEDIF(AX227,BM227, "M")+1</f>
        <v>#VALUE!</v>
      </c>
      <c r="BQ227" s="309" t="s">
        <v>3306</v>
      </c>
      <c r="BR227" s="202">
        <v>2</v>
      </c>
      <c r="BS227" s="202">
        <v>1</v>
      </c>
      <c r="BT227" s="202"/>
      <c r="BU227" s="202"/>
      <c r="BV227" s="202"/>
      <c r="BW227" s="202"/>
      <c r="BX227" s="202"/>
      <c r="BY227" s="202" t="s">
        <v>163</v>
      </c>
      <c r="BZ227" s="202"/>
      <c r="CA227" s="202"/>
      <c r="CB227" s="207"/>
      <c r="CC227" s="207"/>
      <c r="CD227" s="202"/>
      <c r="CE227" s="202"/>
      <c r="CF227" s="202"/>
      <c r="CG227" s="202"/>
      <c r="CH227" s="378">
        <v>3</v>
      </c>
      <c r="CI227" s="202"/>
      <c r="CJ227" s="202"/>
      <c r="CK227" s="202" t="s">
        <v>809</v>
      </c>
      <c r="CL227"/>
    </row>
    <row r="228" spans="1:90" s="53" customFormat="1" ht="24.95" customHeight="1">
      <c r="A228" s="202">
        <v>231</v>
      </c>
      <c r="B228" s="202" t="s">
        <v>3307</v>
      </c>
      <c r="C228" s="202" t="s">
        <v>3308</v>
      </c>
      <c r="D228" s="202" t="s">
        <v>3309</v>
      </c>
      <c r="E228" s="202" t="s">
        <v>3310</v>
      </c>
      <c r="F228" s="202" t="s">
        <v>24</v>
      </c>
      <c r="G228" s="202">
        <v>10</v>
      </c>
      <c r="H228" s="202" t="s">
        <v>54</v>
      </c>
      <c r="I228" s="202" t="s">
        <v>31</v>
      </c>
      <c r="J228" s="202" t="s">
        <v>3311</v>
      </c>
      <c r="K228" s="202" t="s">
        <v>1744</v>
      </c>
      <c r="L228" s="202" t="s">
        <v>31</v>
      </c>
      <c r="M228" s="202" t="s">
        <v>163</v>
      </c>
      <c r="N228" s="202"/>
      <c r="O228" s="202" t="s">
        <v>151</v>
      </c>
      <c r="P228" s="202" t="s">
        <v>151</v>
      </c>
      <c r="Q228" s="202" t="s">
        <v>151</v>
      </c>
      <c r="R228" s="202" t="s">
        <v>3312</v>
      </c>
      <c r="S228" s="202" t="s">
        <v>3313</v>
      </c>
      <c r="T228" s="354" t="s">
        <v>3314</v>
      </c>
      <c r="U228" s="203" t="s">
        <v>3315</v>
      </c>
      <c r="V228" s="203">
        <v>29362</v>
      </c>
      <c r="W228" s="269" t="s">
        <v>3316</v>
      </c>
      <c r="X228" s="269" t="s">
        <v>2498</v>
      </c>
      <c r="Y228" s="269"/>
      <c r="Z228" s="269"/>
      <c r="AA228" s="202"/>
      <c r="AB228" s="203"/>
      <c r="AC228" s="289">
        <v>43891</v>
      </c>
      <c r="AD228" s="203"/>
      <c r="AE228" s="203" t="s">
        <v>3317</v>
      </c>
      <c r="AF228" s="203" t="s">
        <v>3318</v>
      </c>
      <c r="AG228" s="203" t="s">
        <v>3319</v>
      </c>
      <c r="AH228" s="202">
        <f t="shared" si="70"/>
        <v>3</v>
      </c>
      <c r="AI228" s="203"/>
      <c r="AJ228" s="203"/>
      <c r="AK228" s="203"/>
      <c r="AL228" s="203"/>
      <c r="AM228" s="203"/>
      <c r="AN228" s="203"/>
      <c r="AO228" s="203" t="s">
        <v>164</v>
      </c>
      <c r="AP228" s="203" t="s">
        <v>445</v>
      </c>
      <c r="AQ228" s="203" t="s">
        <v>1440</v>
      </c>
      <c r="AR228" s="203" t="s">
        <v>150</v>
      </c>
      <c r="AS228" s="203"/>
      <c r="AT228" s="422" t="s">
        <v>328</v>
      </c>
      <c r="AU228" s="202" t="s">
        <v>3320</v>
      </c>
      <c r="AV228" s="203"/>
      <c r="AW228" s="204">
        <v>43898</v>
      </c>
      <c r="AX228" s="204">
        <v>44136</v>
      </c>
      <c r="AY228" s="204" t="s">
        <v>150</v>
      </c>
      <c r="AZ228" s="204"/>
      <c r="BA228" s="204"/>
      <c r="BB228" s="204"/>
      <c r="BC228" s="204"/>
      <c r="BD228" s="204"/>
      <c r="BE228" s="205" t="s">
        <v>3316</v>
      </c>
      <c r="BF228" s="204">
        <v>44872</v>
      </c>
      <c r="BG228" s="204" t="s">
        <v>150</v>
      </c>
      <c r="BH228" s="204">
        <v>45476</v>
      </c>
      <c r="BI228" s="204" t="s">
        <v>150</v>
      </c>
      <c r="BJ228" s="203"/>
      <c r="BK228" s="203"/>
      <c r="BL228" s="203"/>
      <c r="BM228" s="206">
        <v>44543</v>
      </c>
      <c r="BN228" s="202" t="s">
        <v>16</v>
      </c>
      <c r="BO228" s="270">
        <f>DATEDIF(AW228,BM228, "M")+1</f>
        <v>22</v>
      </c>
      <c r="BP228" s="202">
        <f t="shared" ref="BP228" si="72">DATEDIF(AX228,BM228, "M")+1</f>
        <v>14</v>
      </c>
      <c r="BQ228" s="309" t="s">
        <v>3321</v>
      </c>
      <c r="BR228" s="202">
        <v>3</v>
      </c>
      <c r="BS228" s="202">
        <v>2</v>
      </c>
      <c r="BT228" s="202"/>
      <c r="BU228" s="202"/>
      <c r="BV228" s="202"/>
      <c r="BW228" s="202"/>
      <c r="BX228" s="202"/>
      <c r="BY228" s="202" t="s">
        <v>3322</v>
      </c>
      <c r="BZ228" s="202"/>
      <c r="CA228" s="202"/>
      <c r="CB228" s="207"/>
      <c r="CC228" s="207"/>
      <c r="CD228" s="202"/>
      <c r="CE228" s="202"/>
      <c r="CF228" s="202"/>
      <c r="CG228" s="202"/>
      <c r="CH228" s="378">
        <v>4</v>
      </c>
      <c r="CI228" s="202">
        <v>4</v>
      </c>
      <c r="CJ228" s="202"/>
      <c r="CK228" s="202" t="s">
        <v>809</v>
      </c>
      <c r="CL228"/>
    </row>
    <row r="229" spans="1:90" s="53" customFormat="1" ht="24.95" customHeight="1">
      <c r="A229" s="202">
        <v>232</v>
      </c>
      <c r="B229" s="91" t="s">
        <v>3323</v>
      </c>
      <c r="C229" s="91" t="s">
        <v>3324</v>
      </c>
      <c r="D229" s="91" t="s">
        <v>3325</v>
      </c>
      <c r="E229" s="91" t="s">
        <v>3326</v>
      </c>
      <c r="F229" s="91" t="s">
        <v>25</v>
      </c>
      <c r="G229" s="91">
        <v>10</v>
      </c>
      <c r="H229" s="91" t="s">
        <v>52</v>
      </c>
      <c r="I229" s="91" t="s">
        <v>42</v>
      </c>
      <c r="J229" s="91" t="s">
        <v>3327</v>
      </c>
      <c r="K229" s="91" t="s">
        <v>2290</v>
      </c>
      <c r="L229" s="91" t="s">
        <v>42</v>
      </c>
      <c r="M229" s="91" t="s">
        <v>150</v>
      </c>
      <c r="N229" s="91"/>
      <c r="O229" s="91" t="s">
        <v>322</v>
      </c>
      <c r="P229" s="91" t="s">
        <v>322</v>
      </c>
      <c r="Q229" s="91"/>
      <c r="R229" s="91" t="s">
        <v>3328</v>
      </c>
      <c r="S229" s="91" t="s">
        <v>3329</v>
      </c>
      <c r="T229" s="341" t="s">
        <v>3330</v>
      </c>
      <c r="U229" s="92" t="s">
        <v>3331</v>
      </c>
      <c r="V229" s="92">
        <v>30207</v>
      </c>
      <c r="W229" s="164" t="s">
        <v>3332</v>
      </c>
      <c r="X229" s="164" t="s">
        <v>2379</v>
      </c>
      <c r="Y229" s="164"/>
      <c r="Z229" s="164"/>
      <c r="AA229" s="91"/>
      <c r="AB229" s="92"/>
      <c r="AC229" s="281">
        <v>43891</v>
      </c>
      <c r="AD229" s="92">
        <v>45107</v>
      </c>
      <c r="AE229" s="92" t="s">
        <v>3333</v>
      </c>
      <c r="AF229" s="91"/>
      <c r="AG229" s="91"/>
      <c r="AH229" s="91">
        <f t="shared" si="70"/>
        <v>1</v>
      </c>
      <c r="AI229" s="92"/>
      <c r="AJ229" s="92"/>
      <c r="AK229" s="92"/>
      <c r="AL229" s="92"/>
      <c r="AM229" s="92"/>
      <c r="AN229" s="92"/>
      <c r="AO229" s="92" t="s">
        <v>164</v>
      </c>
      <c r="AP229" s="92"/>
      <c r="AQ229" s="92"/>
      <c r="AR229" s="92"/>
      <c r="AS229" s="92"/>
      <c r="AT229" s="400" t="s">
        <v>420</v>
      </c>
      <c r="AU229" s="91" t="s">
        <v>3334</v>
      </c>
      <c r="AV229" s="92"/>
      <c r="AW229" s="93">
        <v>43899</v>
      </c>
      <c r="AX229" s="93">
        <v>44136</v>
      </c>
      <c r="AY229" s="93" t="s">
        <v>150</v>
      </c>
      <c r="AZ229" s="93"/>
      <c r="BA229" s="93"/>
      <c r="BB229" s="93"/>
      <c r="BC229" s="93"/>
      <c r="BD229" s="93"/>
      <c r="BE229" s="94" t="s">
        <v>3332</v>
      </c>
      <c r="BF229" s="93"/>
      <c r="BG229" s="93"/>
      <c r="BH229" s="93"/>
      <c r="BI229" s="93"/>
      <c r="BJ229" s="92"/>
      <c r="BK229" s="92"/>
      <c r="BL229" s="92"/>
      <c r="BM229" s="109"/>
      <c r="BN229" s="193" t="s">
        <v>18</v>
      </c>
      <c r="BO229" s="265"/>
      <c r="BP229" s="265"/>
      <c r="BQ229" s="91"/>
      <c r="BR229" s="91"/>
      <c r="BS229" s="91"/>
      <c r="BT229" s="91"/>
      <c r="BU229" s="91"/>
      <c r="BV229" s="91"/>
      <c r="BW229" s="91"/>
      <c r="BX229" s="91"/>
      <c r="BY229" s="91" t="s">
        <v>163</v>
      </c>
      <c r="BZ229" s="91"/>
      <c r="CA229" s="91"/>
      <c r="CB229" s="95"/>
      <c r="CC229" s="95"/>
      <c r="CD229" s="91"/>
      <c r="CE229" s="91"/>
      <c r="CF229" s="91"/>
      <c r="CG229" s="91"/>
      <c r="CH229" s="113">
        <v>1</v>
      </c>
      <c r="CI229" s="91"/>
      <c r="CJ229" s="91"/>
      <c r="CK229" s="91" t="s">
        <v>809</v>
      </c>
      <c r="CL229"/>
    </row>
    <row r="230" spans="1:90" s="53" customFormat="1" ht="24.95" customHeight="1">
      <c r="A230" s="202">
        <v>233</v>
      </c>
      <c r="B230" s="202" t="s">
        <v>3335</v>
      </c>
      <c r="C230" s="202" t="s">
        <v>3336</v>
      </c>
      <c r="D230" s="202" t="s">
        <v>3337</v>
      </c>
      <c r="E230" s="202" t="s">
        <v>3338</v>
      </c>
      <c r="F230" s="202" t="s">
        <v>24</v>
      </c>
      <c r="G230" s="202">
        <v>10</v>
      </c>
      <c r="H230" s="202" t="s">
        <v>54</v>
      </c>
      <c r="I230" s="202" t="s">
        <v>39</v>
      </c>
      <c r="J230" s="202" t="s">
        <v>2801</v>
      </c>
      <c r="K230" s="202" t="s">
        <v>3339</v>
      </c>
      <c r="L230" s="202" t="s">
        <v>45</v>
      </c>
      <c r="M230" s="202" t="s">
        <v>163</v>
      </c>
      <c r="N230" s="202"/>
      <c r="O230" s="202" t="s">
        <v>151</v>
      </c>
      <c r="P230" s="202" t="s">
        <v>151</v>
      </c>
      <c r="Q230" s="202"/>
      <c r="R230" s="392" t="s">
        <v>3340</v>
      </c>
      <c r="S230" s="392" t="s">
        <v>3341</v>
      </c>
      <c r="T230" s="354" t="s">
        <v>3342</v>
      </c>
      <c r="U230" s="203" t="s">
        <v>789</v>
      </c>
      <c r="V230" s="203">
        <v>29652</v>
      </c>
      <c r="W230" s="269" t="s">
        <v>3343</v>
      </c>
      <c r="X230" s="269" t="s">
        <v>2379</v>
      </c>
      <c r="Y230" s="269"/>
      <c r="Z230" s="269"/>
      <c r="AA230" s="202"/>
      <c r="AB230" s="203">
        <v>44305</v>
      </c>
      <c r="AC230" s="289">
        <v>43891</v>
      </c>
      <c r="AD230" s="203"/>
      <c r="AE230" s="203" t="s">
        <v>3344</v>
      </c>
      <c r="AF230" s="203" t="s">
        <v>3345</v>
      </c>
      <c r="AG230" s="203" t="s">
        <v>3346</v>
      </c>
      <c r="AH230" s="202">
        <f t="shared" si="70"/>
        <v>3</v>
      </c>
      <c r="AI230" s="203"/>
      <c r="AJ230" s="203"/>
      <c r="AK230" s="203"/>
      <c r="AL230" s="203"/>
      <c r="AM230" s="203"/>
      <c r="AN230" s="203"/>
      <c r="AO230" s="203" t="s">
        <v>164</v>
      </c>
      <c r="AP230" s="203" t="s">
        <v>1440</v>
      </c>
      <c r="AQ230" s="203" t="s">
        <v>1969</v>
      </c>
      <c r="AR230" s="203" t="s">
        <v>150</v>
      </c>
      <c r="AS230" s="203"/>
      <c r="AT230" s="422" t="s">
        <v>285</v>
      </c>
      <c r="AU230" s="202" t="s">
        <v>3347</v>
      </c>
      <c r="AV230" s="203"/>
      <c r="AW230" s="204">
        <v>43909</v>
      </c>
      <c r="AX230" s="204">
        <v>44136</v>
      </c>
      <c r="AY230" s="204" t="s">
        <v>150</v>
      </c>
      <c r="AZ230" s="204">
        <v>44391</v>
      </c>
      <c r="BA230" s="204">
        <v>44355</v>
      </c>
      <c r="BB230" s="204"/>
      <c r="BC230" s="204"/>
      <c r="BD230" s="204"/>
      <c r="BE230" s="205" t="s">
        <v>3343</v>
      </c>
      <c r="BF230" s="204">
        <v>45061</v>
      </c>
      <c r="BG230" s="204" t="s">
        <v>163</v>
      </c>
      <c r="BH230" s="204">
        <v>45476</v>
      </c>
      <c r="BI230" s="204" t="s">
        <v>150</v>
      </c>
      <c r="BJ230" s="203"/>
      <c r="BK230" s="203"/>
      <c r="BL230" s="203">
        <v>45747</v>
      </c>
      <c r="BM230" s="203">
        <v>45747</v>
      </c>
      <c r="BN230" s="202" t="s">
        <v>16</v>
      </c>
      <c r="BO230" s="270">
        <f t="shared" ref="BO230:BO236" si="73">DATEDIF(AW230,BM230, "M")+1</f>
        <v>61</v>
      </c>
      <c r="BP230" s="270">
        <f>DATEDIF(AX230,BM230, "M")+1</f>
        <v>53</v>
      </c>
      <c r="BQ230" s="202" t="s">
        <v>3348</v>
      </c>
      <c r="BR230" s="202">
        <v>4</v>
      </c>
      <c r="BS230" s="202">
        <v>3</v>
      </c>
      <c r="BT230" s="202"/>
      <c r="BU230" s="202"/>
      <c r="BV230" s="202"/>
      <c r="BW230" s="202"/>
      <c r="BX230" s="202"/>
      <c r="BY230" s="202" t="s">
        <v>163</v>
      </c>
      <c r="BZ230" s="202"/>
      <c r="CA230" s="202"/>
      <c r="CB230" s="207"/>
      <c r="CC230" s="207"/>
      <c r="CD230" s="202"/>
      <c r="CE230" s="202"/>
      <c r="CF230" s="202"/>
      <c r="CG230" s="202"/>
      <c r="CH230" s="378">
        <v>2</v>
      </c>
      <c r="CI230" s="202"/>
      <c r="CJ230" s="202"/>
      <c r="CK230" s="202" t="s">
        <v>809</v>
      </c>
      <c r="CL230"/>
    </row>
    <row r="231" spans="1:90" s="53" customFormat="1" ht="24.95" customHeight="1">
      <c r="A231" s="202">
        <v>234</v>
      </c>
      <c r="B231" s="202" t="s">
        <v>3349</v>
      </c>
      <c r="C231" s="202" t="s">
        <v>3350</v>
      </c>
      <c r="D231" s="202"/>
      <c r="E231" s="202" t="s">
        <v>3351</v>
      </c>
      <c r="F231" s="202" t="s">
        <v>25</v>
      </c>
      <c r="G231" s="202">
        <v>10</v>
      </c>
      <c r="H231" s="202" t="s">
        <v>60</v>
      </c>
      <c r="I231" s="202" t="s">
        <v>35</v>
      </c>
      <c r="J231" s="202" t="s">
        <v>602</v>
      </c>
      <c r="K231" s="202" t="s">
        <v>2982</v>
      </c>
      <c r="L231" s="202" t="s">
        <v>35</v>
      </c>
      <c r="M231" s="202" t="s">
        <v>150</v>
      </c>
      <c r="N231" s="202"/>
      <c r="O231" s="202" t="s">
        <v>151</v>
      </c>
      <c r="P231" s="202" t="s">
        <v>151</v>
      </c>
      <c r="Q231" s="202"/>
      <c r="R231" s="392" t="s">
        <v>3352</v>
      </c>
      <c r="S231" s="392" t="s">
        <v>3353</v>
      </c>
      <c r="T231" s="354" t="s">
        <v>3354</v>
      </c>
      <c r="U231" s="203" t="s">
        <v>817</v>
      </c>
      <c r="V231" s="203">
        <v>31343</v>
      </c>
      <c r="W231" s="269" t="s">
        <v>3355</v>
      </c>
      <c r="X231" s="269" t="s">
        <v>179</v>
      </c>
      <c r="Y231" s="269"/>
      <c r="Z231" s="269"/>
      <c r="AA231" s="202"/>
      <c r="AB231" s="203">
        <v>44074</v>
      </c>
      <c r="AC231" s="289">
        <v>43891</v>
      </c>
      <c r="AD231" s="203"/>
      <c r="AE231" s="203" t="s">
        <v>3356</v>
      </c>
      <c r="AF231" s="203" t="s">
        <v>3357</v>
      </c>
      <c r="AG231" s="203" t="s">
        <v>3358</v>
      </c>
      <c r="AH231" s="202">
        <f t="shared" si="70"/>
        <v>3</v>
      </c>
      <c r="AI231" s="203"/>
      <c r="AJ231" s="203"/>
      <c r="AK231" s="203"/>
      <c r="AL231" s="203"/>
      <c r="AM231" s="203"/>
      <c r="AN231" s="203"/>
      <c r="AO231" s="203" t="s">
        <v>182</v>
      </c>
      <c r="AP231" s="203" t="s">
        <v>1835</v>
      </c>
      <c r="AQ231" s="203"/>
      <c r="AR231" s="203" t="s">
        <v>150</v>
      </c>
      <c r="AS231" s="203"/>
      <c r="AT231" s="422" t="s">
        <v>580</v>
      </c>
      <c r="AU231" s="202" t="s">
        <v>3359</v>
      </c>
      <c r="AV231" s="203"/>
      <c r="AW231" s="204">
        <v>43901</v>
      </c>
      <c r="AX231" s="204">
        <v>44136</v>
      </c>
      <c r="AY231" s="204" t="s">
        <v>150</v>
      </c>
      <c r="AZ231" s="204">
        <v>44271</v>
      </c>
      <c r="BA231" s="204">
        <v>44593</v>
      </c>
      <c r="BB231" s="204"/>
      <c r="BC231" s="204"/>
      <c r="BD231" s="204"/>
      <c r="BE231" s="205" t="s">
        <v>3355</v>
      </c>
      <c r="BF231" s="204">
        <v>44872</v>
      </c>
      <c r="BG231" s="204" t="s">
        <v>150</v>
      </c>
      <c r="BH231" s="204">
        <v>45476</v>
      </c>
      <c r="BI231" s="204" t="s">
        <v>150</v>
      </c>
      <c r="BJ231" s="203"/>
      <c r="BK231" s="203">
        <v>45237</v>
      </c>
      <c r="BL231" s="203"/>
      <c r="BM231" s="206">
        <v>45245</v>
      </c>
      <c r="BN231" s="202" t="s">
        <v>16</v>
      </c>
      <c r="BO231" s="270">
        <f t="shared" si="73"/>
        <v>45</v>
      </c>
      <c r="BP231" s="202">
        <f>DATEDIF(AX231,BM231, "M")+1</f>
        <v>37</v>
      </c>
      <c r="BQ231" s="309" t="s">
        <v>3360</v>
      </c>
      <c r="BR231" s="202">
        <v>8</v>
      </c>
      <c r="BS231" s="202">
        <v>7</v>
      </c>
      <c r="BT231" s="202"/>
      <c r="BU231" s="202"/>
      <c r="BV231" s="202"/>
      <c r="BW231" s="202"/>
      <c r="BX231" s="202"/>
      <c r="BY231" s="202" t="s">
        <v>163</v>
      </c>
      <c r="BZ231" s="202"/>
      <c r="CA231" s="202"/>
      <c r="CB231" s="207"/>
      <c r="CC231" s="207"/>
      <c r="CD231" s="202"/>
      <c r="CE231" s="202"/>
      <c r="CF231" s="202"/>
      <c r="CG231" s="202"/>
      <c r="CH231" s="378">
        <v>1</v>
      </c>
      <c r="CI231" s="202"/>
      <c r="CJ231" s="202"/>
      <c r="CK231" s="202" t="s">
        <v>809</v>
      </c>
      <c r="CL231"/>
    </row>
    <row r="232" spans="1:90" s="53" customFormat="1" ht="26.1" customHeight="1">
      <c r="A232" s="202">
        <v>235</v>
      </c>
      <c r="B232" s="202" t="s">
        <v>3361</v>
      </c>
      <c r="C232" s="202" t="s">
        <v>3362</v>
      </c>
      <c r="D232" s="202" t="s">
        <v>3363</v>
      </c>
      <c r="E232" s="202" t="s">
        <v>3364</v>
      </c>
      <c r="F232" s="202" t="s">
        <v>24</v>
      </c>
      <c r="G232" s="202">
        <v>10</v>
      </c>
      <c r="H232" s="202" t="s">
        <v>54</v>
      </c>
      <c r="I232" s="202" t="s">
        <v>39</v>
      </c>
      <c r="J232" s="202" t="s">
        <v>3365</v>
      </c>
      <c r="K232" s="202" t="s">
        <v>3366</v>
      </c>
      <c r="L232" s="202" t="s">
        <v>31</v>
      </c>
      <c r="M232" s="202" t="s">
        <v>163</v>
      </c>
      <c r="N232" s="202"/>
      <c r="O232" s="202" t="s">
        <v>151</v>
      </c>
      <c r="P232" s="202" t="s">
        <v>151</v>
      </c>
      <c r="Q232" s="202"/>
      <c r="R232" s="392" t="s">
        <v>3367</v>
      </c>
      <c r="S232" s="392" t="s">
        <v>3368</v>
      </c>
      <c r="T232" s="354" t="s">
        <v>3369</v>
      </c>
      <c r="U232" s="203" t="s">
        <v>817</v>
      </c>
      <c r="V232" s="203">
        <v>27714</v>
      </c>
      <c r="W232" s="269" t="s">
        <v>3370</v>
      </c>
      <c r="X232" s="269" t="s">
        <v>156</v>
      </c>
      <c r="Y232" s="269"/>
      <c r="Z232" s="269"/>
      <c r="AA232" s="202"/>
      <c r="AB232" s="203">
        <v>44217</v>
      </c>
      <c r="AC232" s="289">
        <v>43891</v>
      </c>
      <c r="AD232" s="203"/>
      <c r="AE232" s="203" t="s">
        <v>3371</v>
      </c>
      <c r="AF232" s="203" t="s">
        <v>3372</v>
      </c>
      <c r="AG232" s="203"/>
      <c r="AH232" s="202">
        <f t="shared" si="70"/>
        <v>2</v>
      </c>
      <c r="AI232" s="203"/>
      <c r="AJ232" s="203"/>
      <c r="AK232" s="203"/>
      <c r="AL232" s="203"/>
      <c r="AM232" s="203"/>
      <c r="AN232" s="203"/>
      <c r="AO232" s="203" t="s">
        <v>182</v>
      </c>
      <c r="AP232" s="203" t="s">
        <v>250</v>
      </c>
      <c r="AQ232" s="203" t="s">
        <v>3373</v>
      </c>
      <c r="AR232" s="203" t="s">
        <v>150</v>
      </c>
      <c r="AS232" s="203"/>
      <c r="AT232" s="422" t="s">
        <v>285</v>
      </c>
      <c r="AU232" s="202" t="s">
        <v>3374</v>
      </c>
      <c r="AV232" s="203"/>
      <c r="AW232" s="204">
        <v>43910</v>
      </c>
      <c r="AX232" s="316" t="s">
        <v>3239</v>
      </c>
      <c r="AY232" s="204" t="s">
        <v>150</v>
      </c>
      <c r="AZ232" s="204">
        <v>44888</v>
      </c>
      <c r="BA232" s="204">
        <v>44780</v>
      </c>
      <c r="BB232" s="204"/>
      <c r="BC232" s="204"/>
      <c r="BD232" s="204"/>
      <c r="BE232" s="205" t="s">
        <v>3370</v>
      </c>
      <c r="BF232" s="204">
        <v>45061</v>
      </c>
      <c r="BG232" s="204" t="s">
        <v>163</v>
      </c>
      <c r="BH232" s="204">
        <v>45476</v>
      </c>
      <c r="BI232" s="204" t="s">
        <v>150</v>
      </c>
      <c r="BJ232" s="203"/>
      <c r="BK232" s="203">
        <v>46058</v>
      </c>
      <c r="BL232" s="203">
        <v>46094</v>
      </c>
      <c r="BM232" s="206">
        <v>46094</v>
      </c>
      <c r="BN232" s="202" t="s">
        <v>16</v>
      </c>
      <c r="BO232" s="270">
        <f t="shared" si="73"/>
        <v>72</v>
      </c>
      <c r="BP232" s="202"/>
      <c r="BQ232" s="202"/>
      <c r="BR232" s="202">
        <v>7</v>
      </c>
      <c r="BS232" s="202">
        <v>8</v>
      </c>
      <c r="BT232" s="202"/>
      <c r="BU232" s="202"/>
      <c r="BV232" s="202"/>
      <c r="BW232" s="202"/>
      <c r="BX232" s="202"/>
      <c r="BY232" s="202" t="s">
        <v>163</v>
      </c>
      <c r="BZ232" s="202"/>
      <c r="CA232" s="202"/>
      <c r="CB232" s="207"/>
      <c r="CC232" s="207"/>
      <c r="CD232" s="202"/>
      <c r="CE232" s="202"/>
      <c r="CF232" s="202"/>
      <c r="CG232" s="202"/>
      <c r="CH232" s="378">
        <v>2</v>
      </c>
      <c r="CI232" s="202"/>
      <c r="CJ232" s="202"/>
      <c r="CK232" s="202" t="s">
        <v>809</v>
      </c>
      <c r="CL232"/>
    </row>
    <row r="233" spans="1:90" s="53" customFormat="1" ht="26.1" customHeight="1">
      <c r="A233" s="202">
        <v>236</v>
      </c>
      <c r="B233" s="202" t="s">
        <v>3375</v>
      </c>
      <c r="C233" s="202" t="s">
        <v>3376</v>
      </c>
      <c r="D233" s="202"/>
      <c r="E233" s="202" t="s">
        <v>3377</v>
      </c>
      <c r="F233" s="202" t="s">
        <v>25</v>
      </c>
      <c r="G233" s="202">
        <v>10</v>
      </c>
      <c r="H233" s="202" t="s">
        <v>60</v>
      </c>
      <c r="I233" s="202" t="s">
        <v>35</v>
      </c>
      <c r="J233" s="202" t="s">
        <v>2692</v>
      </c>
      <c r="K233" s="202" t="s">
        <v>3378</v>
      </c>
      <c r="L233" s="202" t="s">
        <v>35</v>
      </c>
      <c r="M233" s="202" t="s">
        <v>150</v>
      </c>
      <c r="N233" s="202"/>
      <c r="O233" s="202" t="s">
        <v>151</v>
      </c>
      <c r="P233" s="202" t="s">
        <v>151</v>
      </c>
      <c r="Q233" s="202"/>
      <c r="R233" s="392" t="s">
        <v>3379</v>
      </c>
      <c r="S233" s="392" t="s">
        <v>3380</v>
      </c>
      <c r="T233" s="354" t="s">
        <v>3381</v>
      </c>
      <c r="U233" s="203" t="s">
        <v>3382</v>
      </c>
      <c r="V233" s="203">
        <v>34002</v>
      </c>
      <c r="W233" s="269" t="s">
        <v>3383</v>
      </c>
      <c r="X233" s="269" t="s">
        <v>2498</v>
      </c>
      <c r="Y233" s="269"/>
      <c r="Z233" s="269"/>
      <c r="AA233" s="202"/>
      <c r="AB233" s="203">
        <v>44580</v>
      </c>
      <c r="AC233" s="289">
        <v>43891</v>
      </c>
      <c r="AD233" s="203"/>
      <c r="AE233" s="203" t="s">
        <v>3384</v>
      </c>
      <c r="AF233" s="203" t="s">
        <v>3385</v>
      </c>
      <c r="AG233" s="203" t="s">
        <v>3386</v>
      </c>
      <c r="AH233" s="202">
        <f t="shared" si="70"/>
        <v>3</v>
      </c>
      <c r="AI233" s="203"/>
      <c r="AJ233" s="203"/>
      <c r="AK233" s="203"/>
      <c r="AL233" s="203"/>
      <c r="AM233" s="203"/>
      <c r="AN233" s="203"/>
      <c r="AO233" s="203" t="s">
        <v>164</v>
      </c>
      <c r="AP233" s="203" t="s">
        <v>1835</v>
      </c>
      <c r="AQ233" s="203"/>
      <c r="AR233" s="203"/>
      <c r="AS233" s="203"/>
      <c r="AT233" s="422" t="s">
        <v>580</v>
      </c>
      <c r="AU233" s="202" t="s">
        <v>3387</v>
      </c>
      <c r="AV233" s="203"/>
      <c r="AW233" s="204">
        <v>43903</v>
      </c>
      <c r="AX233" s="316" t="s">
        <v>3239</v>
      </c>
      <c r="AY233" s="204" t="s">
        <v>150</v>
      </c>
      <c r="AZ233" s="204">
        <v>44566</v>
      </c>
      <c r="BA233" s="204">
        <v>44582</v>
      </c>
      <c r="BB233" s="204"/>
      <c r="BC233" s="204"/>
      <c r="BD233" s="204"/>
      <c r="BE233" s="205" t="s">
        <v>3383</v>
      </c>
      <c r="BF233" s="204">
        <v>44872</v>
      </c>
      <c r="BG233" s="204" t="s">
        <v>150</v>
      </c>
      <c r="BH233" s="204">
        <v>45476</v>
      </c>
      <c r="BI233" s="204" t="s">
        <v>150</v>
      </c>
      <c r="BJ233" s="203"/>
      <c r="BK233" s="203">
        <v>45253</v>
      </c>
      <c r="BL233" s="203"/>
      <c r="BM233" s="206">
        <v>45254</v>
      </c>
      <c r="BN233" s="202" t="s">
        <v>16</v>
      </c>
      <c r="BO233" s="270">
        <f t="shared" si="73"/>
        <v>45</v>
      </c>
      <c r="BP233" s="202" t="e">
        <f>DATEDIF(AX233,BM233, "M")+1</f>
        <v>#VALUE!</v>
      </c>
      <c r="BQ233" s="269" t="s">
        <v>3388</v>
      </c>
      <c r="BR233" s="202">
        <v>4</v>
      </c>
      <c r="BS233" s="202">
        <v>4</v>
      </c>
      <c r="BT233" s="202"/>
      <c r="BU233" s="202"/>
      <c r="BV233" s="202"/>
      <c r="BW233" s="202"/>
      <c r="BX233" s="202"/>
      <c r="BY233" s="202" t="s">
        <v>163</v>
      </c>
      <c r="BZ233" s="202"/>
      <c r="CA233" s="202"/>
      <c r="CB233" s="207"/>
      <c r="CC233" s="207"/>
      <c r="CD233" s="202"/>
      <c r="CE233" s="202"/>
      <c r="CF233" s="202"/>
      <c r="CG233" s="202"/>
      <c r="CH233" s="378">
        <v>3</v>
      </c>
      <c r="CI233" s="202"/>
      <c r="CJ233" s="202"/>
      <c r="CK233" s="202" t="s">
        <v>809</v>
      </c>
      <c r="CL233"/>
    </row>
    <row r="234" spans="1:90" s="53" customFormat="1" ht="26.1" customHeight="1">
      <c r="A234" s="202">
        <v>237</v>
      </c>
      <c r="B234" s="202" t="s">
        <v>3389</v>
      </c>
      <c r="C234" s="202" t="s">
        <v>3390</v>
      </c>
      <c r="D234" s="202"/>
      <c r="E234" s="202" t="s">
        <v>3391</v>
      </c>
      <c r="F234" s="202" t="s">
        <v>24</v>
      </c>
      <c r="G234" s="202">
        <v>10</v>
      </c>
      <c r="H234" s="202" t="s">
        <v>61</v>
      </c>
      <c r="I234" s="202" t="s">
        <v>45</v>
      </c>
      <c r="J234" s="304" t="s">
        <v>602</v>
      </c>
      <c r="K234" s="202" t="s">
        <v>3392</v>
      </c>
      <c r="L234" s="202" t="s">
        <v>45</v>
      </c>
      <c r="M234" s="202" t="s">
        <v>150</v>
      </c>
      <c r="N234" s="202"/>
      <c r="O234" s="202" t="s">
        <v>151</v>
      </c>
      <c r="P234" s="202" t="s">
        <v>151</v>
      </c>
      <c r="Q234" s="202"/>
      <c r="R234" s="202" t="s">
        <v>3393</v>
      </c>
      <c r="S234" s="202" t="s">
        <v>3394</v>
      </c>
      <c r="T234" s="354" t="s">
        <v>3395</v>
      </c>
      <c r="U234" s="203" t="s">
        <v>3396</v>
      </c>
      <c r="V234" s="203">
        <v>30016</v>
      </c>
      <c r="W234" s="305" t="s">
        <v>3397</v>
      </c>
      <c r="X234" s="269" t="s">
        <v>179</v>
      </c>
      <c r="Y234" s="269"/>
      <c r="Z234" s="269"/>
      <c r="AA234" s="202"/>
      <c r="AB234" s="203">
        <v>44265</v>
      </c>
      <c r="AC234" s="289">
        <v>43891</v>
      </c>
      <c r="AD234" s="203"/>
      <c r="AE234" s="203" t="s">
        <v>3398</v>
      </c>
      <c r="AF234" s="203" t="s">
        <v>2100</v>
      </c>
      <c r="AG234" s="203"/>
      <c r="AH234" s="202">
        <f t="shared" si="70"/>
        <v>2</v>
      </c>
      <c r="AI234" s="203"/>
      <c r="AJ234" s="203"/>
      <c r="AK234" s="203"/>
      <c r="AL234" s="203"/>
      <c r="AM234" s="203"/>
      <c r="AN234" s="203"/>
      <c r="AO234" s="203" t="s">
        <v>164</v>
      </c>
      <c r="AP234" s="203" t="s">
        <v>182</v>
      </c>
      <c r="AQ234" s="203" t="s">
        <v>182</v>
      </c>
      <c r="AR234" s="203"/>
      <c r="AS234" s="203"/>
      <c r="AT234" s="422" t="s">
        <v>372</v>
      </c>
      <c r="AU234" s="202" t="s">
        <v>3399</v>
      </c>
      <c r="AV234" s="203"/>
      <c r="AW234" s="204">
        <v>43911</v>
      </c>
      <c r="AX234" s="316" t="s">
        <v>3239</v>
      </c>
      <c r="AY234" s="204" t="s">
        <v>150</v>
      </c>
      <c r="AZ234" s="204">
        <v>44407</v>
      </c>
      <c r="BA234" s="204">
        <v>44508</v>
      </c>
      <c r="BB234" s="204"/>
      <c r="BC234" s="204"/>
      <c r="BD234" s="204"/>
      <c r="BE234" s="205" t="s">
        <v>3397</v>
      </c>
      <c r="BF234" s="204">
        <v>44872</v>
      </c>
      <c r="BG234" s="204" t="s">
        <v>150</v>
      </c>
      <c r="BH234" s="204">
        <v>45476</v>
      </c>
      <c r="BI234" s="204" t="s">
        <v>150</v>
      </c>
      <c r="BJ234" s="204">
        <v>45747</v>
      </c>
      <c r="BK234" s="203"/>
      <c r="BL234" s="203"/>
      <c r="BM234" s="206">
        <v>45937</v>
      </c>
      <c r="BN234" s="202" t="s">
        <v>16</v>
      </c>
      <c r="BO234" s="270">
        <f t="shared" si="73"/>
        <v>67</v>
      </c>
      <c r="BP234" s="202" t="e">
        <f>DATEDIF(AX234,BM234, "M")+1</f>
        <v>#VALUE!</v>
      </c>
      <c r="BQ234" s="269" t="s">
        <v>3400</v>
      </c>
      <c r="BR234" s="202">
        <v>3</v>
      </c>
      <c r="BS234" s="202">
        <v>3</v>
      </c>
      <c r="BT234" s="202"/>
      <c r="BU234" s="202"/>
      <c r="BV234" s="202"/>
      <c r="BW234" s="202"/>
      <c r="BX234" s="202"/>
      <c r="BY234" s="202" t="s">
        <v>163</v>
      </c>
      <c r="BZ234" s="202"/>
      <c r="CA234" s="202"/>
      <c r="CB234" s="207"/>
      <c r="CC234" s="207"/>
      <c r="CD234" s="202"/>
      <c r="CE234" s="202"/>
      <c r="CF234" s="202"/>
      <c r="CG234" s="202"/>
      <c r="CH234" s="378">
        <v>3</v>
      </c>
      <c r="CI234" s="202"/>
      <c r="CJ234" s="202"/>
      <c r="CK234" s="202" t="s">
        <v>3401</v>
      </c>
      <c r="CL234"/>
    </row>
    <row r="235" spans="1:90" s="53" customFormat="1" ht="26.1" customHeight="1">
      <c r="A235" s="202">
        <v>238</v>
      </c>
      <c r="B235" s="202" t="s">
        <v>3402</v>
      </c>
      <c r="C235" s="202" t="s">
        <v>3403</v>
      </c>
      <c r="D235" s="202"/>
      <c r="E235" s="202" t="s">
        <v>3404</v>
      </c>
      <c r="F235" s="202" t="s">
        <v>24</v>
      </c>
      <c r="G235" s="202">
        <v>10</v>
      </c>
      <c r="H235" s="202" t="s">
        <v>61</v>
      </c>
      <c r="I235" s="202" t="s">
        <v>45</v>
      </c>
      <c r="J235" s="202" t="s">
        <v>362</v>
      </c>
      <c r="K235" s="202" t="s">
        <v>3405</v>
      </c>
      <c r="L235" s="202" t="s">
        <v>45</v>
      </c>
      <c r="M235" s="202" t="s">
        <v>150</v>
      </c>
      <c r="N235" s="202"/>
      <c r="O235" s="202" t="s">
        <v>151</v>
      </c>
      <c r="P235" s="202" t="s">
        <v>151</v>
      </c>
      <c r="Q235" s="202"/>
      <c r="R235" s="202" t="s">
        <v>3406</v>
      </c>
      <c r="S235" s="202" t="s">
        <v>3407</v>
      </c>
      <c r="T235" s="354" t="s">
        <v>3408</v>
      </c>
      <c r="U235" s="203" t="s">
        <v>3409</v>
      </c>
      <c r="V235" s="203">
        <v>31616</v>
      </c>
      <c r="W235" s="269" t="s">
        <v>3410</v>
      </c>
      <c r="X235" s="269" t="s">
        <v>179</v>
      </c>
      <c r="Y235" s="269"/>
      <c r="Z235" s="269"/>
      <c r="AA235" s="202"/>
      <c r="AB235" s="203">
        <v>43865</v>
      </c>
      <c r="AC235" s="289">
        <v>43891</v>
      </c>
      <c r="AD235" s="203"/>
      <c r="AE235" s="203" t="s">
        <v>3411</v>
      </c>
      <c r="AF235" s="203"/>
      <c r="AG235" s="203"/>
      <c r="AH235" s="202">
        <f t="shared" si="70"/>
        <v>1</v>
      </c>
      <c r="AI235" s="203"/>
      <c r="AJ235" s="203"/>
      <c r="AK235" s="203"/>
      <c r="AL235" s="203"/>
      <c r="AM235" s="203"/>
      <c r="AN235" s="203"/>
      <c r="AO235" s="203" t="s">
        <v>164</v>
      </c>
      <c r="AP235" s="203" t="s">
        <v>3412</v>
      </c>
      <c r="AQ235" s="203" t="s">
        <v>3413</v>
      </c>
      <c r="AR235" s="203" t="s">
        <v>150</v>
      </c>
      <c r="AS235" s="203"/>
      <c r="AT235" s="422" t="s">
        <v>372</v>
      </c>
      <c r="AU235" s="202" t="s">
        <v>3414</v>
      </c>
      <c r="AV235" s="203"/>
      <c r="AW235" s="204">
        <v>43905</v>
      </c>
      <c r="AX235" s="316" t="s">
        <v>3239</v>
      </c>
      <c r="AY235" s="204" t="s">
        <v>150</v>
      </c>
      <c r="AZ235" s="204"/>
      <c r="BA235" s="204"/>
      <c r="BB235" s="204"/>
      <c r="BC235" s="204"/>
      <c r="BD235" s="204"/>
      <c r="BE235" s="205" t="s">
        <v>3410</v>
      </c>
      <c r="BF235" s="204">
        <v>45061</v>
      </c>
      <c r="BG235" s="204" t="s">
        <v>163</v>
      </c>
      <c r="BH235" s="204">
        <v>45476</v>
      </c>
      <c r="BI235" s="204" t="s">
        <v>150</v>
      </c>
      <c r="BJ235" s="203"/>
      <c r="BK235" s="203"/>
      <c r="BL235" s="203"/>
      <c r="BM235" s="206">
        <v>45215</v>
      </c>
      <c r="BN235" s="202" t="s">
        <v>16</v>
      </c>
      <c r="BO235" s="270">
        <f t="shared" si="73"/>
        <v>44</v>
      </c>
      <c r="BP235" s="202" t="e">
        <f t="shared" ref="BP235" si="74">DATEDIF(AX235,BM235, "M")+1</f>
        <v>#VALUE!</v>
      </c>
      <c r="BQ235" s="269" t="s">
        <v>3415</v>
      </c>
      <c r="BR235" s="202">
        <v>0</v>
      </c>
      <c r="BS235" s="202"/>
      <c r="BT235" s="202"/>
      <c r="BU235" s="202"/>
      <c r="BV235" s="202"/>
      <c r="BW235" s="202"/>
      <c r="BX235" s="202"/>
      <c r="BY235" s="202" t="s">
        <v>3416</v>
      </c>
      <c r="BZ235" s="202"/>
      <c r="CA235" s="202"/>
      <c r="CB235" s="207"/>
      <c r="CC235" s="207"/>
      <c r="CD235" s="202"/>
      <c r="CE235" s="202"/>
      <c r="CF235" s="202"/>
      <c r="CG235" s="202"/>
      <c r="CH235" s="378">
        <v>1</v>
      </c>
      <c r="CI235" s="202"/>
      <c r="CJ235" s="202"/>
      <c r="CK235" s="202" t="s">
        <v>3401</v>
      </c>
      <c r="CL235"/>
    </row>
    <row r="236" spans="1:90" s="53" customFormat="1" ht="26.1" customHeight="1">
      <c r="A236" s="202">
        <v>239</v>
      </c>
      <c r="B236" s="202" t="s">
        <v>3417</v>
      </c>
      <c r="C236" s="202" t="s">
        <v>3418</v>
      </c>
      <c r="D236" s="202" t="s">
        <v>3419</v>
      </c>
      <c r="E236" s="202" t="s">
        <v>3420</v>
      </c>
      <c r="F236" s="202" t="s">
        <v>24</v>
      </c>
      <c r="G236" s="202">
        <v>10</v>
      </c>
      <c r="H236" s="202" t="s">
        <v>54</v>
      </c>
      <c r="I236" s="202" t="s">
        <v>31</v>
      </c>
      <c r="J236" s="202" t="s">
        <v>2319</v>
      </c>
      <c r="K236" s="202" t="s">
        <v>3421</v>
      </c>
      <c r="L236" s="202" t="s">
        <v>31</v>
      </c>
      <c r="M236" s="202" t="s">
        <v>150</v>
      </c>
      <c r="N236" s="202"/>
      <c r="O236" s="202" t="s">
        <v>3422</v>
      </c>
      <c r="P236" s="202" t="s">
        <v>3423</v>
      </c>
      <c r="Q236" s="202"/>
      <c r="R236" s="392" t="s">
        <v>3424</v>
      </c>
      <c r="S236" s="392" t="s">
        <v>3425</v>
      </c>
      <c r="T236" s="354" t="s">
        <v>3426</v>
      </c>
      <c r="U236" s="203" t="s">
        <v>3427</v>
      </c>
      <c r="V236" s="203">
        <v>27485</v>
      </c>
      <c r="W236" s="269" t="s">
        <v>3428</v>
      </c>
      <c r="X236" s="269" t="s">
        <v>156</v>
      </c>
      <c r="Y236" s="269"/>
      <c r="Z236" s="269"/>
      <c r="AA236" s="202"/>
      <c r="AB236" s="203">
        <v>44182</v>
      </c>
      <c r="AC236" s="289">
        <v>43891</v>
      </c>
      <c r="AD236" s="203"/>
      <c r="AE236" s="203" t="s">
        <v>3429</v>
      </c>
      <c r="AF236" s="203" t="s">
        <v>3430</v>
      </c>
      <c r="AG236" s="203"/>
      <c r="AH236" s="202">
        <f t="shared" si="70"/>
        <v>2</v>
      </c>
      <c r="AI236" s="203"/>
      <c r="AJ236" s="203"/>
      <c r="AK236" s="203"/>
      <c r="AL236" s="203"/>
      <c r="AM236" s="203"/>
      <c r="AN236" s="203"/>
      <c r="AO236" s="203" t="s">
        <v>182</v>
      </c>
      <c r="AP236" s="203" t="s">
        <v>250</v>
      </c>
      <c r="AQ236" s="203" t="s">
        <v>250</v>
      </c>
      <c r="AR236" s="203"/>
      <c r="AS236" s="203"/>
      <c r="AT236" s="422" t="s">
        <v>328</v>
      </c>
      <c r="AU236" s="202" t="s">
        <v>3431</v>
      </c>
      <c r="AV236" s="203"/>
      <c r="AW236" s="204">
        <v>43912</v>
      </c>
      <c r="AX236" s="316" t="s">
        <v>3239</v>
      </c>
      <c r="AY236" s="204" t="s">
        <v>150</v>
      </c>
      <c r="AZ236" s="204">
        <v>44335</v>
      </c>
      <c r="BA236" s="204">
        <v>44370</v>
      </c>
      <c r="BB236" s="204"/>
      <c r="BC236" s="204"/>
      <c r="BD236" s="204"/>
      <c r="BE236" s="205" t="s">
        <v>3428</v>
      </c>
      <c r="BF236" s="204">
        <v>44872</v>
      </c>
      <c r="BG236" s="204" t="s">
        <v>150</v>
      </c>
      <c r="BH236" s="204">
        <v>45476</v>
      </c>
      <c r="BI236" s="204" t="s">
        <v>150</v>
      </c>
      <c r="BJ236" s="203"/>
      <c r="BK236" s="203">
        <v>45565</v>
      </c>
      <c r="BL236" s="203"/>
      <c r="BM236" s="206">
        <v>45568</v>
      </c>
      <c r="BN236" s="202" t="s">
        <v>16</v>
      </c>
      <c r="BO236" s="270">
        <f t="shared" si="73"/>
        <v>55</v>
      </c>
      <c r="BP236" s="204" t="e">
        <f>DATEDIF(AX236,BM236, "M")+1</f>
        <v>#VALUE!</v>
      </c>
      <c r="BQ236" s="269" t="s">
        <v>3432</v>
      </c>
      <c r="BR236" s="202">
        <v>8</v>
      </c>
      <c r="BS236" s="202">
        <v>3</v>
      </c>
      <c r="BT236" s="202"/>
      <c r="BU236" s="202"/>
      <c r="BV236" s="202"/>
      <c r="BW236" s="202"/>
      <c r="BX236" s="202"/>
      <c r="BY236" s="202" t="s">
        <v>163</v>
      </c>
      <c r="BZ236" s="202"/>
      <c r="CA236" s="202"/>
      <c r="CB236" s="207">
        <v>45413</v>
      </c>
      <c r="CC236" s="207">
        <v>45535</v>
      </c>
      <c r="CD236" s="202">
        <v>4</v>
      </c>
      <c r="CE236" s="202"/>
      <c r="CF236" s="202"/>
      <c r="CG236" s="202"/>
      <c r="CH236" s="378">
        <v>4</v>
      </c>
      <c r="CI236" s="202"/>
      <c r="CJ236" s="202"/>
      <c r="CK236" s="202" t="s">
        <v>809</v>
      </c>
      <c r="CL236"/>
    </row>
    <row r="237" spans="1:90" s="53" customFormat="1" ht="26.1" customHeight="1">
      <c r="A237" s="202">
        <v>240</v>
      </c>
      <c r="B237" s="202" t="s">
        <v>3433</v>
      </c>
      <c r="C237" s="202" t="s">
        <v>3434</v>
      </c>
      <c r="D237" s="202"/>
      <c r="E237" s="202" t="s">
        <v>3435</v>
      </c>
      <c r="F237" s="202" t="s">
        <v>24</v>
      </c>
      <c r="G237" s="202">
        <v>10</v>
      </c>
      <c r="H237" s="202" t="s">
        <v>58</v>
      </c>
      <c r="I237" s="202" t="s">
        <v>45</v>
      </c>
      <c r="J237" s="202" t="s">
        <v>3436</v>
      </c>
      <c r="K237" s="202" t="s">
        <v>3437</v>
      </c>
      <c r="L237" s="202" t="s">
        <v>45</v>
      </c>
      <c r="M237" s="202" t="s">
        <v>150</v>
      </c>
      <c r="N237" s="202"/>
      <c r="O237" s="202" t="s">
        <v>151</v>
      </c>
      <c r="P237" s="202" t="s">
        <v>151</v>
      </c>
      <c r="Q237" s="202"/>
      <c r="R237" s="202" t="s">
        <v>3438</v>
      </c>
      <c r="S237" s="209" t="s">
        <v>3439</v>
      </c>
      <c r="T237" s="354" t="s">
        <v>3440</v>
      </c>
      <c r="U237" s="203" t="s">
        <v>3441</v>
      </c>
      <c r="V237" s="203">
        <v>32413</v>
      </c>
      <c r="W237" s="269" t="s">
        <v>3442</v>
      </c>
      <c r="X237" s="269" t="s">
        <v>179</v>
      </c>
      <c r="Y237" s="269"/>
      <c r="Z237" s="269"/>
      <c r="AA237" s="202"/>
      <c r="AB237" s="203">
        <v>43678</v>
      </c>
      <c r="AC237" s="289">
        <v>43891</v>
      </c>
      <c r="AD237" s="203"/>
      <c r="AE237" s="203" t="s">
        <v>3443</v>
      </c>
      <c r="AF237" s="203" t="s">
        <v>3444</v>
      </c>
      <c r="AG237" s="203"/>
      <c r="AH237" s="202">
        <f t="shared" si="70"/>
        <v>2</v>
      </c>
      <c r="AI237" s="203"/>
      <c r="AJ237" s="203"/>
      <c r="AK237" s="203"/>
      <c r="AL237" s="203"/>
      <c r="AM237" s="203"/>
      <c r="AN237" s="203"/>
      <c r="AO237" s="203" t="s">
        <v>164</v>
      </c>
      <c r="AP237" s="203" t="s">
        <v>3445</v>
      </c>
      <c r="AQ237" s="203" t="s">
        <v>3445</v>
      </c>
      <c r="AR237" s="203"/>
      <c r="AS237" s="203"/>
      <c r="AT237" s="422" t="s">
        <v>372</v>
      </c>
      <c r="AU237" s="202" t="s">
        <v>3446</v>
      </c>
      <c r="AV237" s="203"/>
      <c r="AW237" s="204">
        <v>43913</v>
      </c>
      <c r="AX237" s="316" t="s">
        <v>3239</v>
      </c>
      <c r="AY237" s="204" t="s">
        <v>150</v>
      </c>
      <c r="AZ237" s="204">
        <v>44462</v>
      </c>
      <c r="BA237" s="204">
        <v>44505</v>
      </c>
      <c r="BB237" s="204"/>
      <c r="BC237" s="204"/>
      <c r="BD237" s="204"/>
      <c r="BE237" s="205" t="s">
        <v>3442</v>
      </c>
      <c r="BF237" s="204">
        <v>45061</v>
      </c>
      <c r="BG237" s="204" t="s">
        <v>163</v>
      </c>
      <c r="BH237" s="204">
        <v>45476</v>
      </c>
      <c r="BI237" s="204" t="s">
        <v>150</v>
      </c>
      <c r="BJ237" s="203"/>
      <c r="BK237" s="203"/>
      <c r="BL237" s="203"/>
      <c r="BM237" s="206"/>
      <c r="BN237" s="202" t="s">
        <v>17</v>
      </c>
      <c r="BO237" s="270"/>
      <c r="BP237" s="202"/>
      <c r="BQ237" s="202"/>
      <c r="BR237" s="202">
        <v>0</v>
      </c>
      <c r="BS237" s="202"/>
      <c r="BT237" s="202"/>
      <c r="BU237" s="202"/>
      <c r="BV237" s="202"/>
      <c r="BW237" s="202"/>
      <c r="BX237" s="202"/>
      <c r="BY237" s="202" t="s">
        <v>163</v>
      </c>
      <c r="BZ237" s="202"/>
      <c r="CA237" s="202"/>
      <c r="CB237" s="207"/>
      <c r="CC237" s="207"/>
      <c r="CD237" s="202"/>
      <c r="CE237" s="202"/>
      <c r="CF237" s="202"/>
      <c r="CG237" s="202"/>
      <c r="CH237" s="378">
        <v>0</v>
      </c>
      <c r="CI237" s="202"/>
      <c r="CJ237" s="202"/>
      <c r="CK237" s="202" t="s">
        <v>3401</v>
      </c>
      <c r="CL237"/>
    </row>
    <row r="238" spans="1:90" s="53" customFormat="1" ht="26.1" customHeight="1">
      <c r="A238" s="202">
        <v>241</v>
      </c>
      <c r="B238" s="202" t="s">
        <v>3447</v>
      </c>
      <c r="C238" s="202" t="s">
        <v>3448</v>
      </c>
      <c r="D238" s="202" t="s">
        <v>3449</v>
      </c>
      <c r="E238" s="202" t="s">
        <v>3450</v>
      </c>
      <c r="F238" s="202" t="s">
        <v>24</v>
      </c>
      <c r="G238" s="202">
        <v>10</v>
      </c>
      <c r="H238" s="202" t="s">
        <v>53</v>
      </c>
      <c r="I238" s="202" t="s">
        <v>46</v>
      </c>
      <c r="J238" s="202" t="s">
        <v>3451</v>
      </c>
      <c r="K238" s="202" t="s">
        <v>2272</v>
      </c>
      <c r="L238" s="202" t="s">
        <v>45</v>
      </c>
      <c r="M238" s="202" t="s">
        <v>150</v>
      </c>
      <c r="N238" s="202"/>
      <c r="O238" s="202" t="s">
        <v>322</v>
      </c>
      <c r="P238" s="202" t="s">
        <v>322</v>
      </c>
      <c r="Q238" s="202"/>
      <c r="R238" s="392" t="s">
        <v>3452</v>
      </c>
      <c r="S238" s="392" t="s">
        <v>3453</v>
      </c>
      <c r="T238" s="354" t="s">
        <v>3454</v>
      </c>
      <c r="U238" s="203" t="s">
        <v>3455</v>
      </c>
      <c r="V238" s="203">
        <v>33810</v>
      </c>
      <c r="W238" s="269" t="s">
        <v>3456</v>
      </c>
      <c r="X238" s="269" t="s">
        <v>179</v>
      </c>
      <c r="Y238" s="269"/>
      <c r="Z238" s="269"/>
      <c r="AA238" s="202"/>
      <c r="AB238" s="203">
        <v>44479</v>
      </c>
      <c r="AC238" s="289">
        <v>43891</v>
      </c>
      <c r="AD238" s="203"/>
      <c r="AE238" s="203" t="s">
        <v>3457</v>
      </c>
      <c r="AF238" s="203" t="s">
        <v>3458</v>
      </c>
      <c r="AG238" s="203"/>
      <c r="AH238" s="202">
        <f t="shared" si="70"/>
        <v>2</v>
      </c>
      <c r="AI238" s="203"/>
      <c r="AJ238" s="203"/>
      <c r="AK238" s="203"/>
      <c r="AL238" s="203"/>
      <c r="AM238" s="203"/>
      <c r="AN238" s="203"/>
      <c r="AO238" s="203" t="s">
        <v>164</v>
      </c>
      <c r="AP238" s="203" t="s">
        <v>203</v>
      </c>
      <c r="AQ238" s="203" t="s">
        <v>203</v>
      </c>
      <c r="AR238" s="203"/>
      <c r="AS238" s="203"/>
      <c r="AT238" s="422" t="s">
        <v>298</v>
      </c>
      <c r="AU238" s="202" t="s">
        <v>3459</v>
      </c>
      <c r="AV238" s="203"/>
      <c r="AW238" s="204">
        <v>43914</v>
      </c>
      <c r="AX238" s="316" t="s">
        <v>3239</v>
      </c>
      <c r="AY238" s="204" t="s">
        <v>150</v>
      </c>
      <c r="AZ238" s="204"/>
      <c r="BA238" s="204"/>
      <c r="BB238" s="204"/>
      <c r="BC238" s="204"/>
      <c r="BD238" s="204"/>
      <c r="BE238" s="205" t="s">
        <v>3456</v>
      </c>
      <c r="BF238" s="204">
        <v>45061</v>
      </c>
      <c r="BG238" s="204" t="s">
        <v>163</v>
      </c>
      <c r="BH238" s="204">
        <v>45476</v>
      </c>
      <c r="BI238" s="204" t="s">
        <v>150</v>
      </c>
      <c r="BJ238" s="203"/>
      <c r="BK238" s="203"/>
      <c r="BL238" s="203"/>
      <c r="BM238" s="206"/>
      <c r="BN238" s="202" t="s">
        <v>17</v>
      </c>
      <c r="BO238" s="270"/>
      <c r="BP238" s="202"/>
      <c r="BQ238" s="202"/>
      <c r="BR238" s="202">
        <v>1</v>
      </c>
      <c r="BS238" s="202">
        <v>0</v>
      </c>
      <c r="BT238" s="202"/>
      <c r="BU238" s="202"/>
      <c r="BV238" s="202"/>
      <c r="BW238" s="202"/>
      <c r="BX238" s="202"/>
      <c r="BY238" s="202" t="s">
        <v>163</v>
      </c>
      <c r="BZ238" s="202"/>
      <c r="CA238" s="202"/>
      <c r="CB238" s="207"/>
      <c r="CC238" s="207"/>
      <c r="CD238" s="202"/>
      <c r="CE238" s="202"/>
      <c r="CF238" s="202"/>
      <c r="CG238" s="202"/>
      <c r="CH238" s="378">
        <v>0</v>
      </c>
      <c r="CI238" s="202"/>
      <c r="CJ238" s="202"/>
      <c r="CK238" s="202" t="s">
        <v>809</v>
      </c>
      <c r="CL238"/>
    </row>
    <row r="239" spans="1:90" s="53" customFormat="1" ht="26.1" customHeight="1">
      <c r="A239" s="202">
        <v>242</v>
      </c>
      <c r="B239" s="202" t="s">
        <v>3460</v>
      </c>
      <c r="C239" s="202" t="s">
        <v>3461</v>
      </c>
      <c r="D239" s="202" t="s">
        <v>3462</v>
      </c>
      <c r="E239" s="202" t="s">
        <v>3463</v>
      </c>
      <c r="F239" s="202" t="s">
        <v>24</v>
      </c>
      <c r="G239" s="202">
        <v>10</v>
      </c>
      <c r="H239" s="202" t="s">
        <v>54</v>
      </c>
      <c r="I239" s="202" t="s">
        <v>31</v>
      </c>
      <c r="J239" s="202" t="s">
        <v>3464</v>
      </c>
      <c r="K239" s="202" t="s">
        <v>3465</v>
      </c>
      <c r="L239" s="202" t="s">
        <v>42</v>
      </c>
      <c r="M239" s="202" t="s">
        <v>163</v>
      </c>
      <c r="N239" s="202"/>
      <c r="O239" s="202" t="s">
        <v>322</v>
      </c>
      <c r="P239" s="202" t="s">
        <v>3466</v>
      </c>
      <c r="Q239" s="202"/>
      <c r="R239" s="392" t="s">
        <v>3467</v>
      </c>
      <c r="S239" s="392" t="s">
        <v>3468</v>
      </c>
      <c r="T239" s="354" t="s">
        <v>3469</v>
      </c>
      <c r="U239" s="203" t="s">
        <v>3470</v>
      </c>
      <c r="V239" s="203">
        <v>28305</v>
      </c>
      <c r="W239" s="269" t="s">
        <v>3471</v>
      </c>
      <c r="X239" s="269" t="s">
        <v>2498</v>
      </c>
      <c r="Y239" s="269"/>
      <c r="Z239" s="269"/>
      <c r="AA239" s="202"/>
      <c r="AB239" s="203">
        <v>44432</v>
      </c>
      <c r="AC239" s="289">
        <v>43891</v>
      </c>
      <c r="AD239" s="203"/>
      <c r="AE239" s="203" t="s">
        <v>3472</v>
      </c>
      <c r="AF239" s="203" t="s">
        <v>3473</v>
      </c>
      <c r="AG239" s="203"/>
      <c r="AH239" s="202">
        <f t="shared" si="70"/>
        <v>2</v>
      </c>
      <c r="AI239" s="203"/>
      <c r="AJ239" s="203"/>
      <c r="AK239" s="203"/>
      <c r="AL239" s="203"/>
      <c r="AM239" s="203"/>
      <c r="AN239" s="203"/>
      <c r="AO239" s="203" t="s">
        <v>164</v>
      </c>
      <c r="AP239" s="203" t="s">
        <v>1440</v>
      </c>
      <c r="AQ239" s="203" t="s">
        <v>250</v>
      </c>
      <c r="AR239" s="203" t="s">
        <v>150</v>
      </c>
      <c r="AS239" s="203"/>
      <c r="AT239" s="422" t="s">
        <v>328</v>
      </c>
      <c r="AU239" s="202" t="s">
        <v>3474</v>
      </c>
      <c r="AV239" s="203"/>
      <c r="AW239" s="204">
        <v>43916</v>
      </c>
      <c r="AX239" s="316" t="s">
        <v>3239</v>
      </c>
      <c r="AY239" s="204" t="s">
        <v>150</v>
      </c>
      <c r="AZ239" s="204"/>
      <c r="BA239" s="204"/>
      <c r="BB239" s="204"/>
      <c r="BC239" s="204"/>
      <c r="BD239" s="204"/>
      <c r="BE239" s="205" t="s">
        <v>3471</v>
      </c>
      <c r="BF239" s="204">
        <v>44872</v>
      </c>
      <c r="BG239" s="204" t="s">
        <v>150</v>
      </c>
      <c r="BH239" s="204">
        <v>45476</v>
      </c>
      <c r="BI239" s="204" t="s">
        <v>150</v>
      </c>
      <c r="BJ239" s="203"/>
      <c r="BK239" s="203"/>
      <c r="BL239" s="203"/>
      <c r="BM239" s="206"/>
      <c r="BN239" s="202" t="s">
        <v>17</v>
      </c>
      <c r="BO239" s="270"/>
      <c r="BP239" s="202"/>
      <c r="BQ239" s="202"/>
      <c r="BR239" s="202">
        <v>6</v>
      </c>
      <c r="BS239" s="202">
        <v>5</v>
      </c>
      <c r="BT239" s="202"/>
      <c r="BU239" s="202"/>
      <c r="BV239" s="202"/>
      <c r="BW239" s="202"/>
      <c r="BX239" s="202"/>
      <c r="BY239" s="202" t="s">
        <v>163</v>
      </c>
      <c r="BZ239" s="202"/>
      <c r="CA239" s="202"/>
      <c r="CB239" s="207"/>
      <c r="CC239" s="207"/>
      <c r="CD239" s="202"/>
      <c r="CE239" s="202"/>
      <c r="CF239" s="202"/>
      <c r="CG239" s="202"/>
      <c r="CH239" s="378">
        <v>0</v>
      </c>
      <c r="CI239" s="202"/>
      <c r="CJ239" s="202"/>
      <c r="CK239" s="202" t="s">
        <v>809</v>
      </c>
      <c r="CL239"/>
    </row>
    <row r="240" spans="1:90" s="53" customFormat="1" ht="26.1" customHeight="1">
      <c r="A240" s="202">
        <v>243</v>
      </c>
      <c r="B240" s="202" t="s">
        <v>3475</v>
      </c>
      <c r="C240" s="202" t="s">
        <v>3476</v>
      </c>
      <c r="D240" s="202" t="s">
        <v>3477</v>
      </c>
      <c r="E240" s="202" t="s">
        <v>3478</v>
      </c>
      <c r="F240" s="202" t="s">
        <v>25</v>
      </c>
      <c r="G240" s="202">
        <v>10</v>
      </c>
      <c r="H240" s="202" t="s">
        <v>55</v>
      </c>
      <c r="I240" s="202" t="s">
        <v>43</v>
      </c>
      <c r="J240" s="202" t="s">
        <v>3479</v>
      </c>
      <c r="K240" s="202" t="s">
        <v>2788</v>
      </c>
      <c r="L240" s="202" t="s">
        <v>43</v>
      </c>
      <c r="M240" s="202" t="s">
        <v>150</v>
      </c>
      <c r="N240" s="202"/>
      <c r="O240" s="202" t="s">
        <v>151</v>
      </c>
      <c r="P240" s="202" t="s">
        <v>151</v>
      </c>
      <c r="Q240" s="202"/>
      <c r="R240" s="392" t="s">
        <v>3480</v>
      </c>
      <c r="S240" s="392" t="s">
        <v>3481</v>
      </c>
      <c r="T240" s="354" t="s">
        <v>3482</v>
      </c>
      <c r="U240" s="203" t="s">
        <v>3483</v>
      </c>
      <c r="V240" s="203">
        <v>29588</v>
      </c>
      <c r="W240" s="269" t="s">
        <v>3484</v>
      </c>
      <c r="X240" s="269" t="s">
        <v>2888</v>
      </c>
      <c r="Y240" s="269"/>
      <c r="Z240" s="269"/>
      <c r="AA240" s="202"/>
      <c r="AB240" s="203">
        <v>43840</v>
      </c>
      <c r="AC240" s="289">
        <v>43891</v>
      </c>
      <c r="AD240" s="203"/>
      <c r="AE240" s="203" t="s">
        <v>3485</v>
      </c>
      <c r="AF240" s="203" t="s">
        <v>3486</v>
      </c>
      <c r="AG240" s="203"/>
      <c r="AH240" s="202">
        <f t="shared" si="70"/>
        <v>2</v>
      </c>
      <c r="AI240" s="203"/>
      <c r="AJ240" s="203"/>
      <c r="AK240" s="203"/>
      <c r="AL240" s="203"/>
      <c r="AM240" s="203"/>
      <c r="AN240" s="203"/>
      <c r="AO240" s="203" t="s">
        <v>182</v>
      </c>
      <c r="AP240" s="203" t="s">
        <v>3487</v>
      </c>
      <c r="AQ240" s="203" t="s">
        <v>250</v>
      </c>
      <c r="AR240" s="203" t="s">
        <v>150</v>
      </c>
      <c r="AS240" s="383" t="s">
        <v>3488</v>
      </c>
      <c r="AT240" s="422" t="s">
        <v>219</v>
      </c>
      <c r="AU240" s="202" t="s">
        <v>3489</v>
      </c>
      <c r="AV240" s="203"/>
      <c r="AW240" s="204">
        <v>43894</v>
      </c>
      <c r="AX240" s="316" t="s">
        <v>3239</v>
      </c>
      <c r="AY240" s="204" t="s">
        <v>150</v>
      </c>
      <c r="AZ240" s="204">
        <v>44593</v>
      </c>
      <c r="BA240" s="204">
        <v>44602</v>
      </c>
      <c r="BB240" s="204"/>
      <c r="BC240" s="204"/>
      <c r="BD240" s="204"/>
      <c r="BE240" s="205" t="s">
        <v>3484</v>
      </c>
      <c r="BF240" s="204">
        <v>44872</v>
      </c>
      <c r="BG240" s="204" t="s">
        <v>150</v>
      </c>
      <c r="BH240" s="204">
        <v>45476</v>
      </c>
      <c r="BI240" s="204" t="s">
        <v>150</v>
      </c>
      <c r="BJ240" s="203"/>
      <c r="BK240" s="203"/>
      <c r="BL240" s="203"/>
      <c r="BM240" s="206">
        <v>45590</v>
      </c>
      <c r="BN240" s="202" t="s">
        <v>16</v>
      </c>
      <c r="BO240" s="270">
        <f>DATEDIF(AW240,BM240, "M")+1</f>
        <v>56</v>
      </c>
      <c r="BP240" s="202" t="e">
        <f>DATEDIF(AX240,BM240, "M")+1</f>
        <v>#VALUE!</v>
      </c>
      <c r="BQ240" s="202"/>
      <c r="BR240" s="202">
        <v>0</v>
      </c>
      <c r="BS240" s="202">
        <v>2</v>
      </c>
      <c r="BT240" s="202"/>
      <c r="BU240" s="202"/>
      <c r="BV240" s="202"/>
      <c r="BW240" s="202"/>
      <c r="BX240" s="202"/>
      <c r="BY240" s="202" t="s">
        <v>163</v>
      </c>
      <c r="BZ240" s="202"/>
      <c r="CA240" s="202"/>
      <c r="CB240" s="207"/>
      <c r="CC240" s="207"/>
      <c r="CD240" s="202"/>
      <c r="CE240" s="202"/>
      <c r="CF240" s="202"/>
      <c r="CG240" s="202"/>
      <c r="CH240" s="378">
        <v>2</v>
      </c>
      <c r="CI240" s="202"/>
      <c r="CJ240" s="202"/>
      <c r="CK240" s="202" t="s">
        <v>809</v>
      </c>
      <c r="CL240"/>
    </row>
    <row r="241" spans="1:90" s="53" customFormat="1" ht="26.1" customHeight="1">
      <c r="A241" s="202">
        <v>244</v>
      </c>
      <c r="B241" s="202" t="s">
        <v>3490</v>
      </c>
      <c r="C241" s="202" t="s">
        <v>3491</v>
      </c>
      <c r="D241" s="202"/>
      <c r="E241" s="202" t="s">
        <v>3492</v>
      </c>
      <c r="F241" s="202" t="s">
        <v>25</v>
      </c>
      <c r="G241" s="202">
        <v>10</v>
      </c>
      <c r="H241" s="202" t="s">
        <v>53</v>
      </c>
      <c r="I241" s="202" t="s">
        <v>46</v>
      </c>
      <c r="J241" s="202" t="s">
        <v>3493</v>
      </c>
      <c r="K241" s="202" t="s">
        <v>517</v>
      </c>
      <c r="L241" s="202" t="s">
        <v>45</v>
      </c>
      <c r="M241" s="202" t="s">
        <v>163</v>
      </c>
      <c r="N241" s="202"/>
      <c r="O241" s="202" t="s">
        <v>322</v>
      </c>
      <c r="P241" s="202" t="s">
        <v>151</v>
      </c>
      <c r="Q241" s="202"/>
      <c r="R241" s="392" t="s">
        <v>3494</v>
      </c>
      <c r="S241" s="392" t="s">
        <v>3495</v>
      </c>
      <c r="T241" s="354" t="s">
        <v>3496</v>
      </c>
      <c r="U241" s="203" t="s">
        <v>3497</v>
      </c>
      <c r="V241" s="203">
        <v>32014</v>
      </c>
      <c r="W241" s="269" t="s">
        <v>3498</v>
      </c>
      <c r="X241" s="269" t="s">
        <v>179</v>
      </c>
      <c r="Y241" s="269"/>
      <c r="Z241" s="269"/>
      <c r="AA241" s="202"/>
      <c r="AB241" s="203">
        <v>44424</v>
      </c>
      <c r="AC241" s="289">
        <v>43891</v>
      </c>
      <c r="AD241" s="203"/>
      <c r="AE241" s="203" t="s">
        <v>3499</v>
      </c>
      <c r="AF241" s="203" t="s">
        <v>3500</v>
      </c>
      <c r="AG241" s="203"/>
      <c r="AH241" s="202">
        <f t="shared" si="70"/>
        <v>2</v>
      </c>
      <c r="AI241" s="203"/>
      <c r="AJ241" s="203"/>
      <c r="AK241" s="203"/>
      <c r="AL241" s="203"/>
      <c r="AM241" s="203"/>
      <c r="AN241" s="203"/>
      <c r="AO241" s="203" t="s">
        <v>959</v>
      </c>
      <c r="AP241" s="203" t="s">
        <v>3501</v>
      </c>
      <c r="AQ241" s="203"/>
      <c r="AR241" s="203"/>
      <c r="AS241" s="203"/>
      <c r="AT241" s="422" t="s">
        <v>298</v>
      </c>
      <c r="AU241" s="202" t="s">
        <v>3502</v>
      </c>
      <c r="AV241" s="203"/>
      <c r="AW241" s="204">
        <v>43896</v>
      </c>
      <c r="AX241" s="316" t="s">
        <v>3239</v>
      </c>
      <c r="AY241" s="204" t="s">
        <v>150</v>
      </c>
      <c r="AZ241" s="204">
        <v>44708</v>
      </c>
      <c r="BA241" s="204">
        <v>44811</v>
      </c>
      <c r="BB241" s="204"/>
      <c r="BC241" s="204"/>
      <c r="BD241" s="204"/>
      <c r="BE241" s="205" t="s">
        <v>3498</v>
      </c>
      <c r="BF241" s="204">
        <v>45061</v>
      </c>
      <c r="BG241" s="204" t="s">
        <v>163</v>
      </c>
      <c r="BH241" s="204">
        <v>45476</v>
      </c>
      <c r="BI241" s="204" t="s">
        <v>150</v>
      </c>
      <c r="BJ241" s="203">
        <v>45747</v>
      </c>
      <c r="BK241" s="203"/>
      <c r="BL241" s="203"/>
      <c r="BM241" s="206">
        <v>45950</v>
      </c>
      <c r="BN241" s="202" t="s">
        <v>16</v>
      </c>
      <c r="BO241" s="270">
        <f>DATEDIF(AW241,BM241, "M")+1</f>
        <v>68</v>
      </c>
      <c r="BP241" s="202" t="e">
        <f>DATEDIF(AX241,BM241, "M")+1</f>
        <v>#VALUE!</v>
      </c>
      <c r="BQ241" s="202"/>
      <c r="BR241" s="202">
        <v>2</v>
      </c>
      <c r="BS241" s="202"/>
      <c r="BT241" s="202"/>
      <c r="BU241" s="202"/>
      <c r="BV241" s="202"/>
      <c r="BW241" s="202"/>
      <c r="BX241" s="202"/>
      <c r="BY241" s="202" t="s">
        <v>163</v>
      </c>
      <c r="BZ241" s="202"/>
      <c r="CA241" s="202"/>
      <c r="CB241" s="207"/>
      <c r="CC241" s="207"/>
      <c r="CD241" s="202"/>
      <c r="CE241" s="202"/>
      <c r="CF241" s="202"/>
      <c r="CG241" s="202"/>
      <c r="CH241" s="378">
        <v>0</v>
      </c>
      <c r="CI241" s="202"/>
      <c r="CJ241" s="202"/>
      <c r="CK241" s="202" t="s">
        <v>809</v>
      </c>
      <c r="CL241"/>
    </row>
    <row r="242" spans="1:90" s="53" customFormat="1" ht="26.1" customHeight="1">
      <c r="A242" s="202">
        <v>245</v>
      </c>
      <c r="B242" s="202" t="s">
        <v>3503</v>
      </c>
      <c r="C242" s="202" t="s">
        <v>825</v>
      </c>
      <c r="D242" s="202"/>
      <c r="E242" s="202" t="s">
        <v>3504</v>
      </c>
      <c r="F242" s="202" t="s">
        <v>25</v>
      </c>
      <c r="G242" s="202">
        <v>10</v>
      </c>
      <c r="H242" s="202" t="s">
        <v>55</v>
      </c>
      <c r="I242" s="202" t="s">
        <v>43</v>
      </c>
      <c r="J242" s="202" t="s">
        <v>2319</v>
      </c>
      <c r="K242" s="202" t="s">
        <v>3505</v>
      </c>
      <c r="L242" s="202" t="s">
        <v>45</v>
      </c>
      <c r="M242" s="202" t="s">
        <v>163</v>
      </c>
      <c r="N242" s="202"/>
      <c r="O242" s="202" t="s">
        <v>322</v>
      </c>
      <c r="P242" s="202" t="s">
        <v>322</v>
      </c>
      <c r="Q242" s="202"/>
      <c r="R242" s="392" t="s">
        <v>3506</v>
      </c>
      <c r="S242" s="392" t="s">
        <v>3507</v>
      </c>
      <c r="T242" s="354" t="s">
        <v>3508</v>
      </c>
      <c r="U242" s="203" t="s">
        <v>3509</v>
      </c>
      <c r="V242" s="203">
        <v>33695</v>
      </c>
      <c r="W242" s="269" t="s">
        <v>3510</v>
      </c>
      <c r="X242" s="269" t="s">
        <v>179</v>
      </c>
      <c r="Y242" s="269"/>
      <c r="Z242" s="269"/>
      <c r="AA242" s="202"/>
      <c r="AB242" s="203">
        <v>43983</v>
      </c>
      <c r="AC242" s="289">
        <v>43891</v>
      </c>
      <c r="AD242" s="203"/>
      <c r="AE242" s="203" t="s">
        <v>3511</v>
      </c>
      <c r="AF242" s="203" t="s">
        <v>3512</v>
      </c>
      <c r="AG242" s="203" t="s">
        <v>3513</v>
      </c>
      <c r="AH242" s="202">
        <f t="shared" si="70"/>
        <v>3</v>
      </c>
      <c r="AI242" s="203"/>
      <c r="AJ242" s="203"/>
      <c r="AK242" s="203"/>
      <c r="AL242" s="203"/>
      <c r="AM242" s="203"/>
      <c r="AN242" s="203"/>
      <c r="AO242" s="203" t="s">
        <v>164</v>
      </c>
      <c r="AP242" s="203" t="s">
        <v>181</v>
      </c>
      <c r="AQ242" s="203" t="s">
        <v>181</v>
      </c>
      <c r="AR242" s="203" t="s">
        <v>163</v>
      </c>
      <c r="AS242" s="203"/>
      <c r="AT242" s="422" t="s">
        <v>219</v>
      </c>
      <c r="AU242" s="202" t="s">
        <v>3514</v>
      </c>
      <c r="AV242" s="203"/>
      <c r="AW242" s="204">
        <v>43900</v>
      </c>
      <c r="AX242" s="316" t="s">
        <v>3239</v>
      </c>
      <c r="AY242" s="204" t="s">
        <v>150</v>
      </c>
      <c r="AZ242" s="204">
        <v>44579</v>
      </c>
      <c r="BA242" s="204">
        <v>44617</v>
      </c>
      <c r="BB242" s="204"/>
      <c r="BC242" s="204"/>
      <c r="BD242" s="204"/>
      <c r="BE242" s="205" t="s">
        <v>3510</v>
      </c>
      <c r="BF242" s="204">
        <v>44872</v>
      </c>
      <c r="BG242" s="204" t="s">
        <v>150</v>
      </c>
      <c r="BH242" s="204">
        <v>45476</v>
      </c>
      <c r="BI242" s="204" t="s">
        <v>150</v>
      </c>
      <c r="BJ242" s="203"/>
      <c r="BK242" s="203"/>
      <c r="BL242" s="203"/>
      <c r="BM242" s="206">
        <v>45648</v>
      </c>
      <c r="BN242" s="202" t="s">
        <v>16</v>
      </c>
      <c r="BO242" s="270">
        <f>DATEDIF(AW242,BM242,"M")+1</f>
        <v>58</v>
      </c>
      <c r="BP242" s="202"/>
      <c r="BQ242" s="202" t="s">
        <v>3515</v>
      </c>
      <c r="BR242" s="202">
        <v>0</v>
      </c>
      <c r="BS242" s="202">
        <v>3</v>
      </c>
      <c r="BT242" s="202"/>
      <c r="BU242" s="202"/>
      <c r="BV242" s="202"/>
      <c r="BW242" s="202"/>
      <c r="BX242" s="202"/>
      <c r="BY242" s="202" t="s">
        <v>163</v>
      </c>
      <c r="BZ242" s="202"/>
      <c r="CA242" s="202"/>
      <c r="CB242" s="207"/>
      <c r="CC242" s="207"/>
      <c r="CD242" s="202"/>
      <c r="CE242" s="202"/>
      <c r="CF242" s="202"/>
      <c r="CG242" s="202"/>
      <c r="CH242" s="378">
        <v>0</v>
      </c>
      <c r="CI242" s="202"/>
      <c r="CJ242" s="202"/>
      <c r="CK242" s="202" t="s">
        <v>809</v>
      </c>
      <c r="CL242"/>
    </row>
    <row r="243" spans="1:90" s="53" customFormat="1" ht="26.1" customHeight="1">
      <c r="A243" s="202">
        <v>246</v>
      </c>
      <c r="B243" s="202" t="s">
        <v>3516</v>
      </c>
      <c r="C243" s="202" t="s">
        <v>3376</v>
      </c>
      <c r="D243" s="202" t="s">
        <v>3517</v>
      </c>
      <c r="E243" s="202" t="s">
        <v>3518</v>
      </c>
      <c r="F243" s="202" t="s">
        <v>25</v>
      </c>
      <c r="G243" s="202">
        <v>10</v>
      </c>
      <c r="H243" s="202" t="s">
        <v>52</v>
      </c>
      <c r="I243" s="202" t="s">
        <v>42</v>
      </c>
      <c r="J243" s="202" t="s">
        <v>2953</v>
      </c>
      <c r="K243" s="202" t="s">
        <v>3519</v>
      </c>
      <c r="L243" s="202" t="s">
        <v>42</v>
      </c>
      <c r="M243" s="202" t="s">
        <v>150</v>
      </c>
      <c r="N243" s="202"/>
      <c r="O243" s="202" t="s">
        <v>151</v>
      </c>
      <c r="P243" s="202" t="s">
        <v>151</v>
      </c>
      <c r="Q243" s="202"/>
      <c r="R243" s="392" t="s">
        <v>3520</v>
      </c>
      <c r="S243" s="392" t="s">
        <v>3521</v>
      </c>
      <c r="T243" s="354" t="s">
        <v>3522</v>
      </c>
      <c r="U243" s="203" t="s">
        <v>3523</v>
      </c>
      <c r="V243" s="203">
        <v>31757</v>
      </c>
      <c r="W243" s="269" t="s">
        <v>3524</v>
      </c>
      <c r="X243" s="269" t="s">
        <v>2379</v>
      </c>
      <c r="Y243" s="269"/>
      <c r="Z243" s="269"/>
      <c r="AA243" s="202"/>
      <c r="AB243" s="203">
        <v>44245</v>
      </c>
      <c r="AC243" s="289">
        <v>43891</v>
      </c>
      <c r="AD243" s="203"/>
      <c r="AE243" s="203" t="s">
        <v>3525</v>
      </c>
      <c r="AF243" s="203" t="s">
        <v>3526</v>
      </c>
      <c r="AG243" s="203" t="s">
        <v>3527</v>
      </c>
      <c r="AH243" s="202">
        <f t="shared" si="70"/>
        <v>3</v>
      </c>
      <c r="AI243" s="203"/>
      <c r="AJ243" s="203"/>
      <c r="AK243" s="203"/>
      <c r="AL243" s="203"/>
      <c r="AM243" s="203"/>
      <c r="AN243" s="203"/>
      <c r="AO243" s="203" t="s">
        <v>164</v>
      </c>
      <c r="AP243" s="203" t="s">
        <v>3528</v>
      </c>
      <c r="AQ243" s="203"/>
      <c r="AR243" s="203"/>
      <c r="AS243" s="203"/>
      <c r="AT243" s="422" t="s">
        <v>420</v>
      </c>
      <c r="AU243" s="202" t="s">
        <v>3529</v>
      </c>
      <c r="AV243" s="203"/>
      <c r="AW243" s="204">
        <v>43902</v>
      </c>
      <c r="AX243" s="316" t="s">
        <v>3239</v>
      </c>
      <c r="AY243" s="204" t="s">
        <v>150</v>
      </c>
      <c r="AZ243" s="204">
        <v>44214</v>
      </c>
      <c r="BA243" s="204">
        <v>44613</v>
      </c>
      <c r="BB243" s="204"/>
      <c r="BC243" s="204"/>
      <c r="BD243" s="204"/>
      <c r="BE243" s="205" t="s">
        <v>3524</v>
      </c>
      <c r="BF243" s="204">
        <v>44872</v>
      </c>
      <c r="BG243" s="204" t="s">
        <v>150</v>
      </c>
      <c r="BH243" s="204">
        <v>45476</v>
      </c>
      <c r="BI243" s="204" t="s">
        <v>150</v>
      </c>
      <c r="BJ243" s="203">
        <v>45348</v>
      </c>
      <c r="BK243" s="203"/>
      <c r="BL243" s="203"/>
      <c r="BM243" s="206">
        <v>45610</v>
      </c>
      <c r="BN243" s="202" t="s">
        <v>16</v>
      </c>
      <c r="BO243" s="270">
        <f>DATEDIF(AW243,BM243,"M")+1</f>
        <v>57</v>
      </c>
      <c r="BP243" s="202"/>
      <c r="BQ243" s="202"/>
      <c r="BR243" s="202">
        <v>2</v>
      </c>
      <c r="BS243" s="202">
        <v>1</v>
      </c>
      <c r="BT243" s="202"/>
      <c r="BU243" s="202"/>
      <c r="BV243" s="202"/>
      <c r="BW243" s="202"/>
      <c r="BX243" s="202"/>
      <c r="BY243" s="202" t="s">
        <v>163</v>
      </c>
      <c r="BZ243" s="202"/>
      <c r="CA243" s="202"/>
      <c r="CB243" s="207"/>
      <c r="CC243" s="207"/>
      <c r="CD243" s="202"/>
      <c r="CE243" s="202"/>
      <c r="CF243" s="202"/>
      <c r="CG243" s="202"/>
      <c r="CH243" s="378">
        <v>2</v>
      </c>
      <c r="CI243" s="202"/>
      <c r="CJ243" s="202"/>
      <c r="CK243" s="202" t="s">
        <v>809</v>
      </c>
      <c r="CL243"/>
    </row>
    <row r="244" spans="1:90" s="53" customFormat="1" ht="26.1" customHeight="1">
      <c r="A244" s="202">
        <v>247</v>
      </c>
      <c r="B244" s="202" t="s">
        <v>3530</v>
      </c>
      <c r="C244" s="202" t="s">
        <v>3531</v>
      </c>
      <c r="D244" s="202" t="s">
        <v>20</v>
      </c>
      <c r="E244" s="202" t="s">
        <v>3532</v>
      </c>
      <c r="F244" s="202" t="s">
        <v>25</v>
      </c>
      <c r="G244" s="202">
        <v>10</v>
      </c>
      <c r="H244" s="202" t="s">
        <v>58</v>
      </c>
      <c r="I244" s="202" t="s">
        <v>45</v>
      </c>
      <c r="J244" s="202" t="s">
        <v>3451</v>
      </c>
      <c r="K244" s="202" t="s">
        <v>3533</v>
      </c>
      <c r="L244" s="202" t="s">
        <v>45</v>
      </c>
      <c r="M244" s="202" t="s">
        <v>150</v>
      </c>
      <c r="N244" s="202">
        <v>1897532</v>
      </c>
      <c r="O244" s="202" t="s">
        <v>322</v>
      </c>
      <c r="P244" s="202" t="s">
        <v>322</v>
      </c>
      <c r="Q244" s="202"/>
      <c r="R244" s="202" t="s">
        <v>3534</v>
      </c>
      <c r="S244" s="202" t="s">
        <v>3535</v>
      </c>
      <c r="T244" s="354" t="s">
        <v>3536</v>
      </c>
      <c r="U244" s="203" t="s">
        <v>3537</v>
      </c>
      <c r="V244" s="203">
        <v>33727</v>
      </c>
      <c r="W244" s="202" t="s">
        <v>3538</v>
      </c>
      <c r="X244" s="269" t="s">
        <v>179</v>
      </c>
      <c r="Y244" s="269"/>
      <c r="Z244" s="269"/>
      <c r="AA244" s="202"/>
      <c r="AB244" s="203">
        <v>43660</v>
      </c>
      <c r="AC244" s="289">
        <v>43891</v>
      </c>
      <c r="AD244" s="203"/>
      <c r="AE244" s="203" t="s">
        <v>3539</v>
      </c>
      <c r="AF244" s="203" t="s">
        <v>3540</v>
      </c>
      <c r="AG244" s="203"/>
      <c r="AH244" s="202">
        <f t="shared" si="70"/>
        <v>2</v>
      </c>
      <c r="AI244" s="203"/>
      <c r="AJ244" s="203"/>
      <c r="AK244" s="203"/>
      <c r="AL244" s="203"/>
      <c r="AM244" s="203"/>
      <c r="AN244" s="203"/>
      <c r="AO244" s="203" t="s">
        <v>164</v>
      </c>
      <c r="AP244" s="203" t="s">
        <v>203</v>
      </c>
      <c r="AQ244" s="203" t="s">
        <v>250</v>
      </c>
      <c r="AR244" s="203" t="s">
        <v>150</v>
      </c>
      <c r="AS244" s="203"/>
      <c r="AT244" s="422" t="s">
        <v>372</v>
      </c>
      <c r="AU244" s="202" t="s">
        <v>3541</v>
      </c>
      <c r="AV244" s="203"/>
      <c r="AW244" s="204">
        <v>43904</v>
      </c>
      <c r="AX244" s="316" t="s">
        <v>3239</v>
      </c>
      <c r="AY244" s="204" t="s">
        <v>150</v>
      </c>
      <c r="AZ244" s="204">
        <v>44013</v>
      </c>
      <c r="BA244" s="204">
        <v>44249</v>
      </c>
      <c r="BB244" s="204"/>
      <c r="BC244" s="204"/>
      <c r="BD244" s="204"/>
      <c r="BE244" s="205" t="s">
        <v>3538</v>
      </c>
      <c r="BF244" s="204">
        <v>44872</v>
      </c>
      <c r="BG244" s="204" t="s">
        <v>150</v>
      </c>
      <c r="BH244" s="204">
        <v>45476</v>
      </c>
      <c r="BI244" s="204" t="s">
        <v>150</v>
      </c>
      <c r="BJ244" s="203"/>
      <c r="BK244" s="203"/>
      <c r="BL244" s="203"/>
      <c r="BM244" s="206">
        <v>45596</v>
      </c>
      <c r="BN244" s="202" t="s">
        <v>16</v>
      </c>
      <c r="BO244" s="270">
        <f>DATEDIF(AW244,BM244,"M")+1</f>
        <v>56</v>
      </c>
      <c r="BP244" s="202" t="e">
        <f>DATEDIF(AX244,BM244, "M")+1</f>
        <v>#VALUE!</v>
      </c>
      <c r="BQ244" s="202" t="s">
        <v>3542</v>
      </c>
      <c r="BR244" s="202">
        <v>1</v>
      </c>
      <c r="BS244" s="202">
        <v>0</v>
      </c>
      <c r="BT244" s="202"/>
      <c r="BU244" s="202"/>
      <c r="BV244" s="202"/>
      <c r="BW244" s="202"/>
      <c r="BX244" s="202"/>
      <c r="BY244" s="202" t="s">
        <v>163</v>
      </c>
      <c r="BZ244" s="202"/>
      <c r="CA244" s="202"/>
      <c r="CB244" s="207"/>
      <c r="CC244" s="207"/>
      <c r="CD244" s="202"/>
      <c r="CE244" s="202"/>
      <c r="CF244" s="202"/>
      <c r="CG244" s="202"/>
      <c r="CH244" s="378">
        <v>0</v>
      </c>
      <c r="CI244" s="202"/>
      <c r="CJ244" s="202"/>
      <c r="CK244" s="202" t="s">
        <v>3401</v>
      </c>
      <c r="CL244"/>
    </row>
    <row r="245" spans="1:90" s="53" customFormat="1" ht="26.1" customHeight="1">
      <c r="A245" s="202">
        <v>248</v>
      </c>
      <c r="B245" s="202" t="s">
        <v>3543</v>
      </c>
      <c r="C245" s="202" t="s">
        <v>3544</v>
      </c>
      <c r="D245" s="202" t="s">
        <v>3545</v>
      </c>
      <c r="E245" s="202" t="s">
        <v>3546</v>
      </c>
      <c r="F245" s="202" t="s">
        <v>25</v>
      </c>
      <c r="G245" s="202">
        <v>10</v>
      </c>
      <c r="H245" s="202" t="s">
        <v>54</v>
      </c>
      <c r="I245" s="202" t="s">
        <v>39</v>
      </c>
      <c r="J245" s="202" t="s">
        <v>406</v>
      </c>
      <c r="K245" s="202" t="s">
        <v>290</v>
      </c>
      <c r="L245" s="202" t="s">
        <v>31</v>
      </c>
      <c r="M245" s="202" t="s">
        <v>163</v>
      </c>
      <c r="N245" s="202"/>
      <c r="O245" s="202" t="s">
        <v>151</v>
      </c>
      <c r="P245" s="202" t="s">
        <v>151</v>
      </c>
      <c r="Q245" s="202"/>
      <c r="R245" s="392" t="s">
        <v>3547</v>
      </c>
      <c r="S245" s="392" t="s">
        <v>3548</v>
      </c>
      <c r="T245" s="354" t="s">
        <v>3549</v>
      </c>
      <c r="U245" s="203" t="s">
        <v>3550</v>
      </c>
      <c r="V245" s="203">
        <v>31740</v>
      </c>
      <c r="W245" s="269" t="s">
        <v>3551</v>
      </c>
      <c r="X245" s="269" t="s">
        <v>2498</v>
      </c>
      <c r="Y245" s="269"/>
      <c r="Z245" s="269"/>
      <c r="AA245" s="202"/>
      <c r="AB245" s="203">
        <v>44267</v>
      </c>
      <c r="AC245" s="289">
        <v>43891</v>
      </c>
      <c r="AD245" s="203"/>
      <c r="AE245" s="202" t="s">
        <v>3552</v>
      </c>
      <c r="AF245" s="203"/>
      <c r="AG245" s="203"/>
      <c r="AH245" s="202">
        <f t="shared" si="70"/>
        <v>1</v>
      </c>
      <c r="AI245" s="203"/>
      <c r="AJ245" s="203"/>
      <c r="AK245" s="203"/>
      <c r="AL245" s="203"/>
      <c r="AM245" s="203"/>
      <c r="AN245" s="203"/>
      <c r="AO245" s="203" t="s">
        <v>164</v>
      </c>
      <c r="AP245" s="203" t="s">
        <v>445</v>
      </c>
      <c r="AQ245" s="203" t="s">
        <v>445</v>
      </c>
      <c r="AR245" s="203"/>
      <c r="AS245" s="203"/>
      <c r="AT245" s="422" t="s">
        <v>285</v>
      </c>
      <c r="AU245" s="202" t="s">
        <v>3553</v>
      </c>
      <c r="AV245" s="203"/>
      <c r="AW245" s="204">
        <v>43908</v>
      </c>
      <c r="AX245" s="316" t="s">
        <v>3239</v>
      </c>
      <c r="AY245" s="204" t="s">
        <v>150</v>
      </c>
      <c r="AZ245" s="204">
        <v>44874</v>
      </c>
      <c r="BA245" s="204">
        <v>44811</v>
      </c>
      <c r="BB245" s="204"/>
      <c r="BC245" s="204"/>
      <c r="BD245" s="204"/>
      <c r="BE245" s="205" t="s">
        <v>3551</v>
      </c>
      <c r="BF245" s="204">
        <v>45061</v>
      </c>
      <c r="BG245" s="204" t="s">
        <v>163</v>
      </c>
      <c r="BH245" s="204">
        <v>45476</v>
      </c>
      <c r="BI245" s="204" t="s">
        <v>150</v>
      </c>
      <c r="BJ245" s="203"/>
      <c r="BK245" s="203"/>
      <c r="BL245" s="203"/>
      <c r="BM245" s="206">
        <v>45889</v>
      </c>
      <c r="BN245" s="202" t="s">
        <v>16</v>
      </c>
      <c r="BO245" s="270">
        <f>DATEDIF(AW245,BM245,"M")+1</f>
        <v>66</v>
      </c>
      <c r="BP245" s="202"/>
      <c r="BQ245" s="202"/>
      <c r="BR245" s="202">
        <v>2</v>
      </c>
      <c r="BS245" s="202">
        <v>1</v>
      </c>
      <c r="BT245" s="202"/>
      <c r="BU245" s="202"/>
      <c r="BV245" s="202"/>
      <c r="BW245" s="202"/>
      <c r="BX245" s="202"/>
      <c r="BY245" s="202" t="s">
        <v>163</v>
      </c>
      <c r="BZ245" s="202"/>
      <c r="CA245" s="202"/>
      <c r="CB245" s="207"/>
      <c r="CC245" s="207"/>
      <c r="CD245" s="202"/>
      <c r="CE245" s="202"/>
      <c r="CF245" s="202"/>
      <c r="CG245" s="202"/>
      <c r="CH245" s="378">
        <v>1</v>
      </c>
      <c r="CI245" s="202"/>
      <c r="CJ245" s="202"/>
      <c r="CK245" s="202" t="s">
        <v>809</v>
      </c>
      <c r="CL245"/>
    </row>
    <row r="246" spans="1:90" s="53" customFormat="1" ht="29.1" customHeight="1">
      <c r="A246" s="202">
        <v>249</v>
      </c>
      <c r="B246" s="208" t="s">
        <v>3554</v>
      </c>
      <c r="C246" s="208" t="s">
        <v>3555</v>
      </c>
      <c r="D246" s="208" t="s">
        <v>3556</v>
      </c>
      <c r="E246" s="208" t="s">
        <v>933</v>
      </c>
      <c r="F246" s="208" t="s">
        <v>25</v>
      </c>
      <c r="G246" s="208">
        <v>10</v>
      </c>
      <c r="H246" s="208" t="s">
        <v>54</v>
      </c>
      <c r="I246" s="208" t="s">
        <v>39</v>
      </c>
      <c r="J246" s="208" t="s">
        <v>3557</v>
      </c>
      <c r="K246" s="208" t="s">
        <v>290</v>
      </c>
      <c r="L246" s="202" t="s">
        <v>45</v>
      </c>
      <c r="M246" s="208" t="s">
        <v>163</v>
      </c>
      <c r="N246" s="208"/>
      <c r="O246" s="208" t="s">
        <v>151</v>
      </c>
      <c r="P246" s="208" t="s">
        <v>151</v>
      </c>
      <c r="Q246" s="208"/>
      <c r="R246" s="486" t="s">
        <v>3558</v>
      </c>
      <c r="S246" s="486" t="s">
        <v>3559</v>
      </c>
      <c r="T246" s="355" t="s">
        <v>3560</v>
      </c>
      <c r="U246" s="320" t="s">
        <v>789</v>
      </c>
      <c r="V246" s="320">
        <v>30185</v>
      </c>
      <c r="W246" s="321" t="s">
        <v>3561</v>
      </c>
      <c r="X246" s="321" t="s">
        <v>179</v>
      </c>
      <c r="Y246" s="321"/>
      <c r="Z246" s="321"/>
      <c r="AA246" s="208"/>
      <c r="AB246" s="320">
        <v>44622</v>
      </c>
      <c r="AC246" s="322">
        <v>43891</v>
      </c>
      <c r="AD246" s="320"/>
      <c r="AE246" s="320" t="s">
        <v>3562</v>
      </c>
      <c r="AF246" s="320" t="s">
        <v>3563</v>
      </c>
      <c r="AG246" s="320"/>
      <c r="AH246" s="208">
        <f t="shared" si="70"/>
        <v>2</v>
      </c>
      <c r="AI246" s="320"/>
      <c r="AJ246" s="320"/>
      <c r="AK246" s="320"/>
      <c r="AL246" s="320"/>
      <c r="AM246" s="320"/>
      <c r="AN246" s="320"/>
      <c r="AO246" s="320" t="s">
        <v>164</v>
      </c>
      <c r="AP246" s="320" t="s">
        <v>1440</v>
      </c>
      <c r="AQ246" s="320" t="s">
        <v>250</v>
      </c>
      <c r="AR246" s="320" t="s">
        <v>150</v>
      </c>
      <c r="AS246" s="320"/>
      <c r="AT246" s="423" t="s">
        <v>285</v>
      </c>
      <c r="AU246" s="208" t="s">
        <v>3564</v>
      </c>
      <c r="AV246" s="320"/>
      <c r="AW246" s="323">
        <v>43915</v>
      </c>
      <c r="AX246" s="324" t="s">
        <v>3239</v>
      </c>
      <c r="AY246" s="323" t="s">
        <v>150</v>
      </c>
      <c r="AZ246" s="323">
        <v>44797</v>
      </c>
      <c r="BA246" s="323">
        <v>44839</v>
      </c>
      <c r="BB246" s="323"/>
      <c r="BC246" s="323"/>
      <c r="BD246" s="323"/>
      <c r="BE246" s="325" t="s">
        <v>3561</v>
      </c>
      <c r="BF246" s="323">
        <v>44872</v>
      </c>
      <c r="BG246" s="323" t="s">
        <v>150</v>
      </c>
      <c r="BH246" s="323">
        <v>45476</v>
      </c>
      <c r="BI246" s="323" t="s">
        <v>150</v>
      </c>
      <c r="BJ246" s="320"/>
      <c r="BK246" s="320"/>
      <c r="BL246" s="320"/>
      <c r="BM246" s="326"/>
      <c r="BN246" s="208" t="s">
        <v>17</v>
      </c>
      <c r="BO246" s="327"/>
      <c r="BP246" s="208"/>
      <c r="BQ246" s="208"/>
      <c r="BR246" s="208">
        <v>12</v>
      </c>
      <c r="BS246" s="208">
        <v>11</v>
      </c>
      <c r="BT246" s="208"/>
      <c r="BU246" s="208"/>
      <c r="BV246" s="208"/>
      <c r="BW246" s="208"/>
      <c r="BX246" s="208"/>
      <c r="BY246" s="208" t="s">
        <v>163</v>
      </c>
      <c r="BZ246" s="208"/>
      <c r="CA246" s="208"/>
      <c r="CB246" s="328"/>
      <c r="CC246" s="328"/>
      <c r="CD246" s="208"/>
      <c r="CE246" s="208"/>
      <c r="CF246" s="208"/>
      <c r="CG246" s="208"/>
      <c r="CH246" s="379">
        <v>2</v>
      </c>
      <c r="CI246" s="202"/>
      <c r="CJ246" s="202"/>
      <c r="CK246" s="202" t="s">
        <v>809</v>
      </c>
      <c r="CL246"/>
    </row>
    <row r="247" spans="1:90" ht="29.25" customHeight="1">
      <c r="A247" s="330">
        <v>250</v>
      </c>
      <c r="B247" s="330" t="s">
        <v>3565</v>
      </c>
      <c r="C247" s="330" t="s">
        <v>3566</v>
      </c>
      <c r="D247" s="330" t="s">
        <v>3555</v>
      </c>
      <c r="E247" s="330" t="s">
        <v>3567</v>
      </c>
      <c r="F247" s="330" t="s">
        <v>24</v>
      </c>
      <c r="G247" s="329">
        <v>11</v>
      </c>
      <c r="H247" s="329" t="s">
        <v>54</v>
      </c>
      <c r="I247" s="329" t="s">
        <v>31</v>
      </c>
      <c r="J247" s="329" t="s">
        <v>3568</v>
      </c>
      <c r="K247" s="329" t="s">
        <v>3569</v>
      </c>
      <c r="L247" s="329" t="s">
        <v>31</v>
      </c>
      <c r="M247" s="329" t="s">
        <v>150</v>
      </c>
      <c r="N247" s="331"/>
      <c r="O247" s="331" t="s">
        <v>151</v>
      </c>
      <c r="P247" s="331"/>
      <c r="Q247" s="329"/>
      <c r="R247" s="330" t="s">
        <v>3570</v>
      </c>
      <c r="S247" s="330" t="s">
        <v>3571</v>
      </c>
      <c r="T247" s="356" t="s">
        <v>3572</v>
      </c>
      <c r="U247" s="330" t="s">
        <v>3573</v>
      </c>
      <c r="V247" s="332">
        <v>31207</v>
      </c>
      <c r="W247" s="391" t="s">
        <v>3574</v>
      </c>
      <c r="X247" s="333" t="s">
        <v>3575</v>
      </c>
      <c r="Y247" s="333"/>
      <c r="Z247" s="333"/>
      <c r="AA247" s="329"/>
      <c r="AB247" s="361">
        <v>45670</v>
      </c>
      <c r="AC247" s="361">
        <v>45719</v>
      </c>
      <c r="AD247" s="329"/>
      <c r="AE247" s="329" t="s">
        <v>3576</v>
      </c>
      <c r="AF247" s="329" t="s">
        <v>3577</v>
      </c>
      <c r="AG247" s="329" t="s">
        <v>3578</v>
      </c>
      <c r="AH247" s="334">
        <v>3</v>
      </c>
      <c r="AI247" s="329" t="s">
        <v>161</v>
      </c>
      <c r="AJ247" s="329" t="s">
        <v>161</v>
      </c>
      <c r="AK247" s="329" t="s">
        <v>161</v>
      </c>
      <c r="AL247" s="334"/>
      <c r="AM247" s="334"/>
      <c r="AN247" s="334"/>
      <c r="AO247" s="335"/>
      <c r="AP247" s="332"/>
      <c r="AQ247" s="335"/>
      <c r="AR247" s="334"/>
      <c r="AS247" s="329"/>
      <c r="AT247" s="424"/>
      <c r="AU247" s="329" t="s">
        <v>3579</v>
      </c>
      <c r="AV247" s="329"/>
      <c r="AW247" s="362">
        <v>45719</v>
      </c>
      <c r="AX247" s="329"/>
      <c r="AY247" s="334"/>
      <c r="AZ247" s="329"/>
      <c r="BA247" s="329"/>
      <c r="BB247" s="329"/>
      <c r="BC247" s="439"/>
      <c r="BD247" s="439"/>
      <c r="BE247" s="440" t="s">
        <v>3580</v>
      </c>
      <c r="BF247" s="329"/>
      <c r="BG247" s="329"/>
      <c r="BH247" s="329"/>
      <c r="BI247" s="329"/>
      <c r="BJ247" s="329"/>
      <c r="BK247" s="329"/>
      <c r="BL247" s="329"/>
      <c r="BM247" s="332"/>
      <c r="BN247" s="363" t="s">
        <v>17</v>
      </c>
      <c r="BO247" s="334"/>
      <c r="BP247" s="334"/>
      <c r="BQ247" s="329"/>
      <c r="BR247" s="329">
        <v>7</v>
      </c>
      <c r="BS247" s="329"/>
      <c r="BT247" s="329"/>
      <c r="BU247" s="329"/>
      <c r="BV247" s="329"/>
      <c r="BW247" s="329"/>
      <c r="BX247" s="329"/>
      <c r="BY247" s="329"/>
      <c r="BZ247" s="329"/>
      <c r="CA247" s="329"/>
      <c r="CB247" s="329"/>
      <c r="CC247" s="329"/>
      <c r="CD247" s="329"/>
      <c r="CE247" s="329"/>
      <c r="CF247" s="329"/>
      <c r="CG247" s="329"/>
      <c r="CH247" s="380">
        <v>2</v>
      </c>
      <c r="CI247" s="382"/>
      <c r="CJ247" s="382"/>
      <c r="CK247" s="382" t="s">
        <v>809</v>
      </c>
    </row>
    <row r="248" spans="1:90" ht="24" customHeight="1">
      <c r="A248" s="330">
        <v>251</v>
      </c>
      <c r="B248" s="330" t="s">
        <v>3581</v>
      </c>
      <c r="C248" s="330" t="s">
        <v>3582</v>
      </c>
      <c r="D248" s="330" t="s">
        <v>3583</v>
      </c>
      <c r="E248" s="330" t="s">
        <v>1771</v>
      </c>
      <c r="F248" s="330" t="s">
        <v>24</v>
      </c>
      <c r="G248" s="329">
        <v>11</v>
      </c>
      <c r="H248" s="329" t="s">
        <v>57</v>
      </c>
      <c r="I248" s="329" t="s">
        <v>47</v>
      </c>
      <c r="J248" s="329" t="s">
        <v>3584</v>
      </c>
      <c r="K248" s="329" t="s">
        <v>3585</v>
      </c>
      <c r="L248" s="329"/>
      <c r="M248" s="329"/>
      <c r="N248" s="331"/>
      <c r="O248" s="331" t="s">
        <v>151</v>
      </c>
      <c r="P248" s="331"/>
      <c r="Q248" s="329"/>
      <c r="R248" s="330" t="s">
        <v>3586</v>
      </c>
      <c r="S248" s="330" t="s">
        <v>3587</v>
      </c>
      <c r="T248" s="356" t="s">
        <v>3588</v>
      </c>
      <c r="U248" s="330" t="s">
        <v>3589</v>
      </c>
      <c r="V248" s="332">
        <v>33239</v>
      </c>
      <c r="W248" s="391" t="s">
        <v>3590</v>
      </c>
      <c r="X248" s="333" t="s">
        <v>3575</v>
      </c>
      <c r="Y248" s="333"/>
      <c r="Z248" s="333"/>
      <c r="AA248" s="329"/>
      <c r="AB248" s="361">
        <v>45869</v>
      </c>
      <c r="AC248" s="361">
        <v>45719</v>
      </c>
      <c r="AD248" s="329"/>
      <c r="AE248" s="329" t="s">
        <v>3591</v>
      </c>
      <c r="AF248" s="329" t="s">
        <v>3592</v>
      </c>
      <c r="AG248" s="329" t="s">
        <v>3593</v>
      </c>
      <c r="AH248" s="334">
        <v>3</v>
      </c>
      <c r="AI248" s="329" t="s">
        <v>162</v>
      </c>
      <c r="AJ248" s="329" t="s">
        <v>162</v>
      </c>
      <c r="AK248" s="329" t="s">
        <v>162</v>
      </c>
      <c r="AL248" s="334"/>
      <c r="AM248" s="334"/>
      <c r="AN248" s="334"/>
      <c r="AO248" s="335"/>
      <c r="AP248" s="335"/>
      <c r="AQ248" s="335"/>
      <c r="AR248" s="334"/>
      <c r="AS248" s="329"/>
      <c r="AT248" s="424"/>
      <c r="AU248" s="329" t="s">
        <v>3594</v>
      </c>
      <c r="AV248" s="329"/>
      <c r="AW248" s="362">
        <v>45719</v>
      </c>
      <c r="AX248" s="329"/>
      <c r="AY248" s="334"/>
      <c r="AZ248" s="329"/>
      <c r="BA248" s="329"/>
      <c r="BB248" s="329"/>
      <c r="BC248" s="329"/>
      <c r="BD248" s="329"/>
      <c r="BE248" s="441"/>
      <c r="BF248" s="329"/>
      <c r="BG248" s="329"/>
      <c r="BH248" s="329"/>
      <c r="BI248" s="329"/>
      <c r="BJ248" s="329"/>
      <c r="BK248" s="329"/>
      <c r="BL248" s="329"/>
      <c r="BM248" s="332"/>
      <c r="BN248" s="363" t="s">
        <v>17</v>
      </c>
      <c r="BO248" s="334"/>
      <c r="BP248" s="334"/>
      <c r="BQ248" s="329"/>
      <c r="BR248" s="329">
        <v>0</v>
      </c>
      <c r="BS248" s="329"/>
      <c r="BT248" s="329"/>
      <c r="BU248" s="329"/>
      <c r="BV248" s="329"/>
      <c r="BW248" s="329"/>
      <c r="BX248" s="329"/>
      <c r="BY248" s="329"/>
      <c r="BZ248" s="329"/>
      <c r="CA248" s="329"/>
      <c r="CB248" s="329"/>
      <c r="CC248" s="329"/>
      <c r="CD248" s="329"/>
      <c r="CE248" s="329"/>
      <c r="CF248" s="329"/>
      <c r="CG248" s="329"/>
      <c r="CH248" s="380">
        <v>1</v>
      </c>
      <c r="CI248" s="382"/>
      <c r="CJ248" s="382"/>
      <c r="CK248" s="382" t="s">
        <v>809</v>
      </c>
    </row>
    <row r="249" spans="1:90" ht="26.25" customHeight="1">
      <c r="A249" s="330">
        <v>252</v>
      </c>
      <c r="B249" s="330" t="s">
        <v>3595</v>
      </c>
      <c r="C249" s="330" t="s">
        <v>3596</v>
      </c>
      <c r="D249" s="330"/>
      <c r="E249" s="330" t="s">
        <v>3597</v>
      </c>
      <c r="F249" s="330" t="s">
        <v>24</v>
      </c>
      <c r="G249" s="329">
        <v>11</v>
      </c>
      <c r="H249" s="329" t="s">
        <v>60</v>
      </c>
      <c r="I249" s="329" t="s">
        <v>35</v>
      </c>
      <c r="J249" s="329" t="s">
        <v>602</v>
      </c>
      <c r="K249" s="329" t="s">
        <v>3598</v>
      </c>
      <c r="L249" s="329" t="s">
        <v>35</v>
      </c>
      <c r="M249" s="329" t="s">
        <v>150</v>
      </c>
      <c r="N249" s="331"/>
      <c r="O249" s="331" t="s">
        <v>151</v>
      </c>
      <c r="P249" s="331"/>
      <c r="Q249" s="329"/>
      <c r="R249" s="330" t="s">
        <v>3599</v>
      </c>
      <c r="S249" s="330" t="s">
        <v>3600</v>
      </c>
      <c r="T249" s="356" t="s">
        <v>3601</v>
      </c>
      <c r="U249" s="330" t="s">
        <v>3602</v>
      </c>
      <c r="V249" s="332">
        <v>34108</v>
      </c>
      <c r="W249" s="391" t="s">
        <v>3603</v>
      </c>
      <c r="X249" s="333" t="s">
        <v>3575</v>
      </c>
      <c r="Y249" s="333"/>
      <c r="Z249" s="333"/>
      <c r="AA249" s="329"/>
      <c r="AB249" s="361">
        <v>45524</v>
      </c>
      <c r="AC249" s="361">
        <v>45719</v>
      </c>
      <c r="AD249" s="329"/>
      <c r="AE249" s="329" t="s">
        <v>3604</v>
      </c>
      <c r="AF249" s="329" t="s">
        <v>3605</v>
      </c>
      <c r="AG249" s="329" t="s">
        <v>3606</v>
      </c>
      <c r="AH249" s="334">
        <v>3</v>
      </c>
      <c r="AI249" s="329" t="s">
        <v>161</v>
      </c>
      <c r="AJ249" s="329" t="s">
        <v>161</v>
      </c>
      <c r="AK249" s="329" t="s">
        <v>161</v>
      </c>
      <c r="AL249" s="334"/>
      <c r="AM249" s="334"/>
      <c r="AN249" s="334"/>
      <c r="AO249" s="335"/>
      <c r="AP249" s="335"/>
      <c r="AQ249" s="335"/>
      <c r="AR249" s="334"/>
      <c r="AS249" s="329"/>
      <c r="AT249" s="424"/>
      <c r="AU249" s="329" t="s">
        <v>3607</v>
      </c>
      <c r="AV249" s="329"/>
      <c r="AW249" s="362">
        <v>45719</v>
      </c>
      <c r="AX249" s="329"/>
      <c r="AY249" s="334"/>
      <c r="AZ249" s="329"/>
      <c r="BA249" s="329"/>
      <c r="BB249" s="329"/>
      <c r="BC249" s="439"/>
      <c r="BD249" s="439"/>
      <c r="BE249" s="440" t="s">
        <v>3608</v>
      </c>
      <c r="BF249" s="329"/>
      <c r="BG249" s="329"/>
      <c r="BH249" s="329"/>
      <c r="BI249" s="329"/>
      <c r="BJ249" s="329"/>
      <c r="BK249" s="329"/>
      <c r="BL249" s="329"/>
      <c r="BM249" s="332"/>
      <c r="BN249" s="363" t="s">
        <v>17</v>
      </c>
      <c r="BO249" s="334"/>
      <c r="BP249" s="336" t="e">
        <f>MEDIAN(BP2:BP235)</f>
        <v>#VALUE!</v>
      </c>
      <c r="BQ249" s="329"/>
      <c r="BR249" s="329">
        <v>8</v>
      </c>
      <c r="BS249" s="329"/>
      <c r="BT249" s="329"/>
      <c r="BU249" s="329"/>
      <c r="BV249" s="329"/>
      <c r="BW249" s="329"/>
      <c r="BX249" s="329"/>
      <c r="BY249" s="329"/>
      <c r="BZ249" s="329"/>
      <c r="CA249" s="329"/>
      <c r="CB249" s="329"/>
      <c r="CC249" s="329"/>
      <c r="CD249" s="329"/>
      <c r="CE249" s="329"/>
      <c r="CF249" s="329"/>
      <c r="CG249" s="329"/>
      <c r="CH249" s="380">
        <v>2</v>
      </c>
      <c r="CI249" s="382"/>
      <c r="CJ249" s="382"/>
      <c r="CK249" s="382" t="s">
        <v>809</v>
      </c>
    </row>
    <row r="250" spans="1:90" ht="23.25" customHeight="1">
      <c r="A250" s="330">
        <v>253</v>
      </c>
      <c r="B250" s="330" t="s">
        <v>3609</v>
      </c>
      <c r="C250" s="330" t="s">
        <v>2996</v>
      </c>
      <c r="D250" s="330" t="s">
        <v>3610</v>
      </c>
      <c r="E250" s="330" t="s">
        <v>3611</v>
      </c>
      <c r="F250" s="330" t="s">
        <v>25</v>
      </c>
      <c r="G250" s="329">
        <v>11</v>
      </c>
      <c r="H250" s="329" t="s">
        <v>61</v>
      </c>
      <c r="I250" s="329" t="s">
        <v>36</v>
      </c>
      <c r="J250" s="329" t="s">
        <v>3612</v>
      </c>
      <c r="K250" s="329" t="s">
        <v>3613</v>
      </c>
      <c r="L250" s="329" t="s">
        <v>45</v>
      </c>
      <c r="M250" s="329" t="s">
        <v>163</v>
      </c>
      <c r="N250" s="331"/>
      <c r="O250" s="331" t="s">
        <v>322</v>
      </c>
      <c r="P250" s="331"/>
      <c r="Q250" s="329"/>
      <c r="R250" s="330" t="s">
        <v>3614</v>
      </c>
      <c r="S250" s="330" t="s">
        <v>3615</v>
      </c>
      <c r="T250" s="356" t="s">
        <v>3616</v>
      </c>
      <c r="U250" s="330" t="s">
        <v>3617</v>
      </c>
      <c r="V250" s="332">
        <v>34467</v>
      </c>
      <c r="W250" s="391" t="s">
        <v>3618</v>
      </c>
      <c r="X250" s="333" t="s">
        <v>3575</v>
      </c>
      <c r="Y250" s="331"/>
      <c r="Z250" s="331"/>
      <c r="AA250" s="329"/>
      <c r="AB250" s="361">
        <v>45323</v>
      </c>
      <c r="AC250" s="361">
        <v>45719</v>
      </c>
      <c r="AD250" s="329"/>
      <c r="AE250" s="329" t="s">
        <v>3619</v>
      </c>
      <c r="AF250" s="329" t="s">
        <v>3620</v>
      </c>
      <c r="AG250" s="329" t="s">
        <v>3621</v>
      </c>
      <c r="AH250" s="334">
        <v>3</v>
      </c>
      <c r="AI250" s="329" t="s">
        <v>162</v>
      </c>
      <c r="AJ250" s="329" t="s">
        <v>161</v>
      </c>
      <c r="AK250" s="329" t="s">
        <v>162</v>
      </c>
      <c r="AL250" s="334"/>
      <c r="AM250" s="334"/>
      <c r="AN250" s="334"/>
      <c r="AO250" s="335"/>
      <c r="AP250" s="335"/>
      <c r="AQ250" s="335"/>
      <c r="AR250" s="334"/>
      <c r="AS250" s="329"/>
      <c r="AT250" s="424"/>
      <c r="AU250" s="329" t="s">
        <v>3622</v>
      </c>
      <c r="AV250" s="329"/>
      <c r="AW250" s="362">
        <v>45719</v>
      </c>
      <c r="AX250" s="329"/>
      <c r="AY250" s="334"/>
      <c r="AZ250" s="329"/>
      <c r="BA250" s="329"/>
      <c r="BB250" s="329"/>
      <c r="BC250" s="329"/>
      <c r="BD250" s="329"/>
      <c r="BE250" s="441"/>
      <c r="BF250" s="329"/>
      <c r="BG250" s="329"/>
      <c r="BH250" s="329"/>
      <c r="BI250" s="329"/>
      <c r="BJ250" s="329"/>
      <c r="BK250" s="329"/>
      <c r="BL250" s="329"/>
      <c r="BM250" s="332"/>
      <c r="BN250" s="363" t="s">
        <v>17</v>
      </c>
      <c r="BO250" s="334"/>
      <c r="BP250" s="334"/>
      <c r="BQ250" s="329"/>
      <c r="BR250" s="329">
        <v>2</v>
      </c>
      <c r="BS250" s="329"/>
      <c r="BT250" s="329"/>
      <c r="BU250" s="329"/>
      <c r="BV250" s="329"/>
      <c r="BW250" s="329"/>
      <c r="BX250" s="329"/>
      <c r="BY250" s="329"/>
      <c r="BZ250" s="329"/>
      <c r="CA250" s="329"/>
      <c r="CB250" s="329"/>
      <c r="CC250" s="329"/>
      <c r="CD250" s="329"/>
      <c r="CE250" s="329"/>
      <c r="CF250" s="329"/>
      <c r="CG250" s="329"/>
      <c r="CH250" s="380">
        <v>1</v>
      </c>
      <c r="CI250" s="382"/>
      <c r="CJ250" s="382"/>
      <c r="CK250" s="382" t="s">
        <v>809</v>
      </c>
    </row>
    <row r="251" spans="1:90" ht="20.25" customHeight="1">
      <c r="A251" s="330">
        <v>254</v>
      </c>
      <c r="B251" s="330" t="s">
        <v>3623</v>
      </c>
      <c r="C251" s="330" t="s">
        <v>3624</v>
      </c>
      <c r="D251" s="330" t="s">
        <v>1946</v>
      </c>
      <c r="E251" s="330" t="s">
        <v>1900</v>
      </c>
      <c r="F251" s="330" t="s">
        <v>24</v>
      </c>
      <c r="G251" s="329">
        <v>11</v>
      </c>
      <c r="H251" s="329" t="s">
        <v>54</v>
      </c>
      <c r="I251" s="329" t="s">
        <v>31</v>
      </c>
      <c r="J251" s="329" t="s">
        <v>2319</v>
      </c>
      <c r="K251" s="329" t="s">
        <v>3625</v>
      </c>
      <c r="L251" s="329" t="s">
        <v>31</v>
      </c>
      <c r="M251" s="329" t="s">
        <v>150</v>
      </c>
      <c r="N251" s="331"/>
      <c r="O251" s="331" t="s">
        <v>151</v>
      </c>
      <c r="P251" s="331"/>
      <c r="Q251" s="329"/>
      <c r="R251" s="330" t="s">
        <v>3626</v>
      </c>
      <c r="S251" s="330" t="s">
        <v>3627</v>
      </c>
      <c r="T251" s="356" t="s">
        <v>3628</v>
      </c>
      <c r="U251" s="330" t="s">
        <v>3629</v>
      </c>
      <c r="V251" s="332">
        <v>30376</v>
      </c>
      <c r="W251" s="391" t="s">
        <v>3630</v>
      </c>
      <c r="X251" s="333" t="s">
        <v>2765</v>
      </c>
      <c r="Y251" s="331"/>
      <c r="Z251" s="331"/>
      <c r="AA251" s="329"/>
      <c r="AB251" s="361">
        <v>45616</v>
      </c>
      <c r="AC251" s="361">
        <v>45719</v>
      </c>
      <c r="AD251" s="329"/>
      <c r="AE251" s="329" t="s">
        <v>3631</v>
      </c>
      <c r="AF251" s="329" t="s">
        <v>3632</v>
      </c>
      <c r="AG251" s="329"/>
      <c r="AH251" s="334">
        <v>2</v>
      </c>
      <c r="AI251" s="329" t="s">
        <v>161</v>
      </c>
      <c r="AJ251" s="329" t="s">
        <v>161</v>
      </c>
      <c r="AK251" s="329"/>
      <c r="AL251" s="334"/>
      <c r="AM251" s="334"/>
      <c r="AN251" s="334"/>
      <c r="AO251" s="335"/>
      <c r="AP251" s="335"/>
      <c r="AQ251" s="335"/>
      <c r="AR251" s="334"/>
      <c r="AS251" s="329"/>
      <c r="AT251" s="424"/>
      <c r="AU251" s="329" t="s">
        <v>3633</v>
      </c>
      <c r="AV251" s="329"/>
      <c r="AW251" s="362">
        <v>45719</v>
      </c>
      <c r="AX251" s="329"/>
      <c r="AY251" s="334"/>
      <c r="AZ251" s="329"/>
      <c r="BA251" s="329"/>
      <c r="BB251" s="329"/>
      <c r="BC251" s="439"/>
      <c r="BD251" s="439"/>
      <c r="BE251" s="440" t="s">
        <v>3634</v>
      </c>
      <c r="BF251" s="329"/>
      <c r="BG251" s="329"/>
      <c r="BH251" s="329"/>
      <c r="BI251" s="329"/>
      <c r="BJ251" s="329"/>
      <c r="BK251" s="329"/>
      <c r="BL251" s="329"/>
      <c r="BM251" s="332"/>
      <c r="BN251" s="363" t="s">
        <v>17</v>
      </c>
      <c r="BO251" s="334"/>
      <c r="BP251" s="334"/>
      <c r="BQ251" s="329"/>
      <c r="BR251" s="329">
        <v>8</v>
      </c>
      <c r="BS251" s="329"/>
      <c r="BT251" s="329"/>
      <c r="BU251" s="329"/>
      <c r="BV251" s="329"/>
      <c r="BW251" s="329"/>
      <c r="BX251" s="329"/>
      <c r="BY251" s="329"/>
      <c r="BZ251" s="329"/>
      <c r="CA251" s="329"/>
      <c r="CB251" s="329"/>
      <c r="CC251" s="329"/>
      <c r="CD251" s="329"/>
      <c r="CE251" s="329"/>
      <c r="CF251" s="329"/>
      <c r="CG251" s="329"/>
      <c r="CH251" s="380">
        <v>3</v>
      </c>
      <c r="CI251" s="382"/>
      <c r="CJ251" s="382"/>
      <c r="CK251" s="382" t="s">
        <v>809</v>
      </c>
    </row>
    <row r="252" spans="1:90" ht="22.5" customHeight="1">
      <c r="A252" s="330">
        <v>255</v>
      </c>
      <c r="B252" s="330" t="s">
        <v>3635</v>
      </c>
      <c r="C252" s="330" t="s">
        <v>3636</v>
      </c>
      <c r="D252" s="330" t="s">
        <v>3637</v>
      </c>
      <c r="E252" s="330" t="s">
        <v>3638</v>
      </c>
      <c r="F252" s="330" t="s">
        <v>25</v>
      </c>
      <c r="G252" s="329">
        <v>11</v>
      </c>
      <c r="H252" s="329" t="s">
        <v>53</v>
      </c>
      <c r="I252" s="329" t="s">
        <v>46</v>
      </c>
      <c r="J252" s="329" t="s">
        <v>2272</v>
      </c>
      <c r="K252" s="329" t="s">
        <v>3639</v>
      </c>
      <c r="L252" s="337" t="s">
        <v>45</v>
      </c>
      <c r="M252" s="337"/>
      <c r="N252" s="331"/>
      <c r="O252" s="331" t="s">
        <v>322</v>
      </c>
      <c r="P252" s="331"/>
      <c r="Q252" s="329"/>
      <c r="R252" s="330" t="s">
        <v>3640</v>
      </c>
      <c r="S252" s="330" t="s">
        <v>3641</v>
      </c>
      <c r="T252" s="356" t="s">
        <v>3642</v>
      </c>
      <c r="U252" s="330" t="s">
        <v>3643</v>
      </c>
      <c r="V252" s="332">
        <v>33992</v>
      </c>
      <c r="W252" s="391" t="s">
        <v>3644</v>
      </c>
      <c r="X252" s="333" t="s">
        <v>3645</v>
      </c>
      <c r="Y252" s="331"/>
      <c r="Z252" s="331"/>
      <c r="AA252" s="329"/>
      <c r="AB252" s="361">
        <v>45719</v>
      </c>
      <c r="AC252" s="361">
        <v>45719</v>
      </c>
      <c r="AD252" s="329"/>
      <c r="AE252" s="329" t="s">
        <v>3646</v>
      </c>
      <c r="AF252" s="329" t="s">
        <v>3647</v>
      </c>
      <c r="AG252" s="329" t="s">
        <v>3648</v>
      </c>
      <c r="AH252" s="334">
        <v>3</v>
      </c>
      <c r="AI252" s="329" t="s">
        <v>162</v>
      </c>
      <c r="AJ252" s="329" t="s">
        <v>162</v>
      </c>
      <c r="AK252" s="329" t="s">
        <v>202</v>
      </c>
      <c r="AL252" s="334"/>
      <c r="AM252" s="334"/>
      <c r="AN252" s="334"/>
      <c r="AO252" s="335"/>
      <c r="AP252" s="335"/>
      <c r="AQ252" s="335"/>
      <c r="AR252" s="334"/>
      <c r="AS252" s="329"/>
      <c r="AT252" s="424"/>
      <c r="AU252" s="329" t="s">
        <v>3649</v>
      </c>
      <c r="AV252" s="329"/>
      <c r="AW252" s="362">
        <v>45719</v>
      </c>
      <c r="AX252" s="329"/>
      <c r="AY252" s="334"/>
      <c r="AZ252" s="329"/>
      <c r="BA252" s="329"/>
      <c r="BB252" s="329"/>
      <c r="BC252" s="439"/>
      <c r="BD252" s="439"/>
      <c r="BE252" s="440" t="s">
        <v>3650</v>
      </c>
      <c r="BF252" s="329"/>
      <c r="BG252" s="329"/>
      <c r="BH252" s="329"/>
      <c r="BI252" s="329"/>
      <c r="BJ252" s="329"/>
      <c r="BK252" s="329"/>
      <c r="BL252" s="329"/>
      <c r="BM252" s="332"/>
      <c r="BN252" s="363" t="s">
        <v>17</v>
      </c>
      <c r="BO252" s="334"/>
      <c r="BP252" s="334"/>
      <c r="BQ252" s="329"/>
      <c r="BR252" s="329">
        <v>15</v>
      </c>
      <c r="BS252" s="329"/>
      <c r="BT252" s="329"/>
      <c r="BU252" s="329"/>
      <c r="BV252" s="329"/>
      <c r="BW252" s="329"/>
      <c r="BX252" s="329"/>
      <c r="BY252" s="329"/>
      <c r="BZ252" s="329"/>
      <c r="CA252" s="329"/>
      <c r="CB252" s="329"/>
      <c r="CC252" s="329"/>
      <c r="CD252" s="329"/>
      <c r="CE252" s="329"/>
      <c r="CF252" s="329"/>
      <c r="CG252" s="329"/>
      <c r="CH252" s="380">
        <v>0</v>
      </c>
      <c r="CI252" s="382"/>
      <c r="CJ252" s="382"/>
      <c r="CK252" s="382" t="s">
        <v>809</v>
      </c>
    </row>
    <row r="253" spans="1:90" ht="25.5" customHeight="1">
      <c r="A253" s="330">
        <v>256</v>
      </c>
      <c r="B253" s="330" t="s">
        <v>3651</v>
      </c>
      <c r="C253" s="330" t="s">
        <v>2331</v>
      </c>
      <c r="D253" s="330" t="s">
        <v>3652</v>
      </c>
      <c r="E253" s="330" t="s">
        <v>3653</v>
      </c>
      <c r="F253" s="330" t="s">
        <v>24</v>
      </c>
      <c r="G253" s="329">
        <v>11</v>
      </c>
      <c r="H253" s="329" t="s">
        <v>54</v>
      </c>
      <c r="I253" s="329" t="s">
        <v>39</v>
      </c>
      <c r="J253" s="329" t="s">
        <v>3654</v>
      </c>
      <c r="K253" s="329" t="s">
        <v>2788</v>
      </c>
      <c r="L253" s="337"/>
      <c r="M253" s="337"/>
      <c r="N253" s="331"/>
      <c r="O253" s="331" t="s">
        <v>151</v>
      </c>
      <c r="P253" s="331"/>
      <c r="Q253" s="329"/>
      <c r="R253" s="330" t="s">
        <v>3655</v>
      </c>
      <c r="S253" s="330" t="s">
        <v>3656</v>
      </c>
      <c r="T253" s="356" t="s">
        <v>3657</v>
      </c>
      <c r="U253" s="330" t="s">
        <v>3658</v>
      </c>
      <c r="V253" s="332">
        <v>31085</v>
      </c>
      <c r="W253" s="391" t="s">
        <v>3659</v>
      </c>
      <c r="X253" s="333" t="s">
        <v>156</v>
      </c>
      <c r="Y253" s="331"/>
      <c r="Z253" s="331"/>
      <c r="AA253" s="329"/>
      <c r="AB253" s="361">
        <v>45902</v>
      </c>
      <c r="AC253" s="361">
        <v>45719</v>
      </c>
      <c r="AD253" s="329"/>
      <c r="AE253" s="329" t="s">
        <v>3660</v>
      </c>
      <c r="AF253" s="329" t="s">
        <v>3661</v>
      </c>
      <c r="AG253" s="329" t="s">
        <v>3662</v>
      </c>
      <c r="AH253" s="334">
        <v>3</v>
      </c>
      <c r="AI253" s="329" t="s">
        <v>162</v>
      </c>
      <c r="AJ253" s="329" t="s">
        <v>162</v>
      </c>
      <c r="AK253" s="329" t="s">
        <v>161</v>
      </c>
      <c r="AL253" s="334"/>
      <c r="AM253" s="334"/>
      <c r="AN253" s="334"/>
      <c r="AO253" s="335"/>
      <c r="AP253" s="335"/>
      <c r="AQ253" s="335"/>
      <c r="AR253" s="334"/>
      <c r="AS253" s="329"/>
      <c r="AT253" s="424"/>
      <c r="AU253" s="329" t="s">
        <v>3663</v>
      </c>
      <c r="AV253" s="329"/>
      <c r="AW253" s="362">
        <v>45719</v>
      </c>
      <c r="AX253" s="329"/>
      <c r="AY253" s="334"/>
      <c r="AZ253" s="329"/>
      <c r="BA253" s="329"/>
      <c r="BB253" s="329"/>
      <c r="BC253" s="329"/>
      <c r="BD253" s="329"/>
      <c r="BE253" s="441"/>
      <c r="BF253" s="329"/>
      <c r="BG253" s="329"/>
      <c r="BH253" s="329"/>
      <c r="BI253" s="329"/>
      <c r="BJ253" s="329"/>
      <c r="BK253" s="329"/>
      <c r="BL253" s="329"/>
      <c r="BM253" s="332"/>
      <c r="BN253" s="363" t="s">
        <v>17</v>
      </c>
      <c r="BO253" s="334"/>
      <c r="BP253" s="334"/>
      <c r="BQ253" s="329"/>
      <c r="BR253" s="329">
        <v>40</v>
      </c>
      <c r="BS253" s="329"/>
      <c r="BT253" s="329"/>
      <c r="BU253" s="329"/>
      <c r="BV253" s="329"/>
      <c r="BW253" s="329"/>
      <c r="BX253" s="329"/>
      <c r="BY253" s="329"/>
      <c r="BZ253" s="329"/>
      <c r="CA253" s="329"/>
      <c r="CB253" s="329"/>
      <c r="CC253" s="329"/>
      <c r="CD253" s="329"/>
      <c r="CE253" s="329"/>
      <c r="CF253" s="329"/>
      <c r="CG253" s="329"/>
      <c r="CH253" s="380">
        <v>1</v>
      </c>
      <c r="CI253" s="382"/>
      <c r="CJ253" s="382"/>
      <c r="CK253" s="382" t="s">
        <v>809</v>
      </c>
    </row>
    <row r="254" spans="1:90" ht="21" customHeight="1">
      <c r="A254" s="330">
        <v>257</v>
      </c>
      <c r="B254" s="330" t="s">
        <v>3664</v>
      </c>
      <c r="C254" s="330" t="s">
        <v>3665</v>
      </c>
      <c r="D254" s="330" t="s">
        <v>3666</v>
      </c>
      <c r="E254" s="330" t="s">
        <v>3583</v>
      </c>
      <c r="F254" s="330" t="s">
        <v>25</v>
      </c>
      <c r="G254" s="329">
        <v>11</v>
      </c>
      <c r="H254" s="329" t="s">
        <v>57</v>
      </c>
      <c r="I254" s="329" t="s">
        <v>47</v>
      </c>
      <c r="J254" s="329" t="s">
        <v>3294</v>
      </c>
      <c r="K254" s="329" t="s">
        <v>3667</v>
      </c>
      <c r="L254" s="337"/>
      <c r="M254" s="337"/>
      <c r="N254" s="331"/>
      <c r="O254" s="331" t="s">
        <v>151</v>
      </c>
      <c r="P254" s="331"/>
      <c r="Q254" s="329"/>
      <c r="R254" s="330" t="s">
        <v>3668</v>
      </c>
      <c r="S254" s="357"/>
      <c r="T254" s="358" t="s">
        <v>193</v>
      </c>
      <c r="U254" s="330" t="s">
        <v>3669</v>
      </c>
      <c r="V254" s="332">
        <v>32143</v>
      </c>
      <c r="W254" s="391" t="s">
        <v>3670</v>
      </c>
      <c r="X254" s="333" t="s">
        <v>3575</v>
      </c>
      <c r="Y254" s="331"/>
      <c r="Z254" s="331"/>
      <c r="AA254" s="329"/>
      <c r="AB254" s="361">
        <v>45762</v>
      </c>
      <c r="AC254" s="361">
        <v>45719</v>
      </c>
      <c r="AD254" s="329"/>
      <c r="AE254" s="329" t="s">
        <v>3671</v>
      </c>
      <c r="AF254" s="329" t="s">
        <v>3672</v>
      </c>
      <c r="AG254" s="329" t="s">
        <v>3673</v>
      </c>
      <c r="AH254" s="334">
        <v>3</v>
      </c>
      <c r="AI254" s="329" t="s">
        <v>162</v>
      </c>
      <c r="AJ254" s="329" t="s">
        <v>162</v>
      </c>
      <c r="AK254" s="329" t="s">
        <v>161</v>
      </c>
      <c r="AL254" s="334"/>
      <c r="AM254" s="334"/>
      <c r="AN254" s="334"/>
      <c r="AO254" s="335"/>
      <c r="AP254" s="335"/>
      <c r="AQ254" s="335"/>
      <c r="AR254" s="334"/>
      <c r="AS254" s="329"/>
      <c r="AT254" s="424"/>
      <c r="AU254" s="329" t="s">
        <v>3674</v>
      </c>
      <c r="AV254" s="329"/>
      <c r="AW254" s="362">
        <v>45719</v>
      </c>
      <c r="AX254" s="329"/>
      <c r="AY254" s="334"/>
      <c r="AZ254" s="329"/>
      <c r="BA254" s="329"/>
      <c r="BB254" s="329"/>
      <c r="BC254" s="439"/>
      <c r="BD254" s="439"/>
      <c r="BE254" s="440" t="s">
        <v>3675</v>
      </c>
      <c r="BF254" s="329"/>
      <c r="BG254" s="329"/>
      <c r="BH254" s="329"/>
      <c r="BI254" s="329"/>
      <c r="BJ254" s="329"/>
      <c r="BK254" s="329"/>
      <c r="BL254" s="329"/>
      <c r="BM254" s="332"/>
      <c r="BN254" s="363" t="s">
        <v>17</v>
      </c>
      <c r="BO254" s="334"/>
      <c r="BP254" s="334"/>
      <c r="BQ254" s="329"/>
      <c r="BR254" s="329">
        <v>8</v>
      </c>
      <c r="BS254" s="329"/>
      <c r="BT254" s="329"/>
      <c r="BU254" s="329"/>
      <c r="BV254" s="329"/>
      <c r="BW254" s="329"/>
      <c r="BX254" s="329"/>
      <c r="BY254" s="329"/>
      <c r="BZ254" s="329"/>
      <c r="CA254" s="329"/>
      <c r="CB254" s="329"/>
      <c r="CC254" s="329"/>
      <c r="CD254" s="329"/>
      <c r="CE254" s="329"/>
      <c r="CF254" s="329"/>
      <c r="CG254" s="329"/>
      <c r="CH254" s="380">
        <v>1</v>
      </c>
      <c r="CI254" s="382"/>
      <c r="CJ254" s="382"/>
      <c r="CK254" s="382" t="s">
        <v>809</v>
      </c>
    </row>
    <row r="255" spans="1:90" ht="24.75" customHeight="1">
      <c r="A255" s="330">
        <v>258</v>
      </c>
      <c r="B255" s="330" t="s">
        <v>3676</v>
      </c>
      <c r="C255" s="330" t="s">
        <v>3677</v>
      </c>
      <c r="D255" s="330"/>
      <c r="E255" s="330" t="s">
        <v>3678</v>
      </c>
      <c r="F255" s="330" t="s">
        <v>25</v>
      </c>
      <c r="G255" s="329">
        <v>11</v>
      </c>
      <c r="H255" s="329" t="s">
        <v>60</v>
      </c>
      <c r="I255" s="329" t="s">
        <v>35</v>
      </c>
      <c r="J255" s="329" t="s">
        <v>3679</v>
      </c>
      <c r="K255" s="329" t="s">
        <v>3680</v>
      </c>
      <c r="L255" s="329" t="s">
        <v>35</v>
      </c>
      <c r="M255" s="329" t="s">
        <v>150</v>
      </c>
      <c r="N255" s="331"/>
      <c r="O255" s="331" t="s">
        <v>322</v>
      </c>
      <c r="P255" s="331"/>
      <c r="Q255" s="329"/>
      <c r="R255" s="330" t="s">
        <v>3681</v>
      </c>
      <c r="S255" s="330" t="s">
        <v>3682</v>
      </c>
      <c r="T255" s="356" t="s">
        <v>3683</v>
      </c>
      <c r="U255" s="330" t="s">
        <v>3684</v>
      </c>
      <c r="V255" s="332">
        <v>35384</v>
      </c>
      <c r="W255" s="391" t="s">
        <v>3685</v>
      </c>
      <c r="X255" s="333" t="s">
        <v>3686</v>
      </c>
      <c r="Y255" s="331"/>
      <c r="Z255" s="331"/>
      <c r="AA255" s="329"/>
      <c r="AB255" s="361">
        <v>45762</v>
      </c>
      <c r="AC255" s="361">
        <v>45719</v>
      </c>
      <c r="AD255" s="329"/>
      <c r="AE255" s="329" t="s">
        <v>3687</v>
      </c>
      <c r="AF255" s="329" t="s">
        <v>3688</v>
      </c>
      <c r="AG255" s="329" t="s">
        <v>3689</v>
      </c>
      <c r="AH255" s="334">
        <v>3</v>
      </c>
      <c r="AI255" s="329" t="s">
        <v>161</v>
      </c>
      <c r="AJ255" s="329" t="s">
        <v>161</v>
      </c>
      <c r="AK255" s="329" t="s">
        <v>202</v>
      </c>
      <c r="AL255" s="334"/>
      <c r="AM255" s="334"/>
      <c r="AN255" s="334"/>
      <c r="AO255" s="335"/>
      <c r="AP255" s="335"/>
      <c r="AQ255" s="335"/>
      <c r="AR255" s="334"/>
      <c r="AS255" s="329"/>
      <c r="AT255" s="424"/>
      <c r="AU255" s="329" t="s">
        <v>3690</v>
      </c>
      <c r="AV255" s="329"/>
      <c r="AW255" s="362">
        <v>45719</v>
      </c>
      <c r="AX255" s="329"/>
      <c r="AY255" s="334"/>
      <c r="AZ255" s="329"/>
      <c r="BA255" s="329"/>
      <c r="BB255" s="329"/>
      <c r="BC255" s="329"/>
      <c r="BD255" s="329"/>
      <c r="BE255" s="441"/>
      <c r="BF255" s="329"/>
      <c r="BG255" s="329"/>
      <c r="BH255" s="329"/>
      <c r="BI255" s="329"/>
      <c r="BJ255" s="329"/>
      <c r="BK255" s="329"/>
      <c r="BL255" s="329"/>
      <c r="BM255" s="332"/>
      <c r="BN255" s="363" t="s">
        <v>17</v>
      </c>
      <c r="BO255" s="334"/>
      <c r="BP255" s="334"/>
      <c r="BQ255" s="329"/>
      <c r="BR255" s="329">
        <v>10</v>
      </c>
      <c r="BS255" s="329"/>
      <c r="BT255" s="329"/>
      <c r="BU255" s="329"/>
      <c r="BV255" s="329"/>
      <c r="BW255" s="329"/>
      <c r="BX255" s="329"/>
      <c r="BY255" s="329"/>
      <c r="BZ255" s="329"/>
      <c r="CA255" s="329"/>
      <c r="CB255" s="329"/>
      <c r="CC255" s="329"/>
      <c r="CD255" s="329"/>
      <c r="CE255" s="329"/>
      <c r="CF255" s="329"/>
      <c r="CG255" s="329"/>
      <c r="CH255" s="380">
        <v>0</v>
      </c>
      <c r="CI255" s="382"/>
      <c r="CJ255" s="382"/>
      <c r="CK255" s="382" t="s">
        <v>809</v>
      </c>
    </row>
    <row r="256" spans="1:90" ht="24.75" customHeight="1">
      <c r="A256" s="330">
        <v>259</v>
      </c>
      <c r="B256" s="330" t="s">
        <v>3691</v>
      </c>
      <c r="C256" s="330" t="s">
        <v>3692</v>
      </c>
      <c r="D256" s="330" t="s">
        <v>3117</v>
      </c>
      <c r="E256" s="330" t="s">
        <v>3693</v>
      </c>
      <c r="F256" s="330" t="s">
        <v>24</v>
      </c>
      <c r="G256" s="329">
        <v>11</v>
      </c>
      <c r="H256" s="329" t="s">
        <v>52</v>
      </c>
      <c r="I256" s="329" t="s">
        <v>42</v>
      </c>
      <c r="J256" s="329" t="s">
        <v>3694</v>
      </c>
      <c r="K256" s="329" t="s">
        <v>3695</v>
      </c>
      <c r="L256" s="329" t="s">
        <v>42</v>
      </c>
      <c r="M256" s="329" t="s">
        <v>150</v>
      </c>
      <c r="N256" s="331"/>
      <c r="O256" s="331" t="s">
        <v>322</v>
      </c>
      <c r="P256" s="331"/>
      <c r="Q256" s="329"/>
      <c r="R256" s="330" t="s">
        <v>3696</v>
      </c>
      <c r="S256" s="330" t="s">
        <v>3697</v>
      </c>
      <c r="T256" s="356" t="s">
        <v>3698</v>
      </c>
      <c r="U256" s="330" t="s">
        <v>3699</v>
      </c>
      <c r="V256" s="332">
        <v>33077</v>
      </c>
      <c r="W256" s="391" t="s">
        <v>3700</v>
      </c>
      <c r="X256" s="333" t="s">
        <v>3701</v>
      </c>
      <c r="Y256" s="331"/>
      <c r="Z256" s="331"/>
      <c r="AA256" s="329"/>
      <c r="AB256" s="361">
        <v>44991</v>
      </c>
      <c r="AC256" s="361">
        <v>45719</v>
      </c>
      <c r="AD256" s="329"/>
      <c r="AE256" s="329" t="s">
        <v>3702</v>
      </c>
      <c r="AF256" s="329" t="s">
        <v>3703</v>
      </c>
      <c r="AG256" s="329" t="s">
        <v>3704</v>
      </c>
      <c r="AH256" s="334">
        <v>3</v>
      </c>
      <c r="AI256" s="329" t="s">
        <v>161</v>
      </c>
      <c r="AJ256" s="329" t="s">
        <v>161</v>
      </c>
      <c r="AK256" s="329" t="s">
        <v>161</v>
      </c>
      <c r="AL256" s="334"/>
      <c r="AM256" s="334"/>
      <c r="AN256" s="334"/>
      <c r="AO256" s="335"/>
      <c r="AP256" s="335"/>
      <c r="AQ256" s="335"/>
      <c r="AR256" s="334"/>
      <c r="AS256" s="329"/>
      <c r="AT256" s="424"/>
      <c r="AU256" s="329" t="s">
        <v>3705</v>
      </c>
      <c r="AV256" s="329"/>
      <c r="AW256" s="362">
        <v>45719</v>
      </c>
      <c r="AX256" s="329"/>
      <c r="AY256" s="334"/>
      <c r="AZ256" s="329"/>
      <c r="BA256" s="329"/>
      <c r="BB256" s="329"/>
      <c r="BC256" s="329"/>
      <c r="BD256" s="329"/>
      <c r="BE256" s="441"/>
      <c r="BF256" s="329"/>
      <c r="BG256" s="329"/>
      <c r="BH256" s="329"/>
      <c r="BI256" s="329"/>
      <c r="BJ256" s="329"/>
      <c r="BK256" s="329"/>
      <c r="BL256" s="329"/>
      <c r="BM256" s="332"/>
      <c r="BN256" s="363" t="s">
        <v>17</v>
      </c>
      <c r="BO256" s="334"/>
      <c r="BP256" s="334"/>
      <c r="BQ256" s="329"/>
      <c r="BR256" s="329">
        <v>1</v>
      </c>
      <c r="BS256" s="329"/>
      <c r="BT256" s="329"/>
      <c r="BU256" s="329"/>
      <c r="BV256" s="329"/>
      <c r="BW256" s="329"/>
      <c r="BX256" s="329"/>
      <c r="BY256" s="329"/>
      <c r="BZ256" s="329"/>
      <c r="CA256" s="329"/>
      <c r="CB256" s="329"/>
      <c r="CC256" s="329"/>
      <c r="CD256" s="329"/>
      <c r="CE256" s="329"/>
      <c r="CF256" s="329"/>
      <c r="CG256" s="329"/>
      <c r="CH256" s="380">
        <v>1</v>
      </c>
      <c r="CI256" s="382"/>
      <c r="CJ256" s="382"/>
      <c r="CK256" s="382" t="s">
        <v>809</v>
      </c>
    </row>
    <row r="257" spans="1:89" ht="23.25" customHeight="1">
      <c r="A257" s="330">
        <v>260</v>
      </c>
      <c r="B257" s="330" t="s">
        <v>3706</v>
      </c>
      <c r="C257" s="330" t="s">
        <v>629</v>
      </c>
      <c r="D257" s="330" t="s">
        <v>3707</v>
      </c>
      <c r="E257" s="330" t="s">
        <v>3708</v>
      </c>
      <c r="F257" s="330" t="s">
        <v>24</v>
      </c>
      <c r="G257" s="329">
        <v>11</v>
      </c>
      <c r="H257" s="329" t="s">
        <v>52</v>
      </c>
      <c r="I257" s="329" t="s">
        <v>42</v>
      </c>
      <c r="J257" s="329" t="s">
        <v>2289</v>
      </c>
      <c r="K257" s="329" t="s">
        <v>3709</v>
      </c>
      <c r="L257" s="329"/>
      <c r="M257" s="329"/>
      <c r="N257" s="331"/>
      <c r="O257" s="331" t="s">
        <v>151</v>
      </c>
      <c r="P257" s="331"/>
      <c r="Q257" s="329"/>
      <c r="R257" s="330" t="s">
        <v>3710</v>
      </c>
      <c r="S257" s="330" t="s">
        <v>3711</v>
      </c>
      <c r="T257" s="356" t="s">
        <v>3712</v>
      </c>
      <c r="U257" s="330" t="s">
        <v>3713</v>
      </c>
      <c r="V257" s="332">
        <v>30619</v>
      </c>
      <c r="W257" s="391" t="s">
        <v>3714</v>
      </c>
      <c r="X257" s="333" t="s">
        <v>156</v>
      </c>
      <c r="Y257" s="331"/>
      <c r="Z257" s="331"/>
      <c r="AA257" s="329"/>
      <c r="AB257" s="361">
        <v>45901</v>
      </c>
      <c r="AC257" s="361">
        <v>45719</v>
      </c>
      <c r="AD257" s="329"/>
      <c r="AE257" s="329" t="s">
        <v>3715</v>
      </c>
      <c r="AF257" s="329" t="s">
        <v>3716</v>
      </c>
      <c r="AG257" s="329"/>
      <c r="AH257" s="334">
        <v>2</v>
      </c>
      <c r="AI257" s="329" t="s">
        <v>161</v>
      </c>
      <c r="AJ257" s="329" t="s">
        <v>161</v>
      </c>
      <c r="AK257" s="329"/>
      <c r="AL257" s="334"/>
      <c r="AM257" s="334"/>
      <c r="AN257" s="334"/>
      <c r="AO257" s="335"/>
      <c r="AP257" s="335"/>
      <c r="AQ257" s="335"/>
      <c r="AR257" s="334"/>
      <c r="AS257" s="329"/>
      <c r="AT257" s="424"/>
      <c r="AU257" s="329" t="s">
        <v>3717</v>
      </c>
      <c r="AV257" s="329"/>
      <c r="AW257" s="362">
        <v>45719</v>
      </c>
      <c r="AX257" s="329"/>
      <c r="AY257" s="334"/>
      <c r="AZ257" s="329"/>
      <c r="BA257" s="329"/>
      <c r="BB257" s="329"/>
      <c r="BC257" s="329"/>
      <c r="BD257" s="329"/>
      <c r="BE257" s="441"/>
      <c r="BF257" s="329"/>
      <c r="BG257" s="329"/>
      <c r="BH257" s="329"/>
      <c r="BI257" s="329"/>
      <c r="BJ257" s="329"/>
      <c r="BK257" s="329"/>
      <c r="BL257" s="329"/>
      <c r="BM257" s="332"/>
      <c r="BN257" s="363" t="s">
        <v>17</v>
      </c>
      <c r="BO257" s="334"/>
      <c r="BP257" s="334"/>
      <c r="BQ257" s="329"/>
      <c r="BR257" s="329">
        <v>10</v>
      </c>
      <c r="BS257" s="329"/>
      <c r="BT257" s="329"/>
      <c r="BU257" s="329"/>
      <c r="BV257" s="329"/>
      <c r="BW257" s="329"/>
      <c r="BX257" s="329"/>
      <c r="BY257" s="329"/>
      <c r="BZ257" s="329"/>
      <c r="CA257" s="329"/>
      <c r="CB257" s="329"/>
      <c r="CC257" s="329"/>
      <c r="CD257" s="329"/>
      <c r="CE257" s="329"/>
      <c r="CF257" s="329"/>
      <c r="CG257" s="329"/>
      <c r="CH257" s="380">
        <v>2</v>
      </c>
      <c r="CI257" s="382"/>
      <c r="CJ257" s="382"/>
      <c r="CK257" s="382" t="s">
        <v>809</v>
      </c>
    </row>
    <row r="258" spans="1:89" ht="25.5" customHeight="1">
      <c r="A258" s="330">
        <v>261</v>
      </c>
      <c r="B258" s="330" t="s">
        <v>3718</v>
      </c>
      <c r="C258" s="330" t="s">
        <v>3719</v>
      </c>
      <c r="D258" s="330" t="s">
        <v>3720</v>
      </c>
      <c r="E258" s="330" t="s">
        <v>3721</v>
      </c>
      <c r="F258" s="330" t="s">
        <v>25</v>
      </c>
      <c r="G258" s="329">
        <v>11</v>
      </c>
      <c r="H258" s="329" t="s">
        <v>54</v>
      </c>
      <c r="I258" s="329" t="s">
        <v>31</v>
      </c>
      <c r="J258" s="329" t="s">
        <v>3722</v>
      </c>
      <c r="K258" s="329" t="s">
        <v>1561</v>
      </c>
      <c r="L258" s="329" t="s">
        <v>31</v>
      </c>
      <c r="M258" s="329" t="s">
        <v>150</v>
      </c>
      <c r="N258" s="331"/>
      <c r="O258" s="331" t="s">
        <v>151</v>
      </c>
      <c r="P258" s="331"/>
      <c r="Q258" s="329"/>
      <c r="R258" s="330" t="s">
        <v>3723</v>
      </c>
      <c r="S258" s="359" t="s">
        <v>3724</v>
      </c>
      <c r="T258" s="360" t="s">
        <v>3725</v>
      </c>
      <c r="U258" s="330" t="s">
        <v>3726</v>
      </c>
      <c r="V258" s="332">
        <v>31080</v>
      </c>
      <c r="W258" s="391" t="s">
        <v>3727</v>
      </c>
      <c r="X258" s="333" t="s">
        <v>3686</v>
      </c>
      <c r="Y258" s="331"/>
      <c r="Z258" s="331"/>
      <c r="AA258" s="329"/>
      <c r="AB258" s="361">
        <v>43647</v>
      </c>
      <c r="AC258" s="361">
        <v>45719</v>
      </c>
      <c r="AD258" s="329"/>
      <c r="AE258" s="329" t="s">
        <v>3728</v>
      </c>
      <c r="AF258" s="329" t="s">
        <v>3729</v>
      </c>
      <c r="AG258" s="329"/>
      <c r="AH258" s="334">
        <v>2</v>
      </c>
      <c r="AI258" s="329" t="s">
        <v>161</v>
      </c>
      <c r="AJ258" s="329" t="s">
        <v>161</v>
      </c>
      <c r="AK258" s="329"/>
      <c r="AL258" s="334"/>
      <c r="AM258" s="334"/>
      <c r="AN258" s="334"/>
      <c r="AO258" s="335"/>
      <c r="AP258" s="335"/>
      <c r="AQ258" s="335"/>
      <c r="AR258" s="334"/>
      <c r="AS258" s="329"/>
      <c r="AT258" s="424"/>
      <c r="AU258" s="329" t="s">
        <v>3730</v>
      </c>
      <c r="AV258" s="329"/>
      <c r="AW258" s="362">
        <v>45719</v>
      </c>
      <c r="AX258" s="329"/>
      <c r="AY258" s="334"/>
      <c r="AZ258" s="329"/>
      <c r="BA258" s="329"/>
      <c r="BB258" s="329"/>
      <c r="BC258" s="329"/>
      <c r="BD258" s="329"/>
      <c r="BE258" s="441"/>
      <c r="BF258" s="329"/>
      <c r="BG258" s="329"/>
      <c r="BH258" s="329"/>
      <c r="BI258" s="329"/>
      <c r="BJ258" s="329"/>
      <c r="BK258" s="329"/>
      <c r="BL258" s="329"/>
      <c r="BM258" s="332"/>
      <c r="BN258" s="363" t="s">
        <v>17</v>
      </c>
      <c r="BO258" s="334"/>
      <c r="BP258" s="334"/>
      <c r="BQ258" s="329"/>
      <c r="BR258" s="329">
        <v>2</v>
      </c>
      <c r="BS258" s="329"/>
      <c r="BT258" s="329"/>
      <c r="BU258" s="329"/>
      <c r="BV258" s="329"/>
      <c r="BW258" s="329"/>
      <c r="BX258" s="329"/>
      <c r="BY258" s="329"/>
      <c r="BZ258" s="329"/>
      <c r="CA258" s="329"/>
      <c r="CB258" s="329"/>
      <c r="CC258" s="329"/>
      <c r="CD258" s="329"/>
      <c r="CE258" s="329"/>
      <c r="CF258" s="329"/>
      <c r="CG258" s="329"/>
      <c r="CH258" s="380">
        <v>2</v>
      </c>
      <c r="CI258" s="382"/>
      <c r="CJ258" s="382"/>
      <c r="CK258" s="382" t="s">
        <v>809</v>
      </c>
    </row>
    <row r="259" spans="1:89" ht="27.75" customHeight="1">
      <c r="A259" s="330">
        <v>262</v>
      </c>
      <c r="B259" s="330" t="s">
        <v>3731</v>
      </c>
      <c r="C259" s="330" t="s">
        <v>3732</v>
      </c>
      <c r="D259" s="330" t="s">
        <v>3733</v>
      </c>
      <c r="E259" s="330" t="s">
        <v>3734</v>
      </c>
      <c r="F259" s="330" t="s">
        <v>24</v>
      </c>
      <c r="G259" s="329">
        <v>11</v>
      </c>
      <c r="H259" s="329" t="s">
        <v>52</v>
      </c>
      <c r="I259" s="329" t="s">
        <v>37</v>
      </c>
      <c r="J259" s="329" t="s">
        <v>3735</v>
      </c>
      <c r="K259" s="329" t="s">
        <v>3736</v>
      </c>
      <c r="L259" s="329" t="s">
        <v>37</v>
      </c>
      <c r="M259" s="329" t="s">
        <v>150</v>
      </c>
      <c r="N259" s="331"/>
      <c r="O259" s="331" t="s">
        <v>151</v>
      </c>
      <c r="P259" s="331"/>
      <c r="Q259" s="329"/>
      <c r="R259" s="330" t="s">
        <v>3737</v>
      </c>
      <c r="S259" s="330" t="s">
        <v>3738</v>
      </c>
      <c r="T259" s="356" t="s">
        <v>3739</v>
      </c>
      <c r="U259" s="330" t="s">
        <v>3740</v>
      </c>
      <c r="V259" s="332">
        <v>34463</v>
      </c>
      <c r="W259" s="391" t="s">
        <v>3741</v>
      </c>
      <c r="X259" s="333" t="s">
        <v>3575</v>
      </c>
      <c r="Y259" s="331"/>
      <c r="Z259" s="331"/>
      <c r="AA259" s="329"/>
      <c r="AB259" s="361">
        <v>45537</v>
      </c>
      <c r="AC259" s="361">
        <v>45719</v>
      </c>
      <c r="AD259" s="329"/>
      <c r="AE259" s="329" t="s">
        <v>3742</v>
      </c>
      <c r="AF259" s="329" t="s">
        <v>3743</v>
      </c>
      <c r="AG259" s="329" t="s">
        <v>3744</v>
      </c>
      <c r="AH259" s="334">
        <v>3</v>
      </c>
      <c r="AI259" s="329" t="s">
        <v>161</v>
      </c>
      <c r="AJ259" s="329" t="s">
        <v>161</v>
      </c>
      <c r="AK259" s="329" t="s">
        <v>161</v>
      </c>
      <c r="AL259" s="334"/>
      <c r="AM259" s="334"/>
      <c r="AN259" s="334"/>
      <c r="AO259" s="335"/>
      <c r="AP259" s="335"/>
      <c r="AQ259" s="335"/>
      <c r="AR259" s="334"/>
      <c r="AS259" s="329"/>
      <c r="AT259" s="424"/>
      <c r="AU259" s="329" t="s">
        <v>3745</v>
      </c>
      <c r="AV259" s="329"/>
      <c r="AW259" s="362">
        <v>45719</v>
      </c>
      <c r="AX259" s="329"/>
      <c r="AY259" s="334"/>
      <c r="AZ259" s="329"/>
      <c r="BA259" s="329"/>
      <c r="BB259" s="329"/>
      <c r="BC259" s="439"/>
      <c r="BD259" s="439"/>
      <c r="BE259" s="440" t="s">
        <v>3746</v>
      </c>
      <c r="BF259" s="329"/>
      <c r="BG259" s="329"/>
      <c r="BH259" s="329"/>
      <c r="BI259" s="329"/>
      <c r="BJ259" s="329"/>
      <c r="BK259" s="329"/>
      <c r="BL259" s="329"/>
      <c r="BM259" s="332"/>
      <c r="BN259" s="363" t="s">
        <v>17</v>
      </c>
      <c r="BO259" s="334"/>
      <c r="BP259" s="334"/>
      <c r="BQ259" s="329"/>
      <c r="BR259" s="329">
        <v>1</v>
      </c>
      <c r="BS259" s="329"/>
      <c r="BT259" s="329"/>
      <c r="BU259" s="329"/>
      <c r="BV259" s="329"/>
      <c r="BW259" s="329"/>
      <c r="BX259" s="329"/>
      <c r="BY259" s="329"/>
      <c r="BZ259" s="329"/>
      <c r="CA259" s="329"/>
      <c r="CB259" s="329"/>
      <c r="CC259" s="329"/>
      <c r="CD259" s="329"/>
      <c r="CE259" s="329"/>
      <c r="CF259" s="329"/>
      <c r="CG259" s="329"/>
      <c r="CH259" s="380">
        <v>1</v>
      </c>
      <c r="CI259" s="382"/>
      <c r="CJ259" s="382"/>
      <c r="CK259" s="382" t="s">
        <v>3747</v>
      </c>
    </row>
    <row r="260" spans="1:89" ht="21" customHeight="1">
      <c r="A260" s="330">
        <v>263</v>
      </c>
      <c r="B260" s="330" t="s">
        <v>3748</v>
      </c>
      <c r="C260" s="330" t="s">
        <v>3749</v>
      </c>
      <c r="D260" s="330" t="s">
        <v>3750</v>
      </c>
      <c r="E260" s="330" t="s">
        <v>3751</v>
      </c>
      <c r="F260" s="330" t="s">
        <v>25</v>
      </c>
      <c r="G260" s="329">
        <v>11</v>
      </c>
      <c r="H260" s="329" t="s">
        <v>53</v>
      </c>
      <c r="I260" s="329" t="s">
        <v>46</v>
      </c>
      <c r="J260" s="329" t="s">
        <v>3752</v>
      </c>
      <c r="K260" s="329" t="s">
        <v>3753</v>
      </c>
      <c r="L260" s="329" t="s">
        <v>44</v>
      </c>
      <c r="M260" s="329" t="s">
        <v>150</v>
      </c>
      <c r="N260" s="331"/>
      <c r="O260" s="331" t="s">
        <v>322</v>
      </c>
      <c r="P260" s="331"/>
      <c r="Q260" s="329"/>
      <c r="R260" s="330" t="s">
        <v>3754</v>
      </c>
      <c r="S260" s="330" t="s">
        <v>3755</v>
      </c>
      <c r="T260" s="356" t="s">
        <v>3756</v>
      </c>
      <c r="U260" s="330" t="s">
        <v>3757</v>
      </c>
      <c r="V260" s="332">
        <v>33558</v>
      </c>
      <c r="W260" s="391" t="s">
        <v>3758</v>
      </c>
      <c r="X260" s="333" t="s">
        <v>3575</v>
      </c>
      <c r="Y260" s="331"/>
      <c r="Z260" s="331"/>
      <c r="AA260" s="329"/>
      <c r="AB260" s="361">
        <v>45719</v>
      </c>
      <c r="AC260" s="361">
        <v>45719</v>
      </c>
      <c r="AD260" s="329"/>
      <c r="AE260" s="329" t="s">
        <v>3759</v>
      </c>
      <c r="AF260" s="329" t="s">
        <v>3760</v>
      </c>
      <c r="AG260" s="329"/>
      <c r="AH260" s="334">
        <v>2</v>
      </c>
      <c r="AI260" s="329" t="s">
        <v>161</v>
      </c>
      <c r="AJ260" s="329" t="s">
        <v>162</v>
      </c>
      <c r="AK260" s="329"/>
      <c r="AL260" s="334"/>
      <c r="AM260" s="334"/>
      <c r="AN260" s="334"/>
      <c r="AO260" s="335"/>
      <c r="AP260" s="335"/>
      <c r="AQ260" s="335"/>
      <c r="AR260" s="334"/>
      <c r="AS260" s="329"/>
      <c r="AT260" s="424"/>
      <c r="AU260" s="329" t="s">
        <v>3761</v>
      </c>
      <c r="AV260" s="329"/>
      <c r="AW260" s="362">
        <v>45719</v>
      </c>
      <c r="AX260" s="329"/>
      <c r="AY260" s="334"/>
      <c r="AZ260" s="329"/>
      <c r="BA260" s="329"/>
      <c r="BB260" s="329"/>
      <c r="BC260" s="329"/>
      <c r="BD260" s="329"/>
      <c r="BE260" s="441"/>
      <c r="BF260" s="329"/>
      <c r="BG260" s="329"/>
      <c r="BH260" s="329"/>
      <c r="BI260" s="329"/>
      <c r="BJ260" s="329"/>
      <c r="BK260" s="329"/>
      <c r="BL260" s="329"/>
      <c r="BM260" s="332"/>
      <c r="BN260" s="363" t="s">
        <v>17</v>
      </c>
      <c r="BO260" s="334"/>
      <c r="BP260" s="334"/>
      <c r="BQ260" s="329"/>
      <c r="BR260" s="329">
        <v>0</v>
      </c>
      <c r="BS260" s="329"/>
      <c r="BT260" s="329"/>
      <c r="BU260" s="329"/>
      <c r="BV260" s="329"/>
      <c r="BW260" s="329"/>
      <c r="BX260" s="329"/>
      <c r="BY260" s="329"/>
      <c r="BZ260" s="329"/>
      <c r="CA260" s="329"/>
      <c r="CB260" s="329"/>
      <c r="CC260" s="329"/>
      <c r="CD260" s="329"/>
      <c r="CE260" s="329"/>
      <c r="CF260" s="329"/>
      <c r="CG260" s="329"/>
      <c r="CH260" s="380">
        <v>1</v>
      </c>
      <c r="CI260" s="382"/>
      <c r="CJ260" s="382"/>
      <c r="CK260" s="382" t="s">
        <v>3747</v>
      </c>
    </row>
    <row r="261" spans="1:89" ht="20.25" customHeight="1">
      <c r="A261" s="330">
        <v>264</v>
      </c>
      <c r="B261" s="330" t="s">
        <v>3762</v>
      </c>
      <c r="C261" s="330" t="s">
        <v>3763</v>
      </c>
      <c r="D261" s="330" t="s">
        <v>3764</v>
      </c>
      <c r="E261" s="330" t="s">
        <v>3765</v>
      </c>
      <c r="F261" s="330" t="s">
        <v>25</v>
      </c>
      <c r="G261" s="329">
        <v>11</v>
      </c>
      <c r="H261" s="329" t="s">
        <v>52</v>
      </c>
      <c r="I261" s="329" t="s">
        <v>42</v>
      </c>
      <c r="J261" s="329" t="s">
        <v>3766</v>
      </c>
      <c r="K261" s="329" t="s">
        <v>3695</v>
      </c>
      <c r="L261" s="329" t="s">
        <v>42</v>
      </c>
      <c r="M261" s="329" t="s">
        <v>150</v>
      </c>
      <c r="N261" s="331"/>
      <c r="O261" s="331" t="s">
        <v>151</v>
      </c>
      <c r="P261" s="331"/>
      <c r="Q261" s="329"/>
      <c r="R261" s="330" t="s">
        <v>3767</v>
      </c>
      <c r="S261" s="330" t="s">
        <v>3768</v>
      </c>
      <c r="T261" s="356" t="s">
        <v>3769</v>
      </c>
      <c r="U261" s="330" t="s">
        <v>3770</v>
      </c>
      <c r="V261" s="332">
        <v>34034</v>
      </c>
      <c r="W261" s="391" t="s">
        <v>3771</v>
      </c>
      <c r="X261" s="333" t="s">
        <v>3772</v>
      </c>
      <c r="Y261" s="331"/>
      <c r="Z261" s="331"/>
      <c r="AA261" s="329"/>
      <c r="AB261" s="361">
        <v>45180</v>
      </c>
      <c r="AC261" s="361">
        <v>45719</v>
      </c>
      <c r="AD261" s="329"/>
      <c r="AE261" s="329" t="s">
        <v>3773</v>
      </c>
      <c r="AF261" s="329" t="s">
        <v>3774</v>
      </c>
      <c r="AG261" s="329" t="s">
        <v>3775</v>
      </c>
      <c r="AH261" s="334">
        <v>3</v>
      </c>
      <c r="AI261" s="329" t="s">
        <v>161</v>
      </c>
      <c r="AJ261" s="329" t="s">
        <v>161</v>
      </c>
      <c r="AK261" s="329" t="s">
        <v>161</v>
      </c>
      <c r="AL261" s="334"/>
      <c r="AM261" s="334"/>
      <c r="AN261" s="334"/>
      <c r="AO261" s="335"/>
      <c r="AP261" s="335"/>
      <c r="AQ261" s="335"/>
      <c r="AR261" s="334"/>
      <c r="AS261" s="329"/>
      <c r="AT261" s="424"/>
      <c r="AU261" s="329" t="s">
        <v>3776</v>
      </c>
      <c r="AV261" s="329"/>
      <c r="AW261" s="362">
        <v>45719</v>
      </c>
      <c r="AX261" s="329"/>
      <c r="AY261" s="334"/>
      <c r="AZ261" s="329"/>
      <c r="BA261" s="329"/>
      <c r="BB261" s="329"/>
      <c r="BC261" s="439"/>
      <c r="BD261" s="439"/>
      <c r="BE261" s="440" t="s">
        <v>3777</v>
      </c>
      <c r="BF261" s="329"/>
      <c r="BG261" s="329"/>
      <c r="BH261" s="329"/>
      <c r="BI261" s="329"/>
      <c r="BJ261" s="329"/>
      <c r="BK261" s="329"/>
      <c r="BL261" s="329"/>
      <c r="BM261" s="332"/>
      <c r="BN261" s="363" t="s">
        <v>17</v>
      </c>
      <c r="BO261" s="334"/>
      <c r="BP261" s="334"/>
      <c r="BQ261" s="329"/>
      <c r="BR261" s="329">
        <v>2</v>
      </c>
      <c r="BS261" s="329"/>
      <c r="BT261" s="329"/>
      <c r="BU261" s="329"/>
      <c r="BV261" s="329"/>
      <c r="BW261" s="329"/>
      <c r="BX261" s="329"/>
      <c r="BY261" s="329"/>
      <c r="BZ261" s="329"/>
      <c r="CA261" s="329"/>
      <c r="CB261" s="329"/>
      <c r="CC261" s="329"/>
      <c r="CD261" s="329"/>
      <c r="CE261" s="329"/>
      <c r="CF261" s="329"/>
      <c r="CG261" s="329"/>
      <c r="CH261" s="380">
        <v>1</v>
      </c>
      <c r="CI261" s="382"/>
      <c r="CJ261" s="382"/>
      <c r="CK261" s="382" t="s">
        <v>809</v>
      </c>
    </row>
    <row r="262" spans="1:89" ht="21" customHeight="1">
      <c r="A262" s="330">
        <v>265</v>
      </c>
      <c r="B262" s="330" t="s">
        <v>3778</v>
      </c>
      <c r="C262" s="330" t="s">
        <v>3779</v>
      </c>
      <c r="D262" s="330" t="s">
        <v>3279</v>
      </c>
      <c r="E262" s="330" t="s">
        <v>3780</v>
      </c>
      <c r="F262" s="330" t="s">
        <v>24</v>
      </c>
      <c r="G262" s="329">
        <v>11</v>
      </c>
      <c r="H262" s="329" t="s">
        <v>54</v>
      </c>
      <c r="I262" s="329" t="s">
        <v>39</v>
      </c>
      <c r="J262" s="329" t="s">
        <v>3781</v>
      </c>
      <c r="K262" s="329" t="s">
        <v>3782</v>
      </c>
      <c r="L262" s="329" t="s">
        <v>39</v>
      </c>
      <c r="M262" s="329" t="s">
        <v>150</v>
      </c>
      <c r="N262" s="331"/>
      <c r="O262" s="331" t="s">
        <v>322</v>
      </c>
      <c r="P262" s="331"/>
      <c r="Q262" s="329"/>
      <c r="R262" s="330" t="s">
        <v>3783</v>
      </c>
      <c r="S262" s="330" t="s">
        <v>3784</v>
      </c>
      <c r="T262" s="356" t="s">
        <v>3785</v>
      </c>
      <c r="U262" s="330" t="s">
        <v>3786</v>
      </c>
      <c r="V262" s="332">
        <v>32059</v>
      </c>
      <c r="W262" s="391" t="s">
        <v>3787</v>
      </c>
      <c r="X262" s="333" t="s">
        <v>156</v>
      </c>
      <c r="Y262" s="331"/>
      <c r="Z262" s="331"/>
      <c r="AA262" s="329"/>
      <c r="AB262" s="361">
        <v>45611</v>
      </c>
      <c r="AC262" s="361">
        <v>45719</v>
      </c>
      <c r="AD262" s="329"/>
      <c r="AE262" s="329" t="s">
        <v>3788</v>
      </c>
      <c r="AF262" s="329" t="s">
        <v>3789</v>
      </c>
      <c r="AG262" s="329"/>
      <c r="AH262" s="334">
        <v>2</v>
      </c>
      <c r="AI262" s="329" t="s">
        <v>161</v>
      </c>
      <c r="AJ262" s="329" t="s">
        <v>161</v>
      </c>
      <c r="AK262" s="329"/>
      <c r="AL262" s="334"/>
      <c r="AM262" s="334"/>
      <c r="AN262" s="334"/>
      <c r="AO262" s="335"/>
      <c r="AP262" s="335"/>
      <c r="AQ262" s="335"/>
      <c r="AR262" s="334"/>
      <c r="AS262" s="329"/>
      <c r="AT262" s="424"/>
      <c r="AU262" s="329" t="s">
        <v>3790</v>
      </c>
      <c r="AV262" s="329"/>
      <c r="AW262" s="362">
        <v>45719</v>
      </c>
      <c r="AX262" s="329"/>
      <c r="AY262" s="334"/>
      <c r="AZ262" s="329"/>
      <c r="BA262" s="329"/>
      <c r="BB262" s="329"/>
      <c r="BC262" s="439"/>
      <c r="BD262" s="439"/>
      <c r="BE262" s="440" t="s">
        <v>3791</v>
      </c>
      <c r="BF262" s="329"/>
      <c r="BG262" s="329"/>
      <c r="BH262" s="329"/>
      <c r="BI262" s="329"/>
      <c r="BJ262" s="329"/>
      <c r="BK262" s="329"/>
      <c r="BL262" s="329"/>
      <c r="BM262" s="332"/>
      <c r="BN262" s="363" t="s">
        <v>17</v>
      </c>
      <c r="BO262" s="334"/>
      <c r="BP262" s="334"/>
      <c r="BQ262" s="329"/>
      <c r="BR262" s="329">
        <v>6</v>
      </c>
      <c r="BS262" s="329"/>
      <c r="BT262" s="329"/>
      <c r="BU262" s="329"/>
      <c r="BV262" s="329"/>
      <c r="BW262" s="329"/>
      <c r="BX262" s="329"/>
      <c r="BY262" s="329"/>
      <c r="BZ262" s="329"/>
      <c r="CA262" s="329"/>
      <c r="CB262" s="329"/>
      <c r="CC262" s="329"/>
      <c r="CD262" s="329"/>
      <c r="CE262" s="329"/>
      <c r="CF262" s="329"/>
      <c r="CG262" s="329"/>
      <c r="CH262" s="380">
        <v>0</v>
      </c>
      <c r="CI262" s="382"/>
      <c r="CJ262" s="382"/>
      <c r="CK262" s="382" t="s">
        <v>809</v>
      </c>
    </row>
    <row r="263" spans="1:89" ht="25.5" customHeight="1">
      <c r="A263" s="330">
        <v>266</v>
      </c>
      <c r="B263" s="330" t="s">
        <v>3792</v>
      </c>
      <c r="C263" s="330" t="s">
        <v>3793</v>
      </c>
      <c r="D263" s="330" t="s">
        <v>3794</v>
      </c>
      <c r="E263" s="330" t="s">
        <v>3795</v>
      </c>
      <c r="F263" s="330" t="s">
        <v>25</v>
      </c>
      <c r="G263" s="329">
        <v>11</v>
      </c>
      <c r="H263" s="329" t="s">
        <v>53</v>
      </c>
      <c r="I263" s="329" t="s">
        <v>46</v>
      </c>
      <c r="J263" s="329" t="s">
        <v>602</v>
      </c>
      <c r="K263" s="329" t="s">
        <v>3796</v>
      </c>
      <c r="L263" s="337" t="s">
        <v>45</v>
      </c>
      <c r="M263" s="337" t="s">
        <v>163</v>
      </c>
      <c r="N263" s="331"/>
      <c r="O263" s="331" t="s">
        <v>151</v>
      </c>
      <c r="P263" s="331"/>
      <c r="Q263" s="329"/>
      <c r="R263" s="330" t="s">
        <v>3797</v>
      </c>
      <c r="S263" s="330" t="s">
        <v>3798</v>
      </c>
      <c r="T263" s="356" t="s">
        <v>3799</v>
      </c>
      <c r="U263" s="330" t="s">
        <v>3800</v>
      </c>
      <c r="V263" s="332">
        <v>31592</v>
      </c>
      <c r="W263" s="391" t="s">
        <v>3801</v>
      </c>
      <c r="X263" s="333" t="s">
        <v>3575</v>
      </c>
      <c r="Y263" s="331"/>
      <c r="Z263" s="331"/>
      <c r="AA263" s="329"/>
      <c r="AB263" s="361">
        <v>45839</v>
      </c>
      <c r="AC263" s="361">
        <v>45719</v>
      </c>
      <c r="AD263" s="329"/>
      <c r="AE263" s="329" t="s">
        <v>3802</v>
      </c>
      <c r="AF263" s="329" t="s">
        <v>3803</v>
      </c>
      <c r="AG263" s="329" t="s">
        <v>3804</v>
      </c>
      <c r="AH263" s="334">
        <v>3</v>
      </c>
      <c r="AI263" s="329" t="s">
        <v>162</v>
      </c>
      <c r="AJ263" s="329" t="s">
        <v>161</v>
      </c>
      <c r="AK263" s="329" t="s">
        <v>202</v>
      </c>
      <c r="AL263" s="334"/>
      <c r="AM263" s="334"/>
      <c r="AN263" s="334"/>
      <c r="AO263" s="335"/>
      <c r="AP263" s="335"/>
      <c r="AQ263" s="335"/>
      <c r="AR263" s="334"/>
      <c r="AS263" s="329"/>
      <c r="AT263" s="424"/>
      <c r="AU263" s="329" t="s">
        <v>3805</v>
      </c>
      <c r="AV263" s="329"/>
      <c r="AW263" s="362">
        <v>45719</v>
      </c>
      <c r="AX263" s="329"/>
      <c r="AY263" s="334"/>
      <c r="AZ263" s="329"/>
      <c r="BA263" s="329"/>
      <c r="BB263" s="329"/>
      <c r="BC263" s="329"/>
      <c r="BD263" s="329"/>
      <c r="BE263" s="441"/>
      <c r="BF263" s="329"/>
      <c r="BG263" s="329"/>
      <c r="BH263" s="329"/>
      <c r="BI263" s="329"/>
      <c r="BJ263" s="329"/>
      <c r="BK263" s="329"/>
      <c r="BL263" s="329"/>
      <c r="BM263" s="332"/>
      <c r="BN263" s="363" t="s">
        <v>17</v>
      </c>
      <c r="BO263" s="334"/>
      <c r="BP263" s="334"/>
      <c r="BQ263" s="329"/>
      <c r="BR263" s="329">
        <v>8</v>
      </c>
      <c r="BS263" s="329"/>
      <c r="BT263" s="329"/>
      <c r="BU263" s="329"/>
      <c r="BV263" s="329"/>
      <c r="BW263" s="329"/>
      <c r="BX263" s="329"/>
      <c r="BY263" s="329"/>
      <c r="BZ263" s="329"/>
      <c r="CA263" s="329"/>
      <c r="CB263" s="329"/>
      <c r="CC263" s="329"/>
      <c r="CD263" s="329"/>
      <c r="CE263" s="329"/>
      <c r="CF263" s="329"/>
      <c r="CG263" s="329"/>
      <c r="CH263" s="380">
        <v>2</v>
      </c>
      <c r="CI263" s="382"/>
      <c r="CJ263" s="382"/>
      <c r="CK263" s="382" t="s">
        <v>809</v>
      </c>
    </row>
    <row r="264" spans="1:89" ht="21.75" customHeight="1">
      <c r="A264" s="357">
        <v>267</v>
      </c>
      <c r="B264" s="357" t="s">
        <v>3806</v>
      </c>
      <c r="C264" s="357" t="s">
        <v>3807</v>
      </c>
      <c r="D264" s="357"/>
      <c r="E264" s="357" t="s">
        <v>3808</v>
      </c>
      <c r="F264" s="357" t="s">
        <v>25</v>
      </c>
      <c r="G264" s="337">
        <v>11</v>
      </c>
      <c r="H264" s="337" t="s">
        <v>55</v>
      </c>
      <c r="I264" s="337" t="s">
        <v>43</v>
      </c>
      <c r="J264" s="337" t="s">
        <v>3809</v>
      </c>
      <c r="K264" s="337" t="s">
        <v>3810</v>
      </c>
      <c r="L264" s="337"/>
      <c r="M264" s="337"/>
      <c r="N264" s="428"/>
      <c r="O264" s="428" t="s">
        <v>322</v>
      </c>
      <c r="P264" s="428"/>
      <c r="Q264" s="337"/>
      <c r="R264" s="357" t="s">
        <v>3811</v>
      </c>
      <c r="S264" s="357" t="s">
        <v>3812</v>
      </c>
      <c r="T264" s="358" t="s">
        <v>3813</v>
      </c>
      <c r="U264" s="357" t="s">
        <v>3814</v>
      </c>
      <c r="V264" s="429">
        <v>31315</v>
      </c>
      <c r="W264" s="430" t="s">
        <v>3815</v>
      </c>
      <c r="X264" s="431" t="s">
        <v>3686</v>
      </c>
      <c r="Y264" s="428"/>
      <c r="Z264" s="428"/>
      <c r="AA264" s="337"/>
      <c r="AB264" s="432">
        <v>45930</v>
      </c>
      <c r="AC264" s="432">
        <v>45719</v>
      </c>
      <c r="AD264" s="337" t="s">
        <v>3816</v>
      </c>
      <c r="AE264" s="337"/>
      <c r="AF264" s="337"/>
      <c r="AG264" s="337"/>
      <c r="AH264" s="433"/>
      <c r="AI264" s="337"/>
      <c r="AJ264" s="337"/>
      <c r="AK264" s="337"/>
      <c r="AL264" s="433"/>
      <c r="AM264" s="433"/>
      <c r="AN264" s="433"/>
      <c r="AO264" s="434"/>
      <c r="AP264" s="434"/>
      <c r="AQ264" s="434"/>
      <c r="AR264" s="433"/>
      <c r="AS264" s="337"/>
      <c r="AT264" s="435"/>
      <c r="AU264" s="337" t="s">
        <v>3817</v>
      </c>
      <c r="AV264" s="337"/>
      <c r="AW264" s="436">
        <v>45719</v>
      </c>
      <c r="AX264" s="337"/>
      <c r="AY264" s="433"/>
      <c r="AZ264" s="337"/>
      <c r="BA264" s="337"/>
      <c r="BB264" s="337"/>
      <c r="BC264" s="337"/>
      <c r="BD264" s="337"/>
      <c r="BE264" s="442"/>
      <c r="BF264" s="337"/>
      <c r="BG264" s="337"/>
      <c r="BH264" s="337"/>
      <c r="BI264" s="337"/>
      <c r="BJ264" s="337"/>
      <c r="BK264" s="337"/>
      <c r="BL264" s="337"/>
      <c r="BM264" s="429"/>
      <c r="BN264" s="115" t="s">
        <v>18</v>
      </c>
      <c r="BO264" s="433"/>
      <c r="BP264" s="433"/>
      <c r="BQ264" s="337"/>
      <c r="BR264" s="337">
        <v>8</v>
      </c>
      <c r="BS264" s="337"/>
      <c r="BT264" s="337"/>
      <c r="BU264" s="337"/>
      <c r="BV264" s="337"/>
      <c r="BW264" s="337"/>
      <c r="BX264" s="337"/>
      <c r="BY264" s="337"/>
      <c r="BZ264" s="337"/>
      <c r="CA264" s="337"/>
      <c r="CB264" s="337"/>
      <c r="CC264" s="337"/>
      <c r="CD264" s="337"/>
      <c r="CE264" s="337"/>
      <c r="CF264" s="337"/>
      <c r="CG264" s="337"/>
      <c r="CH264" s="437">
        <v>0</v>
      </c>
      <c r="CI264" s="91"/>
      <c r="CJ264" s="91"/>
      <c r="CK264" s="91" t="s">
        <v>809</v>
      </c>
    </row>
    <row r="265" spans="1:89" ht="21.75" customHeight="1">
      <c r="A265" s="330">
        <v>268</v>
      </c>
      <c r="B265" s="330" t="s">
        <v>3818</v>
      </c>
      <c r="C265" s="330" t="s">
        <v>3819</v>
      </c>
      <c r="D265" s="330"/>
      <c r="E265" s="330" t="s">
        <v>3820</v>
      </c>
      <c r="F265" s="330" t="s">
        <v>24</v>
      </c>
      <c r="G265" s="329">
        <v>11</v>
      </c>
      <c r="H265" s="329" t="s">
        <v>55</v>
      </c>
      <c r="I265" s="329" t="s">
        <v>43</v>
      </c>
      <c r="J265" s="329" t="s">
        <v>602</v>
      </c>
      <c r="K265" s="329" t="s">
        <v>3821</v>
      </c>
      <c r="L265" s="337"/>
      <c r="M265" s="337"/>
      <c r="N265" s="331"/>
      <c r="O265" s="331" t="s">
        <v>151</v>
      </c>
      <c r="P265" s="331"/>
      <c r="Q265" s="329"/>
      <c r="R265" s="330" t="s">
        <v>3822</v>
      </c>
      <c r="S265" s="330" t="s">
        <v>3823</v>
      </c>
      <c r="T265" s="356" t="s">
        <v>3824</v>
      </c>
      <c r="U265" s="330" t="s">
        <v>3825</v>
      </c>
      <c r="V265" s="332">
        <v>32091</v>
      </c>
      <c r="W265" s="391" t="s">
        <v>3826</v>
      </c>
      <c r="X265" s="333"/>
      <c r="Y265" s="331"/>
      <c r="Z265" s="331"/>
      <c r="AA265" s="329"/>
      <c r="AB265" s="361"/>
      <c r="AC265" s="361">
        <v>45719</v>
      </c>
      <c r="AD265" s="329"/>
      <c r="AE265" s="329" t="s">
        <v>3827</v>
      </c>
      <c r="AF265" s="329" t="s">
        <v>3828</v>
      </c>
      <c r="AG265" s="329"/>
      <c r="AH265" s="334">
        <v>2</v>
      </c>
      <c r="AI265" s="329" t="s">
        <v>161</v>
      </c>
      <c r="AJ265" s="329" t="s">
        <v>161</v>
      </c>
      <c r="AK265" s="329"/>
      <c r="AL265" s="334"/>
      <c r="AM265" s="334"/>
      <c r="AN265" s="334"/>
      <c r="AO265" s="335"/>
      <c r="AP265" s="335"/>
      <c r="AQ265" s="335"/>
      <c r="AR265" s="334"/>
      <c r="AS265" s="329"/>
      <c r="AT265" s="424"/>
      <c r="AU265" s="329" t="s">
        <v>3829</v>
      </c>
      <c r="AV265" s="329"/>
      <c r="AW265" s="362">
        <v>45719</v>
      </c>
      <c r="AX265" s="329"/>
      <c r="AY265" s="334"/>
      <c r="AZ265" s="329"/>
      <c r="BA265" s="329"/>
      <c r="BB265" s="329"/>
      <c r="BC265" s="329"/>
      <c r="BD265" s="329"/>
      <c r="BE265" s="441"/>
      <c r="BF265" s="329"/>
      <c r="BG265" s="329"/>
      <c r="BH265" s="329"/>
      <c r="BI265" s="329"/>
      <c r="BJ265" s="329"/>
      <c r="BK265" s="329"/>
      <c r="BL265" s="329"/>
      <c r="BM265" s="332"/>
      <c r="BN265" s="363" t="s">
        <v>17</v>
      </c>
      <c r="BO265" s="334"/>
      <c r="BP265" s="334"/>
      <c r="BQ265" s="329"/>
      <c r="BR265" s="444">
        <v>3</v>
      </c>
      <c r="BS265" s="329"/>
      <c r="BT265" s="329"/>
      <c r="BU265" s="329"/>
      <c r="BV265" s="329"/>
      <c r="BW265" s="329"/>
      <c r="BX265" s="329"/>
      <c r="BY265" s="329"/>
      <c r="BZ265" s="329"/>
      <c r="CA265" s="329"/>
      <c r="CB265" s="329"/>
      <c r="CC265" s="329"/>
      <c r="CD265" s="329"/>
      <c r="CE265" s="329"/>
      <c r="CF265" s="329"/>
      <c r="CG265" s="329"/>
      <c r="CH265" s="380">
        <v>1</v>
      </c>
      <c r="CI265" s="382"/>
      <c r="CJ265" s="382"/>
      <c r="CK265" s="382" t="s">
        <v>3747</v>
      </c>
    </row>
    <row r="266" spans="1:89" ht="23.25" customHeight="1">
      <c r="A266" s="443">
        <v>269</v>
      </c>
      <c r="B266" s="443" t="s">
        <v>3830</v>
      </c>
      <c r="C266" s="443" t="s">
        <v>3831</v>
      </c>
      <c r="D266" s="443" t="s">
        <v>3832</v>
      </c>
      <c r="E266" s="443" t="s">
        <v>3833</v>
      </c>
      <c r="F266" s="443" t="s">
        <v>24</v>
      </c>
      <c r="G266" s="444">
        <v>11</v>
      </c>
      <c r="H266" s="444" t="s">
        <v>59</v>
      </c>
      <c r="I266" s="444" t="s">
        <v>40</v>
      </c>
      <c r="J266" s="444" t="s">
        <v>3834</v>
      </c>
      <c r="K266" s="444" t="s">
        <v>3835</v>
      </c>
      <c r="L266" s="445"/>
      <c r="M266" s="445"/>
      <c r="N266" s="446"/>
      <c r="O266" s="446" t="s">
        <v>151</v>
      </c>
      <c r="P266" s="446"/>
      <c r="Q266" s="444"/>
      <c r="R266" s="443" t="s">
        <v>3836</v>
      </c>
      <c r="S266" s="443" t="s">
        <v>3837</v>
      </c>
      <c r="T266" s="447" t="s">
        <v>3838</v>
      </c>
      <c r="U266" s="443" t="s">
        <v>3839</v>
      </c>
      <c r="V266" s="448">
        <v>30939</v>
      </c>
      <c r="W266" s="449" t="s">
        <v>3840</v>
      </c>
      <c r="X266" s="450" t="s">
        <v>3575</v>
      </c>
      <c r="Y266" s="446"/>
      <c r="Z266" s="446"/>
      <c r="AA266" s="444"/>
      <c r="AB266" s="451">
        <v>45777</v>
      </c>
      <c r="AC266" s="361">
        <v>45719</v>
      </c>
      <c r="AD266" s="444"/>
      <c r="AE266" s="444" t="s">
        <v>3802</v>
      </c>
      <c r="AF266" s="444" t="s">
        <v>3841</v>
      </c>
      <c r="AG266" s="444" t="s">
        <v>3842</v>
      </c>
      <c r="AH266" s="452">
        <v>3</v>
      </c>
      <c r="AI266" s="444" t="s">
        <v>162</v>
      </c>
      <c r="AJ266" s="444" t="s">
        <v>161</v>
      </c>
      <c r="AK266" s="444" t="s">
        <v>202</v>
      </c>
      <c r="AL266" s="452"/>
      <c r="AM266" s="452"/>
      <c r="AN266" s="452"/>
      <c r="AO266" s="453"/>
      <c r="AP266" s="453"/>
      <c r="AQ266" s="453"/>
      <c r="AR266" s="452"/>
      <c r="AS266" s="444"/>
      <c r="AT266" s="454"/>
      <c r="AU266" s="444" t="s">
        <v>3843</v>
      </c>
      <c r="AV266" s="444"/>
      <c r="AW266" s="455">
        <v>45719</v>
      </c>
      <c r="AX266" s="444"/>
      <c r="AY266" s="452"/>
      <c r="AZ266" s="444"/>
      <c r="BA266" s="444"/>
      <c r="BB266" s="444"/>
      <c r="BC266" s="439"/>
      <c r="BD266" s="439"/>
      <c r="BE266" s="440" t="s">
        <v>3844</v>
      </c>
      <c r="BF266" s="444"/>
      <c r="BG266" s="444"/>
      <c r="BH266" s="444"/>
      <c r="BI266" s="444"/>
      <c r="BJ266" s="444"/>
      <c r="BK266" s="444"/>
      <c r="BL266" s="444"/>
      <c r="BM266" s="448"/>
      <c r="BN266" s="456" t="s">
        <v>17</v>
      </c>
      <c r="BO266" s="452"/>
      <c r="BP266" s="452"/>
      <c r="BQ266" s="457"/>
      <c r="BR266" s="329">
        <v>16</v>
      </c>
      <c r="BS266" s="472"/>
      <c r="BT266" s="444"/>
      <c r="BU266" s="444"/>
      <c r="BV266" s="444"/>
      <c r="BW266" s="444"/>
      <c r="BX266" s="444"/>
      <c r="BY266" s="444"/>
      <c r="BZ266" s="444"/>
      <c r="CA266" s="444"/>
      <c r="CB266" s="444"/>
      <c r="CC266" s="444"/>
      <c r="CD266" s="444"/>
      <c r="CE266" s="444"/>
      <c r="CF266" s="444"/>
      <c r="CG266" s="444"/>
      <c r="CH266" s="457">
        <v>3</v>
      </c>
      <c r="CI266" s="458"/>
      <c r="CJ266" s="458"/>
      <c r="CK266" s="458" t="s">
        <v>809</v>
      </c>
    </row>
    <row r="267" spans="1:89" ht="20.25" customHeight="1">
      <c r="A267" s="474">
        <v>270</v>
      </c>
      <c r="B267" s="460" t="s">
        <v>3845</v>
      </c>
      <c r="C267" s="460" t="s">
        <v>3846</v>
      </c>
      <c r="D267" s="460"/>
      <c r="E267" s="460" t="s">
        <v>3847</v>
      </c>
      <c r="F267" s="460" t="s">
        <v>25</v>
      </c>
      <c r="G267" s="459">
        <v>12</v>
      </c>
      <c r="H267" s="460" t="s">
        <v>59</v>
      </c>
      <c r="I267" s="460" t="s">
        <v>40</v>
      </c>
      <c r="J267" s="484" t="s">
        <v>1128</v>
      </c>
      <c r="K267" s="460"/>
      <c r="L267" s="459"/>
      <c r="M267" s="459"/>
      <c r="N267" s="463"/>
      <c r="O267" s="475" t="s">
        <v>151</v>
      </c>
      <c r="P267" s="463"/>
      <c r="Q267" s="459"/>
      <c r="R267" s="476" t="s">
        <v>3848</v>
      </c>
      <c r="S267" s="477" t="s">
        <v>3849</v>
      </c>
      <c r="T267" s="478"/>
      <c r="U267" s="460" t="s">
        <v>3850</v>
      </c>
      <c r="V267" s="461">
        <v>34635</v>
      </c>
      <c r="W267" s="462" t="s">
        <v>3851</v>
      </c>
      <c r="X267" s="471" t="s">
        <v>156</v>
      </c>
      <c r="Y267" s="463"/>
      <c r="Z267" s="463"/>
      <c r="AA267" s="459"/>
      <c r="AB267" s="459"/>
      <c r="AC267" s="485">
        <v>46083</v>
      </c>
      <c r="AD267" s="464"/>
      <c r="AE267" s="459"/>
      <c r="AF267" s="459"/>
      <c r="AG267" s="459"/>
      <c r="AH267" s="465"/>
      <c r="AI267" s="464"/>
      <c r="AJ267" s="459"/>
      <c r="AK267" s="459"/>
      <c r="AL267" s="465"/>
      <c r="AM267" s="465"/>
      <c r="AN267" s="465"/>
      <c r="AO267" s="466"/>
      <c r="AP267" s="467" t="s">
        <v>3852</v>
      </c>
      <c r="AQ267" s="466"/>
      <c r="AR267" s="465"/>
      <c r="AS267" s="459"/>
      <c r="AT267" s="468"/>
      <c r="AU267" s="479" t="s">
        <v>3853</v>
      </c>
      <c r="AV267" s="459"/>
      <c r="AW267" s="480">
        <v>46083</v>
      </c>
      <c r="AX267" s="459"/>
      <c r="AY267" s="465"/>
      <c r="AZ267" s="459"/>
      <c r="BA267" s="459"/>
      <c r="BB267" s="459"/>
      <c r="BC267" s="459"/>
      <c r="BD267" s="459"/>
      <c r="BE267" s="459"/>
      <c r="BF267" s="459"/>
      <c r="BG267" s="464"/>
      <c r="BH267" s="459"/>
      <c r="BI267" s="459"/>
      <c r="BJ267" s="459"/>
      <c r="BK267" s="459"/>
      <c r="BL267" s="459"/>
      <c r="BM267" s="469"/>
      <c r="BN267" s="479" t="s">
        <v>17</v>
      </c>
      <c r="BO267" s="470"/>
      <c r="BP267" s="465"/>
      <c r="BQ267" s="464"/>
      <c r="BR267" s="460">
        <v>10</v>
      </c>
      <c r="BS267" s="473"/>
      <c r="BT267" s="459"/>
      <c r="BU267" s="459"/>
      <c r="BV267" s="459"/>
      <c r="BW267" s="464"/>
      <c r="BX267" s="459"/>
      <c r="BY267" s="459"/>
      <c r="BZ267" s="459"/>
      <c r="CA267" s="459"/>
      <c r="CB267" s="459"/>
      <c r="CC267" s="464"/>
      <c r="CD267" s="459"/>
      <c r="CE267" s="459"/>
      <c r="CF267" s="459"/>
      <c r="CG267" s="459"/>
      <c r="CH267" s="459"/>
      <c r="CI267" s="464"/>
      <c r="CJ267" s="459"/>
      <c r="CK267" s="459"/>
    </row>
    <row r="268" spans="1:89" ht="20.25" customHeight="1">
      <c r="A268" s="481">
        <v>271</v>
      </c>
      <c r="B268" s="460" t="s">
        <v>3854</v>
      </c>
      <c r="C268" s="460" t="s">
        <v>3855</v>
      </c>
      <c r="D268" s="460"/>
      <c r="E268" s="460" t="s">
        <v>3856</v>
      </c>
      <c r="F268" s="460" t="s">
        <v>24</v>
      </c>
      <c r="G268" s="459">
        <v>12</v>
      </c>
      <c r="H268" s="460" t="s">
        <v>58</v>
      </c>
      <c r="I268" s="460" t="s">
        <v>45</v>
      </c>
      <c r="J268" s="484" t="s">
        <v>602</v>
      </c>
      <c r="K268" s="460" t="s">
        <v>3294</v>
      </c>
      <c r="L268" s="459"/>
      <c r="M268" s="459"/>
      <c r="N268" s="463"/>
      <c r="O268" s="475" t="s">
        <v>151</v>
      </c>
      <c r="P268" s="463"/>
      <c r="Q268" s="459"/>
      <c r="R268" s="476" t="s">
        <v>3857</v>
      </c>
      <c r="S268" s="477" t="s">
        <v>3858</v>
      </c>
      <c r="T268" s="478"/>
      <c r="U268" s="482" t="s">
        <v>3859</v>
      </c>
      <c r="V268" s="461">
        <v>33459</v>
      </c>
      <c r="W268" s="462" t="s">
        <v>3860</v>
      </c>
      <c r="X268" s="471" t="s">
        <v>3575</v>
      </c>
      <c r="Y268" s="463"/>
      <c r="Z268" s="463"/>
      <c r="AA268" s="459"/>
      <c r="AB268" s="459"/>
      <c r="AC268" s="485">
        <v>46083</v>
      </c>
      <c r="AD268" s="464"/>
      <c r="AE268" s="459"/>
      <c r="AF268" s="459"/>
      <c r="AG268" s="459"/>
      <c r="AH268" s="465"/>
      <c r="AI268" s="464"/>
      <c r="AJ268" s="459"/>
      <c r="AK268" s="459"/>
      <c r="AL268" s="465"/>
      <c r="AM268" s="465"/>
      <c r="AN268" s="465"/>
      <c r="AO268" s="466"/>
      <c r="AP268" s="467" t="s">
        <v>203</v>
      </c>
      <c r="AQ268" s="466"/>
      <c r="AR268" s="465"/>
      <c r="AS268" s="459"/>
      <c r="AT268" s="468"/>
      <c r="AU268" s="483" t="s">
        <v>3861</v>
      </c>
      <c r="AV268" s="459"/>
      <c r="AW268" s="480">
        <v>46083</v>
      </c>
      <c r="AX268" s="459"/>
      <c r="AY268" s="465"/>
      <c r="AZ268" s="459"/>
      <c r="BA268" s="459"/>
      <c r="BB268" s="459"/>
      <c r="BC268" s="459"/>
      <c r="BD268" s="459"/>
      <c r="BE268" s="459"/>
      <c r="BF268" s="459"/>
      <c r="BG268" s="464"/>
      <c r="BH268" s="459"/>
      <c r="BI268" s="459"/>
      <c r="BJ268" s="459"/>
      <c r="BK268" s="459"/>
      <c r="BL268" s="459"/>
      <c r="BM268" s="469"/>
      <c r="BN268" s="479" t="s">
        <v>17</v>
      </c>
      <c r="BO268" s="470"/>
      <c r="BP268" s="465"/>
      <c r="BQ268" s="464"/>
      <c r="BR268" s="460">
        <v>6</v>
      </c>
      <c r="BS268" s="473"/>
      <c r="BT268" s="459"/>
      <c r="BU268" s="459"/>
      <c r="BV268" s="459"/>
      <c r="BW268" s="464"/>
      <c r="BX268" s="459"/>
      <c r="BY268" s="459"/>
      <c r="BZ268" s="459"/>
      <c r="CA268" s="459"/>
      <c r="CB268" s="459"/>
      <c r="CC268" s="464"/>
      <c r="CD268" s="459"/>
      <c r="CE268" s="459"/>
      <c r="CF268" s="459"/>
      <c r="CG268" s="459"/>
      <c r="CH268" s="459"/>
      <c r="CI268" s="464"/>
      <c r="CJ268" s="459"/>
      <c r="CK268" s="459"/>
    </row>
    <row r="269" spans="1:89" ht="20.25" customHeight="1">
      <c r="A269" s="474">
        <v>272</v>
      </c>
      <c r="B269" s="460" t="s">
        <v>3862</v>
      </c>
      <c r="C269" s="460" t="s">
        <v>3863</v>
      </c>
      <c r="D269" s="460" t="s">
        <v>3864</v>
      </c>
      <c r="E269" s="460" t="s">
        <v>3865</v>
      </c>
      <c r="F269" s="460" t="s">
        <v>25</v>
      </c>
      <c r="G269" s="459">
        <v>12</v>
      </c>
      <c r="H269" s="460" t="s">
        <v>54</v>
      </c>
      <c r="I269" s="460" t="s">
        <v>31</v>
      </c>
      <c r="J269" s="484" t="s">
        <v>936</v>
      </c>
      <c r="K269" s="460" t="s">
        <v>3866</v>
      </c>
      <c r="L269" s="459"/>
      <c r="M269" s="459"/>
      <c r="N269" s="463"/>
      <c r="O269" s="475" t="s">
        <v>322</v>
      </c>
      <c r="P269" s="463"/>
      <c r="Q269" s="459"/>
      <c r="R269" s="476" t="s">
        <v>3867</v>
      </c>
      <c r="S269" s="477" t="s">
        <v>3868</v>
      </c>
      <c r="T269" s="478"/>
      <c r="U269" s="460" t="s">
        <v>3869</v>
      </c>
      <c r="V269" s="461">
        <v>35044</v>
      </c>
      <c r="W269" s="462" t="s">
        <v>3870</v>
      </c>
      <c r="X269" s="471" t="s">
        <v>3575</v>
      </c>
      <c r="Y269" s="463"/>
      <c r="Z269" s="463"/>
      <c r="AA269" s="459"/>
      <c r="AB269" s="459"/>
      <c r="AC269" s="485">
        <v>46083</v>
      </c>
      <c r="AD269" s="464"/>
      <c r="AE269" s="459"/>
      <c r="AF269" s="459"/>
      <c r="AG269" s="459"/>
      <c r="AH269" s="465"/>
      <c r="AI269" s="464"/>
      <c r="AJ269" s="459"/>
      <c r="AK269" s="459"/>
      <c r="AL269" s="465"/>
      <c r="AM269" s="465"/>
      <c r="AN269" s="465"/>
      <c r="AO269" s="466"/>
      <c r="AP269" s="467" t="s">
        <v>181</v>
      </c>
      <c r="AQ269" s="466"/>
      <c r="AR269" s="465"/>
      <c r="AS269" s="459"/>
      <c r="AT269" s="468"/>
      <c r="AU269" s="479" t="s">
        <v>3871</v>
      </c>
      <c r="AV269" s="459"/>
      <c r="AW269" s="480">
        <v>46083</v>
      </c>
      <c r="AX269" s="459"/>
      <c r="AY269" s="465"/>
      <c r="AZ269" s="459"/>
      <c r="BA269" s="459"/>
      <c r="BB269" s="459"/>
      <c r="BC269" s="459"/>
      <c r="BD269" s="459"/>
      <c r="BE269" s="459"/>
      <c r="BF269" s="459"/>
      <c r="BG269" s="464"/>
      <c r="BH269" s="459"/>
      <c r="BI269" s="459"/>
      <c r="BJ269" s="459"/>
      <c r="BK269" s="459"/>
      <c r="BL269" s="459"/>
      <c r="BM269" s="469"/>
      <c r="BN269" s="479" t="s">
        <v>17</v>
      </c>
      <c r="BO269" s="470"/>
      <c r="BP269" s="465"/>
      <c r="BQ269" s="464"/>
      <c r="BR269" s="460">
        <v>1</v>
      </c>
      <c r="BS269" s="473"/>
      <c r="BT269" s="459"/>
      <c r="BU269" s="459"/>
      <c r="BV269" s="459"/>
      <c r="BW269" s="464"/>
      <c r="BX269" s="459"/>
      <c r="BY269" s="459"/>
      <c r="BZ269" s="459"/>
      <c r="CA269" s="459"/>
      <c r="CB269" s="459"/>
      <c r="CC269" s="464"/>
      <c r="CD269" s="459"/>
      <c r="CE269" s="459"/>
      <c r="CF269" s="459"/>
      <c r="CG269" s="459"/>
      <c r="CH269" s="459"/>
      <c r="CI269" s="464"/>
      <c r="CJ269" s="459"/>
      <c r="CK269" s="459"/>
    </row>
    <row r="270" spans="1:89" ht="20.25" customHeight="1">
      <c r="A270" s="481">
        <v>273</v>
      </c>
      <c r="B270" s="460" t="s">
        <v>3872</v>
      </c>
      <c r="C270" s="460" t="s">
        <v>3873</v>
      </c>
      <c r="D270" s="460"/>
      <c r="E270" s="460" t="s">
        <v>3874</v>
      </c>
      <c r="F270" s="460" t="s">
        <v>24</v>
      </c>
      <c r="G270" s="459">
        <v>12</v>
      </c>
      <c r="H270" s="460" t="s">
        <v>55</v>
      </c>
      <c r="I270" s="460" t="s">
        <v>43</v>
      </c>
      <c r="J270" s="484" t="s">
        <v>3875</v>
      </c>
      <c r="K270" s="460" t="s">
        <v>3876</v>
      </c>
      <c r="L270" s="459"/>
      <c r="M270" s="459"/>
      <c r="N270" s="463"/>
      <c r="O270" s="475" t="s">
        <v>151</v>
      </c>
      <c r="P270" s="463"/>
      <c r="Q270" s="459"/>
      <c r="R270" s="476" t="s">
        <v>3877</v>
      </c>
      <c r="S270" s="477" t="s">
        <v>3878</v>
      </c>
      <c r="T270" s="478"/>
      <c r="U270" s="460">
        <v>2017</v>
      </c>
      <c r="V270" s="461">
        <v>31413</v>
      </c>
      <c r="W270" s="462" t="s">
        <v>3879</v>
      </c>
      <c r="X270" s="471" t="s">
        <v>3575</v>
      </c>
      <c r="Y270" s="463"/>
      <c r="Z270" s="463"/>
      <c r="AA270" s="459"/>
      <c r="AB270" s="459"/>
      <c r="AC270" s="485">
        <v>46083</v>
      </c>
      <c r="AD270" s="464"/>
      <c r="AE270" s="459"/>
      <c r="AF270" s="459"/>
      <c r="AG270" s="459"/>
      <c r="AH270" s="465"/>
      <c r="AI270" s="464"/>
      <c r="AJ270" s="459"/>
      <c r="AK270" s="459"/>
      <c r="AL270" s="465"/>
      <c r="AM270" s="465"/>
      <c r="AN270" s="465"/>
      <c r="AO270" s="466"/>
      <c r="AP270" s="467" t="s">
        <v>181</v>
      </c>
      <c r="AQ270" s="466"/>
      <c r="AR270" s="465"/>
      <c r="AS270" s="459"/>
      <c r="AT270" s="468"/>
      <c r="AU270" s="483" t="s">
        <v>3880</v>
      </c>
      <c r="AV270" s="459"/>
      <c r="AW270" s="480">
        <v>46083</v>
      </c>
      <c r="AX270" s="459"/>
      <c r="AY270" s="465"/>
      <c r="AZ270" s="459"/>
      <c r="BA270" s="459"/>
      <c r="BB270" s="459"/>
      <c r="BC270" s="459"/>
      <c r="BD270" s="459"/>
      <c r="BE270" s="459"/>
      <c r="BF270" s="459"/>
      <c r="BG270" s="464"/>
      <c r="BH270" s="459"/>
      <c r="BI270" s="459"/>
      <c r="BJ270" s="459"/>
      <c r="BK270" s="459"/>
      <c r="BL270" s="459"/>
      <c r="BM270" s="469"/>
      <c r="BN270" s="479" t="s">
        <v>17</v>
      </c>
      <c r="BO270" s="470"/>
      <c r="BP270" s="465"/>
      <c r="BQ270" s="464"/>
      <c r="BR270" s="460">
        <v>4</v>
      </c>
      <c r="BS270" s="473"/>
      <c r="BT270" s="459"/>
      <c r="BU270" s="459"/>
      <c r="BV270" s="459"/>
      <c r="BW270" s="464"/>
      <c r="BX270" s="459"/>
      <c r="BY270" s="459"/>
      <c r="BZ270" s="459"/>
      <c r="CA270" s="459"/>
      <c r="CB270" s="459"/>
      <c r="CC270" s="464"/>
      <c r="CD270" s="459"/>
      <c r="CE270" s="459"/>
      <c r="CF270" s="459"/>
      <c r="CG270" s="459"/>
      <c r="CH270" s="459"/>
      <c r="CI270" s="464"/>
      <c r="CJ270" s="459"/>
      <c r="CK270" s="459"/>
    </row>
    <row r="271" spans="1:89" ht="20.25" customHeight="1">
      <c r="A271" s="474">
        <v>274</v>
      </c>
      <c r="B271" s="460" t="s">
        <v>3881</v>
      </c>
      <c r="C271" s="460" t="s">
        <v>2286</v>
      </c>
      <c r="D271" s="460"/>
      <c r="E271" s="460" t="s">
        <v>3882</v>
      </c>
      <c r="F271" s="460" t="s">
        <v>24</v>
      </c>
      <c r="G271" s="459">
        <v>12</v>
      </c>
      <c r="H271" s="460" t="s">
        <v>53</v>
      </c>
      <c r="I271" s="460" t="s">
        <v>48</v>
      </c>
      <c r="J271" s="484" t="s">
        <v>1421</v>
      </c>
      <c r="K271" s="460"/>
      <c r="L271" s="459"/>
      <c r="M271" s="459"/>
      <c r="N271" s="463"/>
      <c r="O271" s="475" t="s">
        <v>322</v>
      </c>
      <c r="P271" s="463"/>
      <c r="Q271" s="459"/>
      <c r="R271" s="476" t="s">
        <v>3883</v>
      </c>
      <c r="S271" s="477" t="s">
        <v>3884</v>
      </c>
      <c r="T271" s="478"/>
      <c r="U271" s="460" t="s">
        <v>3885</v>
      </c>
      <c r="V271" s="461">
        <v>31905</v>
      </c>
      <c r="W271" s="462" t="s">
        <v>3886</v>
      </c>
      <c r="X271" s="471" t="s">
        <v>3575</v>
      </c>
      <c r="Y271" s="463"/>
      <c r="Z271" s="463"/>
      <c r="AA271" s="459"/>
      <c r="AB271" s="459"/>
      <c r="AC271" s="485">
        <v>46083</v>
      </c>
      <c r="AD271" s="464"/>
      <c r="AE271" s="459"/>
      <c r="AF271" s="459"/>
      <c r="AG271" s="459"/>
      <c r="AH271" s="465"/>
      <c r="AI271" s="464"/>
      <c r="AJ271" s="459"/>
      <c r="AK271" s="459"/>
      <c r="AL271" s="465"/>
      <c r="AM271" s="465"/>
      <c r="AN271" s="465"/>
      <c r="AO271" s="466"/>
      <c r="AP271" s="467" t="s">
        <v>203</v>
      </c>
      <c r="AQ271" s="466"/>
      <c r="AR271" s="465"/>
      <c r="AS271" s="459"/>
      <c r="AT271" s="468"/>
      <c r="AU271" s="479" t="s">
        <v>3887</v>
      </c>
      <c r="AV271" s="459"/>
      <c r="AW271" s="480">
        <v>46083</v>
      </c>
      <c r="AX271" s="459"/>
      <c r="AY271" s="465"/>
      <c r="AZ271" s="459"/>
      <c r="BA271" s="459"/>
      <c r="BB271" s="459"/>
      <c r="BC271" s="459"/>
      <c r="BD271" s="459"/>
      <c r="BE271" s="459"/>
      <c r="BF271" s="459"/>
      <c r="BG271" s="464"/>
      <c r="BH271" s="459"/>
      <c r="BI271" s="459"/>
      <c r="BJ271" s="459"/>
      <c r="BK271" s="459"/>
      <c r="BL271" s="459"/>
      <c r="BM271" s="469"/>
      <c r="BN271" s="479" t="s">
        <v>17</v>
      </c>
      <c r="BO271" s="470"/>
      <c r="BP271" s="465"/>
      <c r="BQ271" s="464"/>
      <c r="BR271" s="460">
        <v>4</v>
      </c>
      <c r="BS271" s="473"/>
      <c r="BT271" s="459"/>
      <c r="BU271" s="459"/>
      <c r="BV271" s="459"/>
      <c r="BW271" s="464"/>
      <c r="BX271" s="459"/>
      <c r="BY271" s="459"/>
      <c r="BZ271" s="459"/>
      <c r="CA271" s="459"/>
      <c r="CB271" s="459"/>
      <c r="CC271" s="464"/>
      <c r="CD271" s="459"/>
      <c r="CE271" s="459"/>
      <c r="CF271" s="459"/>
      <c r="CG271" s="459"/>
      <c r="CH271" s="459"/>
      <c r="CI271" s="464"/>
      <c r="CJ271" s="459"/>
      <c r="CK271" s="459"/>
    </row>
    <row r="272" spans="1:89" ht="20.25" customHeight="1">
      <c r="A272" s="481">
        <v>275</v>
      </c>
      <c r="B272" s="460" t="s">
        <v>3888</v>
      </c>
      <c r="C272" s="460" t="s">
        <v>1599</v>
      </c>
      <c r="D272" s="460"/>
      <c r="E272" s="460" t="s">
        <v>3889</v>
      </c>
      <c r="F272" s="460" t="s">
        <v>24</v>
      </c>
      <c r="G272" s="459">
        <v>12</v>
      </c>
      <c r="H272" s="460" t="s">
        <v>60</v>
      </c>
      <c r="I272" s="460" t="s">
        <v>35</v>
      </c>
      <c r="J272" s="484" t="s">
        <v>3890</v>
      </c>
      <c r="K272" s="460" t="s">
        <v>3891</v>
      </c>
      <c r="L272" s="459"/>
      <c r="M272" s="459"/>
      <c r="N272" s="463"/>
      <c r="O272" s="475" t="s">
        <v>322</v>
      </c>
      <c r="P272" s="463"/>
      <c r="Q272" s="459"/>
      <c r="R272" s="476" t="s">
        <v>3892</v>
      </c>
      <c r="S272" s="477" t="s">
        <v>3893</v>
      </c>
      <c r="T272" s="478"/>
      <c r="U272" s="482" t="s">
        <v>3894</v>
      </c>
      <c r="V272" s="461">
        <v>30496</v>
      </c>
      <c r="W272" s="462" t="s">
        <v>3895</v>
      </c>
      <c r="X272" s="471" t="s">
        <v>3686</v>
      </c>
      <c r="Y272" s="463"/>
      <c r="Z272" s="463"/>
      <c r="AA272" s="459"/>
      <c r="AB272" s="459"/>
      <c r="AC272" s="485">
        <v>46083</v>
      </c>
      <c r="AD272" s="464"/>
      <c r="AE272" s="459"/>
      <c r="AF272" s="459"/>
      <c r="AG272" s="459"/>
      <c r="AH272" s="465"/>
      <c r="AI272" s="464"/>
      <c r="AJ272" s="459"/>
      <c r="AK272" s="459"/>
      <c r="AL272" s="465"/>
      <c r="AM272" s="465"/>
      <c r="AN272" s="465"/>
      <c r="AO272" s="466"/>
      <c r="AP272" s="467" t="s">
        <v>181</v>
      </c>
      <c r="AQ272" s="466"/>
      <c r="AR272" s="465"/>
      <c r="AS272" s="459"/>
      <c r="AT272" s="468"/>
      <c r="AU272" s="479" t="s">
        <v>3896</v>
      </c>
      <c r="AV272" s="459"/>
      <c r="AW272" s="480">
        <v>46083</v>
      </c>
      <c r="AX272" s="459"/>
      <c r="AY272" s="465"/>
      <c r="AZ272" s="459"/>
      <c r="BA272" s="459"/>
      <c r="BB272" s="459"/>
      <c r="BC272" s="459"/>
      <c r="BD272" s="459"/>
      <c r="BE272" s="459"/>
      <c r="BF272" s="459"/>
      <c r="BG272" s="464"/>
      <c r="BH272" s="459"/>
      <c r="BI272" s="459"/>
      <c r="BJ272" s="459"/>
      <c r="BK272" s="459"/>
      <c r="BL272" s="459"/>
      <c r="BM272" s="469"/>
      <c r="BN272" s="479" t="s">
        <v>17</v>
      </c>
      <c r="BO272" s="470"/>
      <c r="BP272" s="465"/>
      <c r="BQ272" s="464"/>
      <c r="BR272" s="460">
        <v>5</v>
      </c>
      <c r="BS272" s="473"/>
      <c r="BT272" s="459"/>
      <c r="BU272" s="459"/>
      <c r="BV272" s="459"/>
      <c r="BW272" s="464"/>
      <c r="BX272" s="459"/>
      <c r="BY272" s="459"/>
      <c r="BZ272" s="459"/>
      <c r="CA272" s="459"/>
      <c r="CB272" s="459"/>
      <c r="CC272" s="464"/>
      <c r="CD272" s="459"/>
      <c r="CE272" s="459"/>
      <c r="CF272" s="459"/>
      <c r="CG272" s="459"/>
      <c r="CH272" s="459"/>
      <c r="CI272" s="464"/>
      <c r="CJ272" s="459"/>
      <c r="CK272" s="459"/>
    </row>
    <row r="273" spans="1:89" ht="20.25" customHeight="1">
      <c r="A273" s="474">
        <v>276</v>
      </c>
      <c r="B273" s="460" t="s">
        <v>3897</v>
      </c>
      <c r="C273" s="460" t="s">
        <v>3898</v>
      </c>
      <c r="D273" s="460"/>
      <c r="E273" s="460" t="s">
        <v>3899</v>
      </c>
      <c r="F273" s="460" t="s">
        <v>25</v>
      </c>
      <c r="G273" s="459">
        <v>12</v>
      </c>
      <c r="H273" s="460" t="s">
        <v>55</v>
      </c>
      <c r="I273" s="460" t="s">
        <v>43</v>
      </c>
      <c r="J273" s="484" t="s">
        <v>3900</v>
      </c>
      <c r="K273" s="460" t="s">
        <v>2013</v>
      </c>
      <c r="L273" s="459"/>
      <c r="M273" s="459"/>
      <c r="N273" s="463"/>
      <c r="O273" s="475" t="s">
        <v>151</v>
      </c>
      <c r="P273" s="463"/>
      <c r="Q273" s="459"/>
      <c r="R273" s="476" t="s">
        <v>3901</v>
      </c>
      <c r="S273" s="477" t="s">
        <v>3902</v>
      </c>
      <c r="T273" s="478"/>
      <c r="U273" s="460">
        <v>2022</v>
      </c>
      <c r="V273" s="461">
        <v>32173</v>
      </c>
      <c r="W273" s="462" t="s">
        <v>3903</v>
      </c>
      <c r="X273" s="471" t="s">
        <v>3575</v>
      </c>
      <c r="Y273" s="463"/>
      <c r="Z273" s="463"/>
      <c r="AA273" s="459"/>
      <c r="AB273" s="459"/>
      <c r="AC273" s="485">
        <v>46083</v>
      </c>
      <c r="AD273" s="464"/>
      <c r="AE273" s="459"/>
      <c r="AF273" s="459"/>
      <c r="AG273" s="459"/>
      <c r="AH273" s="465"/>
      <c r="AI273" s="464"/>
      <c r="AJ273" s="459"/>
      <c r="AK273" s="459"/>
      <c r="AL273" s="465"/>
      <c r="AM273" s="465"/>
      <c r="AN273" s="465"/>
      <c r="AO273" s="466"/>
      <c r="AP273" s="467" t="s">
        <v>2170</v>
      </c>
      <c r="AQ273" s="466"/>
      <c r="AR273" s="465"/>
      <c r="AS273" s="459"/>
      <c r="AT273" s="468"/>
      <c r="AU273" s="479" t="s">
        <v>3904</v>
      </c>
      <c r="AV273" s="459"/>
      <c r="AW273" s="480">
        <v>46083</v>
      </c>
      <c r="AX273" s="459"/>
      <c r="AY273" s="465"/>
      <c r="AZ273" s="459"/>
      <c r="BA273" s="459"/>
      <c r="BB273" s="459"/>
      <c r="BC273" s="459"/>
      <c r="BD273" s="459"/>
      <c r="BE273" s="459"/>
      <c r="BF273" s="459"/>
      <c r="BG273" s="464"/>
      <c r="BH273" s="459"/>
      <c r="BI273" s="459"/>
      <c r="BJ273" s="459"/>
      <c r="BK273" s="459"/>
      <c r="BL273" s="459"/>
      <c r="BM273" s="469"/>
      <c r="BN273" s="479" t="s">
        <v>17</v>
      </c>
      <c r="BO273" s="470"/>
      <c r="BP273" s="465"/>
      <c r="BQ273" s="464"/>
      <c r="BR273" s="460">
        <v>15</v>
      </c>
      <c r="BS273" s="473"/>
      <c r="BT273" s="459"/>
      <c r="BU273" s="459"/>
      <c r="BV273" s="459"/>
      <c r="BW273" s="464"/>
      <c r="BX273" s="459"/>
      <c r="BY273" s="459"/>
      <c r="BZ273" s="459"/>
      <c r="CA273" s="459"/>
      <c r="CB273" s="459"/>
      <c r="CC273" s="464"/>
      <c r="CD273" s="459"/>
      <c r="CE273" s="459"/>
      <c r="CF273" s="459"/>
      <c r="CG273" s="459"/>
      <c r="CH273" s="459"/>
      <c r="CI273" s="464"/>
      <c r="CJ273" s="459"/>
      <c r="CK273" s="459"/>
    </row>
    <row r="274" spans="1:89" ht="20.25" customHeight="1">
      <c r="A274" s="481">
        <v>277</v>
      </c>
      <c r="B274" s="460" t="s">
        <v>3905</v>
      </c>
      <c r="C274" s="460" t="s">
        <v>3906</v>
      </c>
      <c r="D274" s="460"/>
      <c r="E274" s="460" t="s">
        <v>2558</v>
      </c>
      <c r="F274" s="460" t="s">
        <v>25</v>
      </c>
      <c r="G274" s="459">
        <v>12</v>
      </c>
      <c r="H274" s="460" t="s">
        <v>55</v>
      </c>
      <c r="I274" s="460" t="s">
        <v>43</v>
      </c>
      <c r="J274" s="484" t="s">
        <v>3907</v>
      </c>
      <c r="K274" s="460" t="s">
        <v>3908</v>
      </c>
      <c r="L274" s="459"/>
      <c r="M274" s="459"/>
      <c r="N274" s="463"/>
      <c r="O274" s="475" t="s">
        <v>322</v>
      </c>
      <c r="P274" s="463"/>
      <c r="Q274" s="459"/>
      <c r="R274" s="476" t="s">
        <v>3909</v>
      </c>
      <c r="S274" s="477" t="s">
        <v>3910</v>
      </c>
      <c r="T274" s="478"/>
      <c r="U274" s="460" t="s">
        <v>3911</v>
      </c>
      <c r="V274" s="461">
        <v>32197</v>
      </c>
      <c r="W274" s="462" t="s">
        <v>3912</v>
      </c>
      <c r="X274" s="471" t="s">
        <v>3913</v>
      </c>
      <c r="Y274" s="463"/>
      <c r="Z274" s="463"/>
      <c r="AA274" s="459"/>
      <c r="AB274" s="459"/>
      <c r="AC274" s="485">
        <v>46083</v>
      </c>
      <c r="AD274" s="464"/>
      <c r="AE274" s="459"/>
      <c r="AF274" s="459"/>
      <c r="AG274" s="459"/>
      <c r="AH274" s="465"/>
      <c r="AI274" s="464"/>
      <c r="AJ274" s="459"/>
      <c r="AK274" s="459"/>
      <c r="AL274" s="465"/>
      <c r="AM274" s="465"/>
      <c r="AN274" s="465"/>
      <c r="AO274" s="466"/>
      <c r="AP274" s="467" t="s">
        <v>249</v>
      </c>
      <c r="AQ274" s="466"/>
      <c r="AR274" s="465"/>
      <c r="AS274" s="459"/>
      <c r="AT274" s="468"/>
      <c r="AU274" s="479" t="s">
        <v>3914</v>
      </c>
      <c r="AV274" s="459"/>
      <c r="AW274" s="480">
        <v>46083</v>
      </c>
      <c r="AX274" s="459"/>
      <c r="AY274" s="465"/>
      <c r="AZ274" s="459"/>
      <c r="BA274" s="459"/>
      <c r="BB274" s="459"/>
      <c r="BC274" s="459"/>
      <c r="BD274" s="459"/>
      <c r="BE274" s="459"/>
      <c r="BF274" s="459"/>
      <c r="BG274" s="464"/>
      <c r="BH274" s="459"/>
      <c r="BI274" s="459"/>
      <c r="BJ274" s="459"/>
      <c r="BK274" s="459"/>
      <c r="BL274" s="459"/>
      <c r="BM274" s="469"/>
      <c r="BN274" s="479" t="s">
        <v>17</v>
      </c>
      <c r="BO274" s="470"/>
      <c r="BP274" s="465"/>
      <c r="BQ274" s="464"/>
      <c r="BR274" s="460">
        <v>3</v>
      </c>
      <c r="BS274" s="473"/>
      <c r="BT274" s="459"/>
      <c r="BU274" s="459"/>
      <c r="BV274" s="459"/>
      <c r="BW274" s="464"/>
      <c r="BX274" s="459"/>
      <c r="BY274" s="459"/>
      <c r="BZ274" s="459"/>
      <c r="CA274" s="459"/>
      <c r="CB274" s="459"/>
      <c r="CC274" s="464"/>
      <c r="CD274" s="459"/>
      <c r="CE274" s="459"/>
      <c r="CF274" s="459"/>
      <c r="CG274" s="459"/>
      <c r="CH274" s="459"/>
      <c r="CI274" s="464"/>
      <c r="CJ274" s="459"/>
      <c r="CK274" s="459"/>
    </row>
    <row r="275" spans="1:89" ht="20.25" customHeight="1">
      <c r="A275" s="474">
        <v>278</v>
      </c>
      <c r="B275" s="460" t="s">
        <v>3915</v>
      </c>
      <c r="C275" s="460" t="s">
        <v>3916</v>
      </c>
      <c r="D275" s="460"/>
      <c r="E275" s="460" t="s">
        <v>3917</v>
      </c>
      <c r="F275" s="460" t="s">
        <v>25</v>
      </c>
      <c r="G275" s="459">
        <v>12</v>
      </c>
      <c r="H275" s="460" t="s">
        <v>53</v>
      </c>
      <c r="I275" s="460" t="s">
        <v>36</v>
      </c>
      <c r="J275" s="484" t="s">
        <v>602</v>
      </c>
      <c r="K275" s="460"/>
      <c r="L275" s="459"/>
      <c r="M275" s="459"/>
      <c r="N275" s="463"/>
      <c r="O275" s="475" t="s">
        <v>151</v>
      </c>
      <c r="P275" s="463"/>
      <c r="Q275" s="459"/>
      <c r="R275" s="476" t="s">
        <v>3918</v>
      </c>
      <c r="S275" s="477" t="s">
        <v>3919</v>
      </c>
      <c r="T275" s="478"/>
      <c r="U275" s="460" t="s">
        <v>3920</v>
      </c>
      <c r="V275" s="461">
        <v>34209</v>
      </c>
      <c r="W275" s="462" t="s">
        <v>3921</v>
      </c>
      <c r="X275" s="471" t="s">
        <v>3575</v>
      </c>
      <c r="Y275" s="463"/>
      <c r="Z275" s="463"/>
      <c r="AA275" s="459"/>
      <c r="AB275" s="459"/>
      <c r="AC275" s="485">
        <v>46083</v>
      </c>
      <c r="AD275" s="464"/>
      <c r="AE275" s="459"/>
      <c r="AF275" s="459"/>
      <c r="AG275" s="459"/>
      <c r="AH275" s="465"/>
      <c r="AI275" s="464"/>
      <c r="AJ275" s="459"/>
      <c r="AK275" s="459"/>
      <c r="AL275" s="465"/>
      <c r="AM275" s="465"/>
      <c r="AN275" s="465"/>
      <c r="AO275" s="466"/>
      <c r="AP275" s="467" t="s">
        <v>3922</v>
      </c>
      <c r="AQ275" s="466"/>
      <c r="AR275" s="465"/>
      <c r="AS275" s="459"/>
      <c r="AT275" s="468"/>
      <c r="AU275" s="479" t="s">
        <v>3923</v>
      </c>
      <c r="AV275" s="459"/>
      <c r="AW275" s="480">
        <v>46083</v>
      </c>
      <c r="AX275" s="459"/>
      <c r="AY275" s="465"/>
      <c r="AZ275" s="459"/>
      <c r="BA275" s="459"/>
      <c r="BB275" s="459"/>
      <c r="BC275" s="459"/>
      <c r="BD275" s="459"/>
      <c r="BE275" s="459"/>
      <c r="BF275" s="459"/>
      <c r="BG275" s="464"/>
      <c r="BH275" s="459"/>
      <c r="BI275" s="459"/>
      <c r="BJ275" s="459"/>
      <c r="BK275" s="459"/>
      <c r="BL275" s="459"/>
      <c r="BM275" s="469"/>
      <c r="BN275" s="479" t="s">
        <v>17</v>
      </c>
      <c r="BO275" s="470"/>
      <c r="BP275" s="465"/>
      <c r="BQ275" s="464"/>
      <c r="BR275" s="460">
        <v>4</v>
      </c>
      <c r="BS275" s="473"/>
      <c r="BT275" s="459"/>
      <c r="BU275" s="459"/>
      <c r="BV275" s="459"/>
      <c r="BW275" s="464"/>
      <c r="BX275" s="459"/>
      <c r="BY275" s="459"/>
      <c r="BZ275" s="459"/>
      <c r="CA275" s="459"/>
      <c r="CB275" s="459"/>
      <c r="CC275" s="464"/>
      <c r="CD275" s="459"/>
      <c r="CE275" s="459"/>
      <c r="CF275" s="459"/>
      <c r="CG275" s="459"/>
      <c r="CH275" s="459"/>
      <c r="CI275" s="464"/>
      <c r="CJ275" s="459"/>
      <c r="CK275" s="459"/>
    </row>
    <row r="276" spans="1:89" ht="20.25" customHeight="1">
      <c r="A276" s="481">
        <v>279</v>
      </c>
      <c r="B276" s="460" t="s">
        <v>3924</v>
      </c>
      <c r="C276" s="460" t="s">
        <v>332</v>
      </c>
      <c r="D276" s="460" t="s">
        <v>3925</v>
      </c>
      <c r="E276" s="460" t="s">
        <v>3926</v>
      </c>
      <c r="F276" s="460" t="s">
        <v>25</v>
      </c>
      <c r="G276" s="459">
        <v>12</v>
      </c>
      <c r="H276" s="460" t="s">
        <v>53</v>
      </c>
      <c r="I276" s="460" t="s">
        <v>48</v>
      </c>
      <c r="J276" s="484" t="s">
        <v>3927</v>
      </c>
      <c r="K276" s="482" t="s">
        <v>3928</v>
      </c>
      <c r="L276" s="459"/>
      <c r="M276" s="459"/>
      <c r="N276" s="463"/>
      <c r="O276" s="475" t="s">
        <v>151</v>
      </c>
      <c r="P276" s="463"/>
      <c r="Q276" s="459"/>
      <c r="R276" s="476" t="s">
        <v>3929</v>
      </c>
      <c r="S276" s="477" t="s">
        <v>3930</v>
      </c>
      <c r="T276" s="478"/>
      <c r="U276" s="460" t="s">
        <v>3931</v>
      </c>
      <c r="V276" s="461">
        <v>33814</v>
      </c>
      <c r="W276" s="462" t="s">
        <v>3932</v>
      </c>
      <c r="X276" s="471" t="s">
        <v>156</v>
      </c>
      <c r="Y276" s="463"/>
      <c r="Z276" s="463"/>
      <c r="AA276" s="459"/>
      <c r="AB276" s="459"/>
      <c r="AC276" s="485">
        <v>46083</v>
      </c>
      <c r="AD276" s="464"/>
      <c r="AE276" s="459"/>
      <c r="AF276" s="459"/>
      <c r="AG276" s="459"/>
      <c r="AH276" s="465"/>
      <c r="AI276" s="464"/>
      <c r="AJ276" s="459"/>
      <c r="AK276" s="459"/>
      <c r="AL276" s="465"/>
      <c r="AM276" s="465"/>
      <c r="AN276" s="465"/>
      <c r="AO276" s="466"/>
      <c r="AP276" s="467" t="s">
        <v>3933</v>
      </c>
      <c r="AQ276" s="466"/>
      <c r="AR276" s="465"/>
      <c r="AS276" s="459"/>
      <c r="AT276" s="468"/>
      <c r="AU276" s="479" t="s">
        <v>3934</v>
      </c>
      <c r="AV276" s="459"/>
      <c r="AW276" s="480">
        <v>46083</v>
      </c>
      <c r="AX276" s="459"/>
      <c r="AY276" s="465"/>
      <c r="AZ276" s="459"/>
      <c r="BA276" s="459"/>
      <c r="BB276" s="459"/>
      <c r="BC276" s="459"/>
      <c r="BD276" s="459"/>
      <c r="BE276" s="459"/>
      <c r="BF276" s="459"/>
      <c r="BG276" s="464"/>
      <c r="BH276" s="459"/>
      <c r="BI276" s="459"/>
      <c r="BJ276" s="459"/>
      <c r="BK276" s="459"/>
      <c r="BL276" s="459"/>
      <c r="BM276" s="469"/>
      <c r="BN276" s="479" t="s">
        <v>17</v>
      </c>
      <c r="BO276" s="470"/>
      <c r="BP276" s="465"/>
      <c r="BQ276" s="464"/>
      <c r="BR276" s="460">
        <v>2</v>
      </c>
      <c r="BS276" s="473"/>
      <c r="BT276" s="459"/>
      <c r="BU276" s="459"/>
      <c r="BV276" s="459"/>
      <c r="BW276" s="464"/>
      <c r="BX276" s="459"/>
      <c r="BY276" s="459"/>
      <c r="BZ276" s="459"/>
      <c r="CA276" s="459"/>
      <c r="CB276" s="459"/>
      <c r="CC276" s="464"/>
      <c r="CD276" s="459"/>
      <c r="CE276" s="459"/>
      <c r="CF276" s="459"/>
      <c r="CG276" s="459"/>
      <c r="CH276" s="459"/>
      <c r="CI276" s="464"/>
      <c r="CJ276" s="459"/>
      <c r="CK276" s="459"/>
    </row>
    <row r="277" spans="1:89" ht="20.25" customHeight="1">
      <c r="A277" s="474">
        <v>280</v>
      </c>
      <c r="B277" s="460" t="s">
        <v>3935</v>
      </c>
      <c r="C277" s="460" t="s">
        <v>2396</v>
      </c>
      <c r="D277" s="460"/>
      <c r="E277" s="460" t="s">
        <v>2816</v>
      </c>
      <c r="F277" s="460" t="s">
        <v>24</v>
      </c>
      <c r="G277" s="459">
        <v>12</v>
      </c>
      <c r="H277" s="460" t="s">
        <v>53</v>
      </c>
      <c r="I277" s="460" t="s">
        <v>48</v>
      </c>
      <c r="J277" s="484" t="s">
        <v>3936</v>
      </c>
      <c r="K277" s="460"/>
      <c r="L277" s="459"/>
      <c r="M277" s="459"/>
      <c r="N277" s="463"/>
      <c r="O277" s="475" t="s">
        <v>151</v>
      </c>
      <c r="P277" s="463"/>
      <c r="Q277" s="459"/>
      <c r="R277" s="476" t="s">
        <v>3937</v>
      </c>
      <c r="S277" s="477" t="s">
        <v>3938</v>
      </c>
      <c r="T277" s="478"/>
      <c r="U277" s="460">
        <v>2016</v>
      </c>
      <c r="V277" s="461">
        <v>30578</v>
      </c>
      <c r="W277" s="462" t="s">
        <v>3939</v>
      </c>
      <c r="X277" s="471" t="s">
        <v>156</v>
      </c>
      <c r="Y277" s="463"/>
      <c r="Z277" s="463"/>
      <c r="AA277" s="459"/>
      <c r="AB277" s="459"/>
      <c r="AC277" s="485">
        <v>46083</v>
      </c>
      <c r="AD277" s="464"/>
      <c r="AE277" s="459"/>
      <c r="AF277" s="459"/>
      <c r="AG277" s="459"/>
      <c r="AH277" s="465"/>
      <c r="AI277" s="464"/>
      <c r="AJ277" s="459"/>
      <c r="AK277" s="459"/>
      <c r="AL277" s="465"/>
      <c r="AM277" s="465"/>
      <c r="AN277" s="465"/>
      <c r="AO277" s="466"/>
      <c r="AP277" s="467" t="s">
        <v>3940</v>
      </c>
      <c r="AQ277" s="466"/>
      <c r="AR277" s="465"/>
      <c r="AS277" s="459"/>
      <c r="AT277" s="468"/>
      <c r="AU277" s="479" t="s">
        <v>3941</v>
      </c>
      <c r="AV277" s="459"/>
      <c r="AW277" s="480">
        <v>46083</v>
      </c>
      <c r="AX277" s="459"/>
      <c r="AY277" s="465"/>
      <c r="AZ277" s="459"/>
      <c r="BA277" s="459"/>
      <c r="BB277" s="459"/>
      <c r="BC277" s="459"/>
      <c r="BD277" s="459"/>
      <c r="BE277" s="459"/>
      <c r="BF277" s="459"/>
      <c r="BG277" s="464"/>
      <c r="BH277" s="459"/>
      <c r="BI277" s="459"/>
      <c r="BJ277" s="459"/>
      <c r="BK277" s="459"/>
      <c r="BL277" s="459"/>
      <c r="BM277" s="469"/>
      <c r="BN277" s="479" t="s">
        <v>17</v>
      </c>
      <c r="BO277" s="470"/>
      <c r="BP277" s="465"/>
      <c r="BQ277" s="464"/>
      <c r="BR277" s="460">
        <v>8</v>
      </c>
      <c r="BS277" s="473"/>
      <c r="BT277" s="459"/>
      <c r="BU277" s="459"/>
      <c r="BV277" s="459"/>
      <c r="BW277" s="464"/>
      <c r="BX277" s="459"/>
      <c r="BY277" s="459"/>
      <c r="BZ277" s="459"/>
      <c r="CA277" s="459"/>
      <c r="CB277" s="459"/>
      <c r="CC277" s="464"/>
      <c r="CD277" s="459"/>
      <c r="CE277" s="459"/>
      <c r="CF277" s="459"/>
      <c r="CG277" s="459"/>
      <c r="CH277" s="459"/>
      <c r="CI277" s="464"/>
      <c r="CJ277" s="459"/>
      <c r="CK277" s="459"/>
    </row>
    <row r="278" spans="1:89" ht="20.25" customHeight="1">
      <c r="A278" s="481">
        <v>281</v>
      </c>
      <c r="B278" s="460" t="s">
        <v>3942</v>
      </c>
      <c r="C278" s="460" t="s">
        <v>2396</v>
      </c>
      <c r="D278" s="460" t="s">
        <v>3943</v>
      </c>
      <c r="E278" s="460" t="s">
        <v>3944</v>
      </c>
      <c r="F278" s="460" t="s">
        <v>24</v>
      </c>
      <c r="G278" s="459">
        <v>12</v>
      </c>
      <c r="H278" s="460" t="s">
        <v>60</v>
      </c>
      <c r="I278" s="460" t="s">
        <v>35</v>
      </c>
      <c r="J278" s="484" t="s">
        <v>602</v>
      </c>
      <c r="K278" s="460" t="s">
        <v>3945</v>
      </c>
      <c r="L278" s="459"/>
      <c r="M278" s="459"/>
      <c r="N278" s="463"/>
      <c r="O278" s="475" t="s">
        <v>322</v>
      </c>
      <c r="P278" s="463"/>
      <c r="Q278" s="459"/>
      <c r="R278" s="476" t="s">
        <v>3946</v>
      </c>
      <c r="S278" s="477" t="s">
        <v>3947</v>
      </c>
      <c r="T278" s="478"/>
      <c r="U278" s="460" t="s">
        <v>3948</v>
      </c>
      <c r="V278" s="461">
        <v>33274</v>
      </c>
      <c r="W278" s="462" t="s">
        <v>3949</v>
      </c>
      <c r="X278" s="471" t="s">
        <v>3913</v>
      </c>
      <c r="Y278" s="463"/>
      <c r="Z278" s="463"/>
      <c r="AA278" s="459"/>
      <c r="AB278" s="459"/>
      <c r="AC278" s="485">
        <v>46083</v>
      </c>
      <c r="AD278" s="464"/>
      <c r="AE278" s="459"/>
      <c r="AF278" s="459"/>
      <c r="AG278" s="459"/>
      <c r="AH278" s="465"/>
      <c r="AI278" s="464"/>
      <c r="AJ278" s="459"/>
      <c r="AK278" s="459"/>
      <c r="AL278" s="465"/>
      <c r="AM278" s="465"/>
      <c r="AN278" s="465"/>
      <c r="AO278" s="466"/>
      <c r="AP278" s="467" t="s">
        <v>181</v>
      </c>
      <c r="AQ278" s="466"/>
      <c r="AR278" s="465"/>
      <c r="AS278" s="459"/>
      <c r="AT278" s="468"/>
      <c r="AU278" s="479" t="s">
        <v>3950</v>
      </c>
      <c r="AV278" s="459"/>
      <c r="AW278" s="480">
        <v>46083</v>
      </c>
      <c r="AX278" s="459"/>
      <c r="AY278" s="465"/>
      <c r="AZ278" s="459"/>
      <c r="BA278" s="459"/>
      <c r="BB278" s="459"/>
      <c r="BC278" s="459"/>
      <c r="BD278" s="459"/>
      <c r="BE278" s="459"/>
      <c r="BF278" s="459"/>
      <c r="BG278" s="464"/>
      <c r="BH278" s="459"/>
      <c r="BI278" s="459"/>
      <c r="BJ278" s="459"/>
      <c r="BK278" s="459"/>
      <c r="BL278" s="459"/>
      <c r="BM278" s="469"/>
      <c r="BN278" s="479" t="s">
        <v>17</v>
      </c>
      <c r="BO278" s="470"/>
      <c r="BP278" s="465"/>
      <c r="BQ278" s="464"/>
      <c r="BR278" s="460">
        <v>0</v>
      </c>
      <c r="BS278" s="473"/>
      <c r="BT278" s="459"/>
      <c r="BU278" s="459"/>
      <c r="BV278" s="459"/>
      <c r="BW278" s="464"/>
      <c r="BX278" s="459"/>
      <c r="BY278" s="459"/>
      <c r="BZ278" s="459"/>
      <c r="CA278" s="459"/>
      <c r="CB278" s="459"/>
      <c r="CC278" s="464"/>
      <c r="CD278" s="459"/>
      <c r="CE278" s="459"/>
      <c r="CF278" s="459"/>
      <c r="CG278" s="459"/>
      <c r="CH278" s="459"/>
      <c r="CI278" s="464"/>
      <c r="CJ278" s="459"/>
      <c r="CK278" s="459"/>
    </row>
    <row r="279" spans="1:89" ht="20.25" customHeight="1">
      <c r="A279" s="474">
        <v>282</v>
      </c>
      <c r="B279" s="460" t="s">
        <v>3951</v>
      </c>
      <c r="C279" s="460" t="s">
        <v>3952</v>
      </c>
      <c r="D279" s="460" t="s">
        <v>3953</v>
      </c>
      <c r="E279" s="460" t="s">
        <v>2605</v>
      </c>
      <c r="F279" s="460" t="s">
        <v>24</v>
      </c>
      <c r="G279" s="459">
        <v>12</v>
      </c>
      <c r="H279" s="460" t="s">
        <v>52</v>
      </c>
      <c r="I279" s="460" t="s">
        <v>42</v>
      </c>
      <c r="J279" s="484" t="s">
        <v>3954</v>
      </c>
      <c r="K279" s="460" t="s">
        <v>1160</v>
      </c>
      <c r="L279" s="459"/>
      <c r="M279" s="459"/>
      <c r="N279" s="463"/>
      <c r="O279" s="475" t="s">
        <v>322</v>
      </c>
      <c r="P279" s="463"/>
      <c r="Q279" s="459"/>
      <c r="R279" s="476" t="s">
        <v>3955</v>
      </c>
      <c r="S279" s="477" t="s">
        <v>3956</v>
      </c>
      <c r="T279" s="478"/>
      <c r="U279" s="460" t="s">
        <v>3957</v>
      </c>
      <c r="V279" s="461">
        <v>32423</v>
      </c>
      <c r="W279" s="462" t="s">
        <v>3958</v>
      </c>
      <c r="X279" s="471" t="s">
        <v>3913</v>
      </c>
      <c r="Y279" s="463"/>
      <c r="Z279" s="463"/>
      <c r="AA279" s="459"/>
      <c r="AB279" s="459"/>
      <c r="AC279" s="485">
        <v>46083</v>
      </c>
      <c r="AD279" s="464"/>
      <c r="AE279" s="459"/>
      <c r="AF279" s="459"/>
      <c r="AG279" s="459"/>
      <c r="AH279" s="465"/>
      <c r="AI279" s="464"/>
      <c r="AJ279" s="459"/>
      <c r="AK279" s="459"/>
      <c r="AL279" s="465"/>
      <c r="AM279" s="465"/>
      <c r="AN279" s="465"/>
      <c r="AO279" s="466"/>
      <c r="AP279" s="467" t="s">
        <v>1183</v>
      </c>
      <c r="AQ279" s="466"/>
      <c r="AR279" s="465"/>
      <c r="AS279" s="459"/>
      <c r="AT279" s="468"/>
      <c r="AU279" s="479" t="s">
        <v>3959</v>
      </c>
      <c r="AV279" s="459"/>
      <c r="AW279" s="480">
        <v>46083</v>
      </c>
      <c r="AX279" s="459"/>
      <c r="AY279" s="465"/>
      <c r="AZ279" s="459"/>
      <c r="BA279" s="459"/>
      <c r="BB279" s="459"/>
      <c r="BC279" s="459"/>
      <c r="BD279" s="459"/>
      <c r="BE279" s="459"/>
      <c r="BF279" s="459"/>
      <c r="BG279" s="464"/>
      <c r="BH279" s="459"/>
      <c r="BI279" s="459"/>
      <c r="BJ279" s="459"/>
      <c r="BK279" s="459"/>
      <c r="BL279" s="459"/>
      <c r="BM279" s="469"/>
      <c r="BN279" s="479" t="s">
        <v>17</v>
      </c>
      <c r="BO279" s="470"/>
      <c r="BP279" s="465"/>
      <c r="BQ279" s="464"/>
      <c r="BR279" s="460">
        <v>1</v>
      </c>
      <c r="BS279" s="473"/>
      <c r="BT279" s="459"/>
      <c r="BU279" s="459"/>
      <c r="BV279" s="459"/>
      <c r="BW279" s="464"/>
      <c r="BX279" s="459"/>
      <c r="BY279" s="459"/>
      <c r="BZ279" s="459"/>
      <c r="CA279" s="459"/>
      <c r="CB279" s="459"/>
      <c r="CC279" s="464"/>
      <c r="CD279" s="459"/>
      <c r="CE279" s="459"/>
      <c r="CF279" s="459"/>
      <c r="CG279" s="459"/>
      <c r="CH279" s="459"/>
      <c r="CI279" s="464"/>
      <c r="CJ279" s="459"/>
      <c r="CK279" s="459"/>
    </row>
    <row r="280" spans="1:89" ht="20.25" customHeight="1">
      <c r="A280" s="481">
        <v>283</v>
      </c>
      <c r="B280" s="460" t="s">
        <v>3960</v>
      </c>
      <c r="C280" s="460" t="s">
        <v>3961</v>
      </c>
      <c r="D280" s="460" t="s">
        <v>571</v>
      </c>
      <c r="E280" s="460" t="s">
        <v>3962</v>
      </c>
      <c r="F280" s="460" t="s">
        <v>25</v>
      </c>
      <c r="G280" s="459">
        <v>12</v>
      </c>
      <c r="H280" s="460" t="s">
        <v>54</v>
      </c>
      <c r="I280" s="460" t="s">
        <v>31</v>
      </c>
      <c r="J280" s="484" t="s">
        <v>2692</v>
      </c>
      <c r="K280" s="460" t="s">
        <v>2692</v>
      </c>
      <c r="L280" s="459"/>
      <c r="M280" s="459"/>
      <c r="N280" s="463"/>
      <c r="O280" s="475" t="s">
        <v>151</v>
      </c>
      <c r="P280" s="463"/>
      <c r="Q280" s="459"/>
      <c r="R280" s="476" t="s">
        <v>3963</v>
      </c>
      <c r="S280" s="477" t="s">
        <v>3964</v>
      </c>
      <c r="T280" s="478"/>
      <c r="U280" s="460" t="s">
        <v>3965</v>
      </c>
      <c r="V280" s="461">
        <v>32371</v>
      </c>
      <c r="W280" s="462" t="s">
        <v>3966</v>
      </c>
      <c r="X280" s="471" t="s">
        <v>3686</v>
      </c>
      <c r="Y280" s="463"/>
      <c r="Z280" s="463"/>
      <c r="AA280" s="459"/>
      <c r="AB280" s="459"/>
      <c r="AC280" s="485">
        <v>46083</v>
      </c>
      <c r="AD280" s="464"/>
      <c r="AE280" s="459"/>
      <c r="AF280" s="459"/>
      <c r="AG280" s="459"/>
      <c r="AH280" s="465"/>
      <c r="AI280" s="464"/>
      <c r="AJ280" s="459"/>
      <c r="AK280" s="459"/>
      <c r="AL280" s="465"/>
      <c r="AM280" s="465"/>
      <c r="AN280" s="465"/>
      <c r="AO280" s="466"/>
      <c r="AP280" s="467" t="s">
        <v>203</v>
      </c>
      <c r="AQ280" s="466"/>
      <c r="AR280" s="465"/>
      <c r="AS280" s="459"/>
      <c r="AT280" s="468"/>
      <c r="AU280" s="479" t="s">
        <v>3967</v>
      </c>
      <c r="AV280" s="459"/>
      <c r="AW280" s="480">
        <v>46083</v>
      </c>
      <c r="AX280" s="459"/>
      <c r="AY280" s="465"/>
      <c r="AZ280" s="459"/>
      <c r="BA280" s="459"/>
      <c r="BB280" s="459"/>
      <c r="BC280" s="459"/>
      <c r="BD280" s="459"/>
      <c r="BE280" s="459"/>
      <c r="BF280" s="459"/>
      <c r="BG280" s="464"/>
      <c r="BH280" s="459"/>
      <c r="BI280" s="459"/>
      <c r="BJ280" s="459"/>
      <c r="BK280" s="459"/>
      <c r="BL280" s="459"/>
      <c r="BM280" s="469"/>
      <c r="BN280" s="479" t="s">
        <v>17</v>
      </c>
      <c r="BO280" s="470"/>
      <c r="BP280" s="465"/>
      <c r="BQ280" s="464"/>
      <c r="BR280" s="460">
        <v>43</v>
      </c>
      <c r="BS280" s="473"/>
      <c r="BT280" s="459"/>
      <c r="BU280" s="459"/>
      <c r="BV280" s="459"/>
      <c r="BW280" s="464"/>
      <c r="BX280" s="459"/>
      <c r="BY280" s="459"/>
      <c r="BZ280" s="459"/>
      <c r="CA280" s="459"/>
      <c r="CB280" s="459"/>
      <c r="CC280" s="464"/>
      <c r="CD280" s="459"/>
      <c r="CE280" s="459"/>
      <c r="CF280" s="459"/>
      <c r="CG280" s="459"/>
      <c r="CH280" s="459"/>
      <c r="CI280" s="464"/>
      <c r="CJ280" s="459"/>
      <c r="CK280" s="459"/>
    </row>
    <row r="281" spans="1:89" ht="20.25" customHeight="1">
      <c r="A281" s="474">
        <v>284</v>
      </c>
      <c r="B281" s="460" t="s">
        <v>3968</v>
      </c>
      <c r="C281" s="460" t="s">
        <v>3556</v>
      </c>
      <c r="D281" s="460" t="s">
        <v>3969</v>
      </c>
      <c r="E281" s="460" t="s">
        <v>3970</v>
      </c>
      <c r="F281" s="460" t="s">
        <v>25</v>
      </c>
      <c r="G281" s="459">
        <v>12</v>
      </c>
      <c r="H281" s="460" t="s">
        <v>54</v>
      </c>
      <c r="I281" s="460" t="s">
        <v>31</v>
      </c>
      <c r="J281" s="484" t="s">
        <v>3339</v>
      </c>
      <c r="K281" s="460"/>
      <c r="L281" s="459"/>
      <c r="M281" s="459"/>
      <c r="N281" s="463"/>
      <c r="O281" s="475" t="s">
        <v>151</v>
      </c>
      <c r="P281" s="463"/>
      <c r="Q281" s="459"/>
      <c r="R281" s="476" t="s">
        <v>3971</v>
      </c>
      <c r="S281" s="477" t="s">
        <v>3972</v>
      </c>
      <c r="T281" s="478"/>
      <c r="U281" s="460" t="s">
        <v>3973</v>
      </c>
      <c r="V281" s="461"/>
      <c r="W281" s="462" t="s">
        <v>3974</v>
      </c>
      <c r="X281" s="471" t="s">
        <v>156</v>
      </c>
      <c r="Y281" s="463"/>
      <c r="Z281" s="463"/>
      <c r="AA281" s="459"/>
      <c r="AB281" s="459"/>
      <c r="AC281" s="485">
        <v>46083</v>
      </c>
      <c r="AD281" s="464"/>
      <c r="AE281" s="459"/>
      <c r="AF281" s="459"/>
      <c r="AG281" s="459"/>
      <c r="AH281" s="465"/>
      <c r="AI281" s="464"/>
      <c r="AJ281" s="459"/>
      <c r="AK281" s="459"/>
      <c r="AL281" s="465"/>
      <c r="AM281" s="465"/>
      <c r="AN281" s="465"/>
      <c r="AO281" s="466"/>
      <c r="AP281" s="467" t="s">
        <v>2202</v>
      </c>
      <c r="AQ281" s="466"/>
      <c r="AR281" s="465"/>
      <c r="AS281" s="459"/>
      <c r="AT281" s="468"/>
      <c r="AU281" s="479" t="s">
        <v>3975</v>
      </c>
      <c r="AV281" s="459"/>
      <c r="AW281" s="480">
        <v>46083</v>
      </c>
      <c r="AX281" s="459"/>
      <c r="AY281" s="465"/>
      <c r="AZ281" s="459"/>
      <c r="BA281" s="459"/>
      <c r="BB281" s="459"/>
      <c r="BC281" s="459"/>
      <c r="BD281" s="459"/>
      <c r="BE281" s="459"/>
      <c r="BF281" s="459"/>
      <c r="BG281" s="464"/>
      <c r="BH281" s="459"/>
      <c r="BI281" s="459"/>
      <c r="BJ281" s="459"/>
      <c r="BK281" s="459"/>
      <c r="BL281" s="459"/>
      <c r="BM281" s="469"/>
      <c r="BN281" s="479" t="s">
        <v>17</v>
      </c>
      <c r="BO281" s="470"/>
      <c r="BP281" s="465"/>
      <c r="BQ281" s="464"/>
      <c r="BR281" s="460">
        <v>15</v>
      </c>
      <c r="BS281" s="473"/>
      <c r="BT281" s="459"/>
      <c r="BU281" s="459"/>
      <c r="BV281" s="459"/>
      <c r="BW281" s="464"/>
      <c r="BX281" s="459"/>
      <c r="BY281" s="459"/>
      <c r="BZ281" s="459"/>
      <c r="CA281" s="459"/>
      <c r="CB281" s="459"/>
      <c r="CC281" s="464"/>
      <c r="CD281" s="459"/>
      <c r="CE281" s="459"/>
      <c r="CF281" s="459"/>
      <c r="CG281" s="459"/>
      <c r="CH281" s="459"/>
      <c r="CI281" s="464"/>
      <c r="CJ281" s="459"/>
      <c r="CK281" s="459"/>
    </row>
    <row r="282" spans="1:89" ht="20.25" customHeight="1">
      <c r="A282" s="481">
        <v>285</v>
      </c>
      <c r="B282" s="460" t="s">
        <v>3976</v>
      </c>
      <c r="C282" s="460" t="s">
        <v>3977</v>
      </c>
      <c r="D282" s="460" t="s">
        <v>3978</v>
      </c>
      <c r="E282" s="460" t="s">
        <v>3979</v>
      </c>
      <c r="F282" s="460" t="s">
        <v>25</v>
      </c>
      <c r="G282" s="459">
        <v>12</v>
      </c>
      <c r="H282" s="460" t="s">
        <v>54</v>
      </c>
      <c r="I282" s="460" t="s">
        <v>31</v>
      </c>
      <c r="J282" s="484" t="s">
        <v>3980</v>
      </c>
      <c r="K282" s="460" t="s">
        <v>3980</v>
      </c>
      <c r="L282" s="459"/>
      <c r="M282" s="459"/>
      <c r="N282" s="463"/>
      <c r="O282" s="475" t="s">
        <v>151</v>
      </c>
      <c r="P282" s="463"/>
      <c r="Q282" s="459"/>
      <c r="R282" s="476" t="s">
        <v>3981</v>
      </c>
      <c r="S282" s="477" t="s">
        <v>3982</v>
      </c>
      <c r="T282" s="478"/>
      <c r="U282" s="482" t="s">
        <v>3983</v>
      </c>
      <c r="V282" s="461">
        <v>33414</v>
      </c>
      <c r="W282" s="462" t="s">
        <v>3984</v>
      </c>
      <c r="X282" s="471" t="s">
        <v>3913</v>
      </c>
      <c r="Y282" s="463"/>
      <c r="Z282" s="463"/>
      <c r="AA282" s="459"/>
      <c r="AB282" s="459"/>
      <c r="AC282" s="485">
        <v>46083</v>
      </c>
      <c r="AD282" s="464"/>
      <c r="AE282" s="459"/>
      <c r="AF282" s="459"/>
      <c r="AG282" s="459"/>
      <c r="AH282" s="465"/>
      <c r="AI282" s="464"/>
      <c r="AJ282" s="459"/>
      <c r="AK282" s="459"/>
      <c r="AL282" s="465"/>
      <c r="AM282" s="465"/>
      <c r="AN282" s="465"/>
      <c r="AO282" s="466"/>
      <c r="AP282" s="467" t="s">
        <v>181</v>
      </c>
      <c r="AQ282" s="466"/>
      <c r="AR282" s="465"/>
      <c r="AS282" s="459"/>
      <c r="AT282" s="468"/>
      <c r="AU282" s="479" t="s">
        <v>3985</v>
      </c>
      <c r="AV282" s="459"/>
      <c r="AW282" s="480">
        <v>46083</v>
      </c>
      <c r="AX282" s="459"/>
      <c r="AY282" s="465"/>
      <c r="AZ282" s="459"/>
      <c r="BA282" s="459"/>
      <c r="BB282" s="459"/>
      <c r="BC282" s="459"/>
      <c r="BD282" s="459"/>
      <c r="BE282" s="459"/>
      <c r="BF282" s="459"/>
      <c r="BG282" s="464"/>
      <c r="BH282" s="459"/>
      <c r="BI282" s="459"/>
      <c r="BJ282" s="459"/>
      <c r="BK282" s="459"/>
      <c r="BL282" s="459"/>
      <c r="BM282" s="469"/>
      <c r="BN282" s="479" t="s">
        <v>17</v>
      </c>
      <c r="BO282" s="470"/>
      <c r="BP282" s="465"/>
      <c r="BQ282" s="464"/>
      <c r="BR282" s="460">
        <v>16</v>
      </c>
      <c r="BS282" s="473"/>
      <c r="BT282" s="459"/>
      <c r="BU282" s="459"/>
      <c r="BV282" s="459"/>
      <c r="BW282" s="464"/>
      <c r="BX282" s="459"/>
      <c r="BY282" s="459"/>
      <c r="BZ282" s="459"/>
      <c r="CA282" s="459"/>
      <c r="CB282" s="459"/>
      <c r="CC282" s="464"/>
      <c r="CD282" s="459"/>
      <c r="CE282" s="459"/>
      <c r="CF282" s="459"/>
      <c r="CG282" s="459"/>
      <c r="CH282" s="459"/>
      <c r="CI282" s="464"/>
      <c r="CJ282" s="459"/>
      <c r="CK282" s="459"/>
    </row>
    <row r="283" spans="1:89" ht="20.25" customHeight="1">
      <c r="A283" s="474">
        <v>286</v>
      </c>
      <c r="B283" s="460" t="s">
        <v>3986</v>
      </c>
      <c r="C283" s="460" t="s">
        <v>3987</v>
      </c>
      <c r="D283" s="460"/>
      <c r="E283" s="460" t="s">
        <v>3988</v>
      </c>
      <c r="F283" s="460" t="s">
        <v>25</v>
      </c>
      <c r="G283" s="459">
        <v>12</v>
      </c>
      <c r="H283" s="460" t="s">
        <v>52</v>
      </c>
      <c r="I283" s="460" t="s">
        <v>38</v>
      </c>
      <c r="J283" s="484" t="s">
        <v>602</v>
      </c>
      <c r="K283" s="460"/>
      <c r="L283" s="459"/>
      <c r="M283" s="459"/>
      <c r="N283" s="463"/>
      <c r="O283" s="475" t="s">
        <v>322</v>
      </c>
      <c r="P283" s="463"/>
      <c r="Q283" s="459"/>
      <c r="R283" s="476" t="s">
        <v>3989</v>
      </c>
      <c r="S283" s="477" t="s">
        <v>3990</v>
      </c>
      <c r="T283" s="478"/>
      <c r="U283" s="460" t="s">
        <v>3991</v>
      </c>
      <c r="V283" s="461">
        <v>33824</v>
      </c>
      <c r="W283" s="462" t="s">
        <v>3992</v>
      </c>
      <c r="X283" s="471" t="s">
        <v>3575</v>
      </c>
      <c r="Y283" s="463"/>
      <c r="Z283" s="463"/>
      <c r="AA283" s="459"/>
      <c r="AB283" s="459"/>
      <c r="AC283" s="485">
        <v>46083</v>
      </c>
      <c r="AD283" s="464"/>
      <c r="AE283" s="459"/>
      <c r="AF283" s="459"/>
      <c r="AG283" s="459"/>
      <c r="AH283" s="465"/>
      <c r="AI283" s="464"/>
      <c r="AJ283" s="459"/>
      <c r="AK283" s="459"/>
      <c r="AL283" s="465"/>
      <c r="AM283" s="465"/>
      <c r="AN283" s="465"/>
      <c r="AO283" s="466"/>
      <c r="AP283" s="467" t="s">
        <v>3993</v>
      </c>
      <c r="AQ283" s="466"/>
      <c r="AR283" s="465"/>
      <c r="AS283" s="459"/>
      <c r="AT283" s="468"/>
      <c r="AU283" s="479" t="s">
        <v>3994</v>
      </c>
      <c r="AV283" s="459"/>
      <c r="AW283" s="480">
        <v>46083</v>
      </c>
      <c r="AX283" s="459"/>
      <c r="AY283" s="465"/>
      <c r="AZ283" s="459"/>
      <c r="BA283" s="459"/>
      <c r="BB283" s="459"/>
      <c r="BC283" s="459"/>
      <c r="BD283" s="459"/>
      <c r="BE283" s="459"/>
      <c r="BF283" s="459"/>
      <c r="BG283" s="464"/>
      <c r="BH283" s="459"/>
      <c r="BI283" s="459"/>
      <c r="BJ283" s="459"/>
      <c r="BK283" s="459"/>
      <c r="BL283" s="459"/>
      <c r="BM283" s="469"/>
      <c r="BN283" s="479" t="s">
        <v>17</v>
      </c>
      <c r="BO283" s="470"/>
      <c r="BP283" s="465"/>
      <c r="BQ283" s="464"/>
      <c r="BR283" s="460">
        <v>12</v>
      </c>
      <c r="BS283" s="473"/>
      <c r="BT283" s="459"/>
      <c r="BU283" s="459"/>
      <c r="BV283" s="459"/>
      <c r="BW283" s="464"/>
      <c r="BX283" s="459"/>
      <c r="BY283" s="459"/>
      <c r="BZ283" s="459"/>
      <c r="CA283" s="459"/>
      <c r="CB283" s="459"/>
      <c r="CC283" s="464"/>
      <c r="CD283" s="459"/>
      <c r="CE283" s="459"/>
      <c r="CF283" s="459"/>
      <c r="CG283" s="459"/>
      <c r="CH283" s="459"/>
      <c r="CI283" s="464"/>
      <c r="CJ283" s="459"/>
      <c r="CK283" s="459"/>
    </row>
    <row r="284" spans="1:89" ht="20.25" customHeight="1">
      <c r="A284" s="481">
        <v>287</v>
      </c>
      <c r="B284" s="460" t="s">
        <v>3995</v>
      </c>
      <c r="C284" s="460" t="s">
        <v>3996</v>
      </c>
      <c r="D284" s="460"/>
      <c r="E284" s="460" t="s">
        <v>3997</v>
      </c>
      <c r="F284" s="460" t="s">
        <v>24</v>
      </c>
      <c r="G284" s="459">
        <v>12</v>
      </c>
      <c r="H284" s="460" t="s">
        <v>60</v>
      </c>
      <c r="I284" s="460" t="s">
        <v>35</v>
      </c>
      <c r="J284" s="484" t="s">
        <v>3270</v>
      </c>
      <c r="K284" s="460" t="s">
        <v>3998</v>
      </c>
      <c r="L284" s="459"/>
      <c r="M284" s="459"/>
      <c r="N284" s="463"/>
      <c r="O284" s="475" t="s">
        <v>151</v>
      </c>
      <c r="P284" s="463"/>
      <c r="Q284" s="459"/>
      <c r="R284" s="476" t="s">
        <v>3999</v>
      </c>
      <c r="S284" s="477" t="s">
        <v>4000</v>
      </c>
      <c r="T284" s="478"/>
      <c r="U284" s="460">
        <v>2018</v>
      </c>
      <c r="V284" s="461">
        <v>31835</v>
      </c>
      <c r="W284" s="462" t="s">
        <v>4001</v>
      </c>
      <c r="X284" s="471" t="s">
        <v>156</v>
      </c>
      <c r="Y284" s="463"/>
      <c r="Z284" s="463"/>
      <c r="AA284" s="459"/>
      <c r="AB284" s="459"/>
      <c r="AC284" s="485">
        <v>46083</v>
      </c>
      <c r="AD284" s="464"/>
      <c r="AE284" s="459"/>
      <c r="AF284" s="459"/>
      <c r="AG284" s="459"/>
      <c r="AH284" s="465"/>
      <c r="AI284" s="464"/>
      <c r="AJ284" s="459"/>
      <c r="AK284" s="459"/>
      <c r="AL284" s="465"/>
      <c r="AM284" s="465"/>
      <c r="AN284" s="465"/>
      <c r="AO284" s="466"/>
      <c r="AP284" s="467" t="s">
        <v>4002</v>
      </c>
      <c r="AQ284" s="466"/>
      <c r="AR284" s="465"/>
      <c r="AS284" s="459"/>
      <c r="AT284" s="468"/>
      <c r="AU284" s="479" t="s">
        <v>4003</v>
      </c>
      <c r="AV284" s="459"/>
      <c r="AW284" s="480">
        <v>46083</v>
      </c>
      <c r="AX284" s="459"/>
      <c r="AY284" s="465"/>
      <c r="AZ284" s="459"/>
      <c r="BA284" s="459"/>
      <c r="BB284" s="459"/>
      <c r="BC284" s="459"/>
      <c r="BD284" s="459"/>
      <c r="BE284" s="459"/>
      <c r="BF284" s="459"/>
      <c r="BG284" s="464"/>
      <c r="BH284" s="459"/>
      <c r="BI284" s="459"/>
      <c r="BJ284" s="459"/>
      <c r="BK284" s="459"/>
      <c r="BL284" s="459"/>
      <c r="BM284" s="469"/>
      <c r="BN284" s="479" t="s">
        <v>17</v>
      </c>
      <c r="BO284" s="470"/>
      <c r="BP284" s="465"/>
      <c r="BQ284" s="464"/>
      <c r="BR284" s="460">
        <v>18</v>
      </c>
      <c r="BS284" s="473"/>
      <c r="BT284" s="459"/>
      <c r="BU284" s="459"/>
      <c r="BV284" s="459"/>
      <c r="BW284" s="464"/>
      <c r="BX284" s="459"/>
      <c r="BY284" s="459"/>
      <c r="BZ284" s="459"/>
      <c r="CA284" s="459"/>
      <c r="CB284" s="459"/>
      <c r="CC284" s="464"/>
      <c r="CD284" s="459"/>
      <c r="CE284" s="459"/>
      <c r="CF284" s="459"/>
      <c r="CG284" s="459"/>
      <c r="CH284" s="459"/>
      <c r="CI284" s="464"/>
      <c r="CJ284" s="459"/>
      <c r="CK284" s="459"/>
    </row>
    <row r="285" spans="1:89" ht="20.25" customHeight="1">
      <c r="A285" s="474">
        <v>288</v>
      </c>
      <c r="B285" s="460" t="s">
        <v>4004</v>
      </c>
      <c r="C285" s="460" t="s">
        <v>4005</v>
      </c>
      <c r="D285" s="460" t="s">
        <v>4006</v>
      </c>
      <c r="E285" s="460" t="s">
        <v>4007</v>
      </c>
      <c r="F285" s="460" t="s">
        <v>24</v>
      </c>
      <c r="G285" s="459">
        <v>12</v>
      </c>
      <c r="H285" s="460" t="s">
        <v>53</v>
      </c>
      <c r="I285" s="460" t="s">
        <v>48</v>
      </c>
      <c r="J285" s="484" t="s">
        <v>602</v>
      </c>
      <c r="K285" s="460"/>
      <c r="L285" s="459"/>
      <c r="M285" s="459"/>
      <c r="N285" s="463"/>
      <c r="O285" s="475" t="s">
        <v>151</v>
      </c>
      <c r="P285" s="463"/>
      <c r="Q285" s="459"/>
      <c r="R285" s="476" t="s">
        <v>4008</v>
      </c>
      <c r="S285" s="477" t="s">
        <v>4009</v>
      </c>
      <c r="T285" s="478"/>
      <c r="U285" s="460" t="s">
        <v>4010</v>
      </c>
      <c r="V285" s="461">
        <v>33563</v>
      </c>
      <c r="W285" s="462" t="s">
        <v>4011</v>
      </c>
      <c r="X285" s="471" t="s">
        <v>156</v>
      </c>
      <c r="Y285" s="463"/>
      <c r="Z285" s="463"/>
      <c r="AA285" s="459"/>
      <c r="AB285" s="459"/>
      <c r="AC285" s="485">
        <v>46083</v>
      </c>
      <c r="AD285" s="464"/>
      <c r="AE285" s="459"/>
      <c r="AF285" s="459"/>
      <c r="AG285" s="459"/>
      <c r="AH285" s="465"/>
      <c r="AI285" s="464"/>
      <c r="AJ285" s="459"/>
      <c r="AK285" s="459"/>
      <c r="AL285" s="465"/>
      <c r="AM285" s="465"/>
      <c r="AN285" s="465"/>
      <c r="AO285" s="466"/>
      <c r="AP285" s="467" t="s">
        <v>4012</v>
      </c>
      <c r="AQ285" s="466"/>
      <c r="AR285" s="465"/>
      <c r="AS285" s="459"/>
      <c r="AT285" s="468"/>
      <c r="AU285" s="479" t="s">
        <v>4013</v>
      </c>
      <c r="AV285" s="459"/>
      <c r="AW285" s="480">
        <v>46083</v>
      </c>
      <c r="AX285" s="459"/>
      <c r="AY285" s="465"/>
      <c r="AZ285" s="459"/>
      <c r="BA285" s="459"/>
      <c r="BB285" s="459"/>
      <c r="BC285" s="459"/>
      <c r="BD285" s="459"/>
      <c r="BE285" s="459"/>
      <c r="BF285" s="459"/>
      <c r="BG285" s="464"/>
      <c r="BH285" s="459"/>
      <c r="BI285" s="459"/>
      <c r="BJ285" s="459"/>
      <c r="BK285" s="459"/>
      <c r="BL285" s="459"/>
      <c r="BM285" s="469"/>
      <c r="BN285" s="479" t="s">
        <v>17</v>
      </c>
      <c r="BO285" s="470"/>
      <c r="BP285" s="465"/>
      <c r="BQ285" s="464"/>
      <c r="BR285" s="460">
        <v>10</v>
      </c>
      <c r="BS285" s="473"/>
      <c r="BT285" s="459"/>
      <c r="BU285" s="459"/>
      <c r="BV285" s="459"/>
      <c r="BW285" s="464"/>
      <c r="BX285" s="459"/>
      <c r="BY285" s="459"/>
      <c r="BZ285" s="459"/>
      <c r="CA285" s="459"/>
      <c r="CB285" s="459"/>
      <c r="CC285" s="464"/>
      <c r="CD285" s="459"/>
      <c r="CE285" s="459"/>
      <c r="CF285" s="459"/>
      <c r="CG285" s="459"/>
      <c r="CH285" s="459"/>
      <c r="CI285" s="464"/>
      <c r="CJ285" s="459"/>
      <c r="CK285" s="459"/>
    </row>
    <row r="286" spans="1:89" ht="20.25" customHeight="1">
      <c r="A286" s="481">
        <v>289</v>
      </c>
      <c r="B286" s="460" t="s">
        <v>4014</v>
      </c>
      <c r="C286" s="460" t="s">
        <v>4015</v>
      </c>
      <c r="D286" s="460"/>
      <c r="E286" s="460" t="s">
        <v>4016</v>
      </c>
      <c r="F286" s="460" t="s">
        <v>25</v>
      </c>
      <c r="G286" s="459">
        <v>12</v>
      </c>
      <c r="H286" s="460" t="s">
        <v>55</v>
      </c>
      <c r="I286" s="460" t="s">
        <v>43</v>
      </c>
      <c r="J286" s="484" t="s">
        <v>4017</v>
      </c>
      <c r="K286" s="460" t="s">
        <v>4018</v>
      </c>
      <c r="L286" s="459"/>
      <c r="M286" s="459"/>
      <c r="N286" s="463"/>
      <c r="O286" s="475" t="s">
        <v>151</v>
      </c>
      <c r="P286" s="463"/>
      <c r="Q286" s="459"/>
      <c r="R286" s="476" t="s">
        <v>4019</v>
      </c>
      <c r="S286" s="477" t="s">
        <v>4020</v>
      </c>
      <c r="T286" s="478"/>
      <c r="U286" s="460" t="s">
        <v>4021</v>
      </c>
      <c r="V286" s="461">
        <v>32156</v>
      </c>
      <c r="W286" s="462" t="s">
        <v>4022</v>
      </c>
      <c r="X286" s="471" t="s">
        <v>3686</v>
      </c>
      <c r="Y286" s="463"/>
      <c r="Z286" s="463"/>
      <c r="AA286" s="459"/>
      <c r="AB286" s="459"/>
      <c r="AC286" s="485">
        <v>46083</v>
      </c>
      <c r="AD286" s="464"/>
      <c r="AE286" s="459"/>
      <c r="AF286" s="459"/>
      <c r="AG286" s="459"/>
      <c r="AH286" s="465"/>
      <c r="AI286" s="464"/>
      <c r="AJ286" s="459"/>
      <c r="AK286" s="459"/>
      <c r="AL286" s="465"/>
      <c r="AM286" s="465"/>
      <c r="AN286" s="465"/>
      <c r="AO286" s="466"/>
      <c r="AP286" s="467" t="s">
        <v>4023</v>
      </c>
      <c r="AQ286" s="466"/>
      <c r="AR286" s="465"/>
      <c r="AS286" s="459"/>
      <c r="AT286" s="468"/>
      <c r="AU286" s="479" t="s">
        <v>4024</v>
      </c>
      <c r="AV286" s="459"/>
      <c r="AW286" s="480">
        <v>46083</v>
      </c>
      <c r="AX286" s="459"/>
      <c r="AY286" s="465"/>
      <c r="AZ286" s="459"/>
      <c r="BA286" s="459"/>
      <c r="BB286" s="459"/>
      <c r="BC286" s="459"/>
      <c r="BD286" s="459"/>
      <c r="BE286" s="459"/>
      <c r="BF286" s="459"/>
      <c r="BG286" s="464"/>
      <c r="BH286" s="459"/>
      <c r="BI286" s="459"/>
      <c r="BJ286" s="459"/>
      <c r="BK286" s="459"/>
      <c r="BL286" s="459"/>
      <c r="BM286" s="469"/>
      <c r="BN286" s="479" t="s">
        <v>17</v>
      </c>
      <c r="BO286" s="470"/>
      <c r="BP286" s="465"/>
      <c r="BQ286" s="464"/>
      <c r="BR286" s="460">
        <v>10</v>
      </c>
      <c r="BS286" s="473"/>
      <c r="BT286" s="459"/>
      <c r="BU286" s="459"/>
      <c r="BV286" s="459"/>
      <c r="BW286" s="464"/>
      <c r="BX286" s="459"/>
      <c r="BY286" s="459"/>
      <c r="BZ286" s="459"/>
      <c r="CA286" s="459"/>
      <c r="CB286" s="459"/>
      <c r="CC286" s="464"/>
      <c r="CD286" s="459"/>
      <c r="CE286" s="459"/>
      <c r="CF286" s="459"/>
      <c r="CG286" s="459"/>
      <c r="CH286" s="459"/>
      <c r="CI286" s="464"/>
      <c r="CJ286" s="459"/>
      <c r="CK286" s="459"/>
    </row>
    <row r="287" spans="1:89" ht="20.25" customHeight="1">
      <c r="A287" s="474">
        <v>290</v>
      </c>
      <c r="B287" s="460" t="s">
        <v>4025</v>
      </c>
      <c r="C287" s="460" t="s">
        <v>4026</v>
      </c>
      <c r="D287" s="460" t="s">
        <v>4027</v>
      </c>
      <c r="E287" s="460" t="s">
        <v>4028</v>
      </c>
      <c r="F287" s="460" t="s">
        <v>24</v>
      </c>
      <c r="G287" s="459">
        <v>12</v>
      </c>
      <c r="H287" s="460" t="s">
        <v>52</v>
      </c>
      <c r="I287" s="460" t="s">
        <v>37</v>
      </c>
      <c r="J287" s="484" t="s">
        <v>4029</v>
      </c>
      <c r="K287" s="482" t="s">
        <v>602</v>
      </c>
      <c r="L287" s="459"/>
      <c r="M287" s="459"/>
      <c r="N287" s="463"/>
      <c r="O287" s="475" t="s">
        <v>151</v>
      </c>
      <c r="P287" s="463"/>
      <c r="Q287" s="459"/>
      <c r="R287" s="476" t="s">
        <v>4030</v>
      </c>
      <c r="S287" s="477" t="s">
        <v>4031</v>
      </c>
      <c r="T287" s="478"/>
      <c r="U287" s="460" t="s">
        <v>4032</v>
      </c>
      <c r="V287" s="461">
        <v>32625</v>
      </c>
      <c r="W287" s="462" t="s">
        <v>4033</v>
      </c>
      <c r="X287" s="471" t="s">
        <v>3913</v>
      </c>
      <c r="Y287" s="463"/>
      <c r="Z287" s="463"/>
      <c r="AA287" s="459"/>
      <c r="AB287" s="459"/>
      <c r="AC287" s="485">
        <v>46083</v>
      </c>
      <c r="AD287" s="464"/>
      <c r="AE287" s="459"/>
      <c r="AF287" s="459"/>
      <c r="AG287" s="459"/>
      <c r="AH287" s="465"/>
      <c r="AI287" s="464"/>
      <c r="AJ287" s="459"/>
      <c r="AK287" s="459"/>
      <c r="AL287" s="465"/>
      <c r="AM287" s="465"/>
      <c r="AN287" s="465"/>
      <c r="AO287" s="466"/>
      <c r="AP287" s="467" t="s">
        <v>2262</v>
      </c>
      <c r="AQ287" s="466"/>
      <c r="AR287" s="465"/>
      <c r="AS287" s="459"/>
      <c r="AT287" s="468"/>
      <c r="AU287" s="479" t="s">
        <v>4034</v>
      </c>
      <c r="AV287" s="459"/>
      <c r="AW287" s="480">
        <v>46083</v>
      </c>
      <c r="AX287" s="459"/>
      <c r="AY287" s="465"/>
      <c r="AZ287" s="459"/>
      <c r="BA287" s="459"/>
      <c r="BB287" s="459"/>
      <c r="BC287" s="459"/>
      <c r="BD287" s="459"/>
      <c r="BE287" s="459"/>
      <c r="BF287" s="459"/>
      <c r="BG287" s="464"/>
      <c r="BH287" s="459"/>
      <c r="BI287" s="459"/>
      <c r="BJ287" s="459"/>
      <c r="BK287" s="459"/>
      <c r="BL287" s="459"/>
      <c r="BM287" s="469"/>
      <c r="BN287" s="479" t="s">
        <v>17</v>
      </c>
      <c r="BO287" s="470"/>
      <c r="BP287" s="465"/>
      <c r="BQ287" s="464"/>
      <c r="BR287" s="460">
        <v>15</v>
      </c>
      <c r="BS287" s="473"/>
      <c r="BT287" s="459"/>
      <c r="BU287" s="459"/>
      <c r="BV287" s="459"/>
      <c r="BW287" s="464"/>
      <c r="BX287" s="459"/>
      <c r="BY287" s="459"/>
      <c r="BZ287" s="459"/>
      <c r="CA287" s="459"/>
      <c r="CB287" s="459"/>
      <c r="CC287" s="464"/>
      <c r="CD287" s="459"/>
      <c r="CE287" s="459"/>
      <c r="CF287" s="459"/>
      <c r="CG287" s="459"/>
      <c r="CH287" s="459"/>
      <c r="CI287" s="464"/>
      <c r="CJ287" s="459"/>
      <c r="CK287" s="459"/>
    </row>
    <row r="288" spans="1:89" ht="20.25" customHeight="1">
      <c r="A288" s="481">
        <v>291</v>
      </c>
      <c r="B288" s="460" t="s">
        <v>4035</v>
      </c>
      <c r="C288" s="460" t="s">
        <v>4036</v>
      </c>
      <c r="D288" s="460"/>
      <c r="E288" s="460" t="s">
        <v>4037</v>
      </c>
      <c r="F288" s="460" t="s">
        <v>25</v>
      </c>
      <c r="G288" s="459">
        <v>12</v>
      </c>
      <c r="H288" s="460" t="s">
        <v>60</v>
      </c>
      <c r="I288" s="460" t="s">
        <v>35</v>
      </c>
      <c r="J288" s="484" t="s">
        <v>4038</v>
      </c>
      <c r="K288" s="460" t="s">
        <v>2666</v>
      </c>
      <c r="L288" s="459"/>
      <c r="M288" s="459"/>
      <c r="N288" s="463"/>
      <c r="O288" s="475" t="s">
        <v>151</v>
      </c>
      <c r="P288" s="463"/>
      <c r="Q288" s="459"/>
      <c r="R288" s="476" t="s">
        <v>4039</v>
      </c>
      <c r="S288" s="477" t="s">
        <v>4040</v>
      </c>
      <c r="T288" s="478"/>
      <c r="U288" s="460" t="s">
        <v>4041</v>
      </c>
      <c r="V288" s="461">
        <v>34820</v>
      </c>
      <c r="W288" s="462" t="s">
        <v>4042</v>
      </c>
      <c r="X288" s="471" t="s">
        <v>3913</v>
      </c>
      <c r="Y288" s="463"/>
      <c r="Z288" s="463"/>
      <c r="AA288" s="459"/>
      <c r="AB288" s="459"/>
      <c r="AC288" s="485">
        <v>46083</v>
      </c>
      <c r="AD288" s="464"/>
      <c r="AE288" s="459"/>
      <c r="AF288" s="459"/>
      <c r="AG288" s="459"/>
      <c r="AH288" s="465"/>
      <c r="AI288" s="464"/>
      <c r="AJ288" s="459"/>
      <c r="AK288" s="459"/>
      <c r="AL288" s="465"/>
      <c r="AM288" s="465"/>
      <c r="AN288" s="465"/>
      <c r="AO288" s="466"/>
      <c r="AP288" s="467" t="s">
        <v>4043</v>
      </c>
      <c r="AQ288" s="466"/>
      <c r="AR288" s="465"/>
      <c r="AS288" s="459"/>
      <c r="AT288" s="468"/>
      <c r="AU288" s="479" t="s">
        <v>4044</v>
      </c>
      <c r="AV288" s="459"/>
      <c r="AW288" s="480">
        <v>46083</v>
      </c>
      <c r="AX288" s="459"/>
      <c r="AY288" s="465"/>
      <c r="AZ288" s="459"/>
      <c r="BA288" s="459"/>
      <c r="BB288" s="459"/>
      <c r="BC288" s="459"/>
      <c r="BD288" s="459"/>
      <c r="BE288" s="459"/>
      <c r="BF288" s="459"/>
      <c r="BG288" s="464"/>
      <c r="BH288" s="459"/>
      <c r="BI288" s="459"/>
      <c r="BJ288" s="459"/>
      <c r="BK288" s="459"/>
      <c r="BL288" s="459"/>
      <c r="BM288" s="469"/>
      <c r="BN288" s="479" t="s">
        <v>17</v>
      </c>
      <c r="BO288" s="470"/>
      <c r="BP288" s="465"/>
      <c r="BQ288" s="464"/>
      <c r="BR288" s="460">
        <v>2</v>
      </c>
      <c r="BS288" s="473"/>
      <c r="BT288" s="459"/>
      <c r="BU288" s="459"/>
      <c r="BV288" s="459"/>
      <c r="BW288" s="464"/>
      <c r="BX288" s="459"/>
      <c r="BY288" s="459"/>
      <c r="BZ288" s="459"/>
      <c r="CA288" s="459"/>
      <c r="CB288" s="459"/>
      <c r="CC288" s="464"/>
      <c r="CD288" s="459"/>
      <c r="CE288" s="459"/>
      <c r="CF288" s="459"/>
      <c r="CG288" s="459"/>
      <c r="CH288" s="459"/>
      <c r="CI288" s="464"/>
      <c r="CJ288" s="459"/>
      <c r="CK288" s="459"/>
    </row>
    <row r="296" spans="1:2" ht="15" customHeight="1">
      <c r="A296" s="46" t="s">
        <v>4045</v>
      </c>
      <c r="B296" s="46" t="s">
        <v>15</v>
      </c>
    </row>
    <row r="297" spans="1:2" ht="15" customHeight="1">
      <c r="A297" s="1"/>
      <c r="B297" s="24">
        <v>1</v>
      </c>
    </row>
    <row r="298" spans="1:2" ht="15" customHeight="1">
      <c r="A298" s="11"/>
      <c r="B298" s="24">
        <v>2</v>
      </c>
    </row>
    <row r="299" spans="1:2" ht="15" customHeight="1">
      <c r="A299" s="17"/>
      <c r="B299" s="24">
        <v>3</v>
      </c>
    </row>
    <row r="300" spans="1:2" ht="15" customHeight="1">
      <c r="A300" s="26"/>
      <c r="B300" s="24">
        <v>4</v>
      </c>
    </row>
    <row r="301" spans="1:2" ht="15" customHeight="1">
      <c r="A301" s="30"/>
      <c r="B301" s="24">
        <v>5</v>
      </c>
    </row>
    <row r="302" spans="1:2" ht="15" customHeight="1">
      <c r="A302" s="36"/>
      <c r="B302" s="24">
        <v>6</v>
      </c>
    </row>
    <row r="303" spans="1:2" ht="15" customHeight="1">
      <c r="A303" s="39"/>
      <c r="B303" s="24">
        <v>7</v>
      </c>
    </row>
    <row r="304" spans="1:2" ht="15" customHeight="1">
      <c r="A304" s="26"/>
      <c r="B304" s="24">
        <v>8</v>
      </c>
    </row>
    <row r="305" spans="1:2" ht="15" customHeight="1">
      <c r="A305" s="11"/>
      <c r="B305" s="24">
        <v>9</v>
      </c>
    </row>
    <row r="306" spans="1:2" ht="15" customHeight="1">
      <c r="A306" s="40"/>
      <c r="B306" s="24">
        <v>10</v>
      </c>
    </row>
    <row r="307" spans="1:2" ht="15" customHeight="1">
      <c r="A307" s="40"/>
      <c r="B307" s="24">
        <v>11</v>
      </c>
    </row>
    <row r="308" spans="1:2" ht="15" customHeight="1">
      <c r="A308" s="10"/>
      <c r="B308" s="47" t="s">
        <v>18</v>
      </c>
    </row>
    <row r="309" spans="1:2" ht="15" customHeight="1">
      <c r="A309" s="55"/>
      <c r="B309" s="47" t="s">
        <v>4046</v>
      </c>
    </row>
    <row r="310" spans="1:2" ht="15" customHeight="1">
      <c r="A310" s="24" t="s">
        <v>168</v>
      </c>
      <c r="B310" s="47" t="s">
        <v>4047</v>
      </c>
    </row>
    <row r="311" spans="1:2" ht="15" customHeight="1">
      <c r="A311" s="292"/>
      <c r="B311" s="393" t="s">
        <v>4048</v>
      </c>
    </row>
  </sheetData>
  <autoFilter ref="A1:CX288" xr:uid="{00000000-0001-0000-0200-000000000000}"/>
  <sortState xmlns:xlrd2="http://schemas.microsoft.com/office/spreadsheetml/2017/richdata2" ref="A2:CL246">
    <sortCondition ref="F2:F246"/>
  </sortState>
  <hyperlinks>
    <hyperlink ref="R85" r:id="rId1" xr:uid="{00000000-0004-0000-0200-000000000000}"/>
    <hyperlink ref="S146" r:id="rId2" xr:uid="{00000000-0004-0000-0200-000001000000}"/>
    <hyperlink ref="S172" r:id="rId3" xr:uid="{00000000-0004-0000-0200-000002000000}"/>
    <hyperlink ref="S37" r:id="rId4" xr:uid="{00000000-0004-0000-0200-000003000000}"/>
    <hyperlink ref="S80" r:id="rId5" xr:uid="{00000000-0004-0000-0200-000004000000}"/>
    <hyperlink ref="R89" r:id="rId6" xr:uid="{00000000-0004-0000-0200-000005000000}"/>
    <hyperlink ref="S88" r:id="rId7" xr:uid="{00000000-0004-0000-0200-000006000000}"/>
    <hyperlink ref="S90" r:id="rId8" xr:uid="{00000000-0004-0000-0200-000007000000}"/>
    <hyperlink ref="S107" r:id="rId9" xr:uid="{00000000-0004-0000-0200-000008000000}"/>
    <hyperlink ref="S93" r:id="rId10" xr:uid="{00000000-0004-0000-0200-000009000000}"/>
    <hyperlink ref="S68" r:id="rId11" xr:uid="{00000000-0004-0000-0200-00000A000000}"/>
    <hyperlink ref="S115" r:id="rId12" xr:uid="{00000000-0004-0000-0200-00000B000000}"/>
    <hyperlink ref="S99" r:id="rId13" xr:uid="{00000000-0004-0000-0200-00000C000000}"/>
    <hyperlink ref="S81" r:id="rId14" xr:uid="{00000000-0004-0000-0200-00000D000000}"/>
    <hyperlink ref="S78" r:id="rId15" xr:uid="{00000000-0004-0000-0200-00000E000000}"/>
    <hyperlink ref="S70" r:id="rId16" xr:uid="{00000000-0004-0000-0200-00000F000000}"/>
    <hyperlink ref="S132" r:id="rId17" xr:uid="{00000000-0004-0000-0200-000010000000}"/>
    <hyperlink ref="S141" r:id="rId18" xr:uid="{00000000-0004-0000-0200-000011000000}"/>
    <hyperlink ref="S168" r:id="rId19" xr:uid="{00000000-0004-0000-0200-000012000000}"/>
    <hyperlink ref="S123" r:id="rId20" xr:uid="{00000000-0004-0000-0200-000013000000}"/>
    <hyperlink ref="R158" r:id="rId21" xr:uid="{00000000-0004-0000-0200-000014000000}"/>
    <hyperlink ref="S221" r:id="rId22" xr:uid="{00000000-0004-0000-0200-000015000000}"/>
    <hyperlink ref="S158" r:id="rId23" display="musasiahjustus@yahoo.com" xr:uid="{00000000-0004-0000-0200-000016000000}"/>
    <hyperlink ref="R183" r:id="rId24" xr:uid="{00000000-0004-0000-0200-000017000000}"/>
    <hyperlink ref="S237" r:id="rId25" xr:uid="{00000000-0004-0000-0200-000018000000}"/>
    <hyperlink ref="AU146" r:id="rId26" display="http://orcid.org/0000-0002-7787-8597" xr:uid="{00000000-0004-0000-0200-000019000000}"/>
    <hyperlink ref="AU96" r:id="rId27" display="https://orcid.org/0000-0002-5726-6921" xr:uid="{00000000-0004-0000-0200-00001A000000}"/>
    <hyperlink ref="S197" r:id="rId28" xr:uid="{00000000-0004-0000-0200-00001C000000}"/>
    <hyperlink ref="R190" r:id="rId29" xr:uid="{00000000-0004-0000-0200-00001D000000}"/>
    <hyperlink ref="R152" r:id="rId30" xr:uid="{00000000-0004-0000-0200-00001E000000}"/>
    <hyperlink ref="S54" r:id="rId31" xr:uid="{00000000-0004-0000-0200-00001F000000}"/>
    <hyperlink ref="R84" r:id="rId32" xr:uid="{00000000-0004-0000-0200-000020000000}"/>
    <hyperlink ref="R98" r:id="rId33" xr:uid="{00000000-0004-0000-0200-000021000000}"/>
    <hyperlink ref="R108" r:id="rId34" xr:uid="{00000000-0004-0000-0200-000022000000}"/>
    <hyperlink ref="R142" r:id="rId35" xr:uid="{00000000-0004-0000-0200-000023000000}"/>
    <hyperlink ref="R66" r:id="rId36" xr:uid="{00000000-0004-0000-0200-000024000000}"/>
    <hyperlink ref="S87" r:id="rId37" display="mutua_mike@yahoo.com;_x000a_" xr:uid="{6B09AE7E-F6A4-4A34-8852-613E8CD82C32}"/>
    <hyperlink ref="R41" r:id="rId38" xr:uid="{F01F596E-3472-428A-9126-44A1F9ED4967}"/>
    <hyperlink ref="R97" r:id="rId39" xr:uid="{BED300F1-4F06-43B8-A31D-851CC0306C88}"/>
    <hyperlink ref="S258" r:id="rId40" xr:uid="{B4864E4F-F0F7-4C6C-9B66-85A2A2344B8D}"/>
    <hyperlink ref="S153" r:id="rId41" xr:uid="{62EF75FC-17D2-4CAC-B4EF-82AA9460E74B}"/>
    <hyperlink ref="S151" r:id="rId42" xr:uid="{F6C15C21-FC5F-4C79-92C3-37E1355E31E9}"/>
    <hyperlink ref="S36" r:id="rId43" xr:uid="{FF3EDF7C-7EE0-4249-8D43-11F676368418}"/>
    <hyperlink ref="S148" r:id="rId44" xr:uid="{08B3AFEE-B755-442A-88B5-C1053F990460}"/>
    <hyperlink ref="R16" r:id="rId45" xr:uid="{0D58A5AC-77F5-4BBC-A8A1-47512EC5DE92}"/>
    <hyperlink ref="R131" r:id="rId46" xr:uid="{424A726B-8519-4F14-8906-737CFAD607BD}"/>
    <hyperlink ref="S184" r:id="rId47" xr:uid="{9C9A25D1-2EC0-4D3A-A907-3231E68EE6AB}"/>
    <hyperlink ref="R62" r:id="rId48" xr:uid="{17DAE074-EB75-43E4-BB4C-4B85719CA954}"/>
    <hyperlink ref="R26" r:id="rId49" xr:uid="{B854027C-249B-4876-8BCD-EA7712F08DCA}"/>
    <hyperlink ref="R20" r:id="rId50" xr:uid="{EE4D878F-E759-4315-913D-FB2CAF9B05E5}"/>
    <hyperlink ref="R12" r:id="rId51" xr:uid="{63AE225F-88DC-43FC-B855-249AF126FEBB}"/>
    <hyperlink ref="R52" r:id="rId52" xr:uid="{4D51492E-D96E-4378-BED8-F3786F4D7D1D}"/>
    <hyperlink ref="R31" r:id="rId53" xr:uid="{6538C65A-36DA-443C-AE0F-99F3DDBBF7CF}"/>
    <hyperlink ref="R4" r:id="rId54" xr:uid="{19C2366E-9E33-4A44-A6AB-B84A6A0A16B6}"/>
    <hyperlink ref="R36" r:id="rId55" xr:uid="{2F34AC3C-CD7D-4569-9653-C107D11577AC}"/>
    <hyperlink ref="R49" r:id="rId56" xr:uid="{95C26CE2-2F59-4FE2-A9DA-82047D264551}"/>
    <hyperlink ref="R30" r:id="rId57" xr:uid="{26AFD150-82E1-453A-93EF-5E8A48A071FA}"/>
    <hyperlink ref="R42" r:id="rId58" xr:uid="{3EE32177-945B-46BD-AEA1-C42F671DE2AB}"/>
    <hyperlink ref="R9" r:id="rId59" xr:uid="{2BF5BA89-2C8C-4A7A-AF5D-05D67D3DB3BF}"/>
    <hyperlink ref="R58" r:id="rId60" xr:uid="{CABB3F21-2DAC-4C19-8114-EC15AF40E377}"/>
    <hyperlink ref="R57" r:id="rId61" xr:uid="{10F3D82D-C324-41A9-BE00-1E948C71FBC1}"/>
    <hyperlink ref="R59" r:id="rId62" xr:uid="{1D43DF32-46DE-44B5-9B4B-4EE9346716CA}"/>
    <hyperlink ref="R47" r:id="rId63" xr:uid="{27820F10-9615-40E4-9F71-B71A85D3A4B7}"/>
    <hyperlink ref="R5" r:id="rId64" xr:uid="{E6D38007-9086-4ABA-8D1F-8F3568BE6BCA}"/>
    <hyperlink ref="R51" r:id="rId65" xr:uid="{C03DC3AF-A2EF-41D8-A908-A8C519CBD85F}"/>
    <hyperlink ref="R15" r:id="rId66" xr:uid="{C3353C49-9232-4D82-8433-6C7C0449734B}"/>
    <hyperlink ref="R18" r:id="rId67" xr:uid="{6433788E-AFEE-4733-8539-B5F2481FDBE0}"/>
    <hyperlink ref="R48" r:id="rId68" xr:uid="{093672BB-DCFE-49FF-B787-A4569EE8C8D2}"/>
    <hyperlink ref="R40" r:id="rId69" xr:uid="{78D28CAB-9E9C-47DB-91A1-CA7B73A34CFA}"/>
    <hyperlink ref="R79" r:id="rId70" xr:uid="{9779C2B4-A305-4F48-B1A2-F15BAF44D1A0}"/>
    <hyperlink ref="R28" r:id="rId71" xr:uid="{B4A0050F-E40E-4A6D-A029-461D8D8EF9BA}"/>
    <hyperlink ref="R126" r:id="rId72" xr:uid="{71E5BA8F-C590-4E29-95E3-31FC957A69C4}"/>
    <hyperlink ref="R80" r:id="rId73" xr:uid="{1898C726-643E-412B-BBF7-64A9F9A5ACC1}"/>
    <hyperlink ref="R86" r:id="rId74" xr:uid="{458F9408-6DFD-4DBB-9525-3FBC171B8141}"/>
    <hyperlink ref="R100" r:id="rId75" xr:uid="{08D3999A-13D5-4BEF-98D5-FE7883F775B8}"/>
    <hyperlink ref="R11" r:id="rId76" xr:uid="{35C21B62-B668-4CE1-BEBE-9568BCF67682}"/>
    <hyperlink ref="R103" r:id="rId77" xr:uid="{B5EA70BB-6057-4777-B292-B8E6937674EA}"/>
    <hyperlink ref="R13" r:id="rId78" xr:uid="{9BA64370-F1B7-43A9-8679-B3536A42C3C3}"/>
    <hyperlink ref="R92" r:id="rId79" xr:uid="{79E4664A-DDAF-4D06-8FF3-F707011797C0}"/>
    <hyperlink ref="S161" r:id="rId80" xr:uid="{BF9A2BFC-1ADB-4B17-ADDF-9DE397F113EF}"/>
    <hyperlink ref="S126" r:id="rId81" xr:uid="{74C49840-8A7C-4F13-BA6D-2266546B5342}"/>
    <hyperlink ref="S218" r:id="rId82" xr:uid="{C4BAD285-94BE-4F89-B9E0-51F4046DD017}"/>
    <hyperlink ref="S210" r:id="rId83" xr:uid="{BD1C2116-EFCB-4F31-8456-0BF148004CFB}"/>
    <hyperlink ref="R195" r:id="rId84" xr:uid="{2390D6DE-56AD-4250-9F54-1DF5C7E51908}"/>
    <hyperlink ref="R204" r:id="rId85" xr:uid="{6D80A28E-65E9-496A-B9B2-984957020D2D}"/>
    <hyperlink ref="S147" r:id="rId86" xr:uid="{C7E369D5-60A8-48D9-810B-6718685E9252}"/>
    <hyperlink ref="R72" r:id="rId87" xr:uid="{017CF4E7-E9EE-4FA7-89AD-D92C6BC71FD5}"/>
    <hyperlink ref="S149" r:id="rId88" xr:uid="{4115AE8B-83D8-4924-82FC-2A4DE0B8D994}"/>
    <hyperlink ref="S230" r:id="rId89" xr:uid="{E5C0F08E-71B7-4C6B-985C-E71C0CACB89D}"/>
    <hyperlink ref="R145" r:id="rId90" xr:uid="{8A876F0B-D2B5-408D-AAD5-103502F5A5F8}"/>
    <hyperlink ref="R172" r:id="rId91" xr:uid="{BED36B3C-2A7F-43A6-B667-7D5CDB3BA7DB}"/>
    <hyperlink ref="R196" r:id="rId92" xr:uid="{C8B3A223-5AB9-4750-B5BE-0D94D52242AD}"/>
    <hyperlink ref="R104" r:id="rId93" xr:uid="{C669164E-12BD-41C2-9F47-0B3BB2F9CAEB}"/>
    <hyperlink ref="S104" r:id="rId94" xr:uid="{B7BC676A-B25E-4F72-A345-114ABF9E9706}"/>
    <hyperlink ref="S190" r:id="rId95" xr:uid="{477A30D1-3FC3-4D7B-A578-F8AA24E2DE47}"/>
    <hyperlink ref="R270" r:id="rId96" xr:uid="{FD0F526D-6853-4452-8747-B7AC6B17CF55}"/>
    <hyperlink ref="S270" r:id="rId97" xr:uid="{4A9625E5-3F5A-43BA-B4A9-2EC7E1CE365E}"/>
    <hyperlink ref="R271" r:id="rId98" xr:uid="{24BD03C9-514B-4F9F-A733-F84B2AB21C8B}"/>
    <hyperlink ref="S271" r:id="rId99" xr:uid="{114116F3-7B3F-4C0C-828E-9EEDAB59E115}"/>
    <hyperlink ref="R272" r:id="rId100" xr:uid="{FE46736C-772E-4CFC-AF52-3B0118DEC864}"/>
    <hyperlink ref="S272" r:id="rId101" xr:uid="{727C713F-268F-46DF-A07B-6A6A4DB375B9}"/>
    <hyperlink ref="S273" r:id="rId102" xr:uid="{C35DEAB0-81F0-45D4-B5C9-73D779EF33A1}"/>
    <hyperlink ref="R274" r:id="rId103" xr:uid="{3014D5F3-507F-4D37-8313-8A1FF852BA1A}"/>
    <hyperlink ref="S274" r:id="rId104" xr:uid="{70E20DFD-64E1-41D9-A780-997A9705C687}"/>
    <hyperlink ref="R275" r:id="rId105" xr:uid="{511BA56A-3FDA-4124-9B0B-EE9B4D23B9AF}"/>
    <hyperlink ref="S275" r:id="rId106" xr:uid="{E4EAB517-F7A2-409D-91AA-A6FA7A86BA8E}"/>
    <hyperlink ref="R276" r:id="rId107" xr:uid="{ADE1ACF1-C671-4BCE-B3B0-85134791C49A}"/>
    <hyperlink ref="S276" r:id="rId108" xr:uid="{9FDF68DE-AB51-4189-9F79-E087845E8398}"/>
    <hyperlink ref="R279" r:id="rId109" xr:uid="{E53380C7-369F-4770-9C7A-34CDF9AA4860}"/>
    <hyperlink ref="S279" r:id="rId110" xr:uid="{9155F77A-D5A8-44FE-8FE8-A212392A3EB8}"/>
    <hyperlink ref="R280" r:id="rId111" xr:uid="{981DD11B-6E73-43FD-8716-211C4ED55B36}"/>
    <hyperlink ref="S280" r:id="rId112" xr:uid="{D34B0FF3-DA93-4080-B33E-1135FDA0CD46}"/>
    <hyperlink ref="R281" r:id="rId113" xr:uid="{BA95F896-9C71-4D90-85E8-387ABF2752ED}"/>
    <hyperlink ref="S281" r:id="rId114" xr:uid="{D3779908-084B-4E55-8F83-312584B18019}"/>
    <hyperlink ref="R282" r:id="rId115" xr:uid="{B02FE159-58F5-4439-A2CD-46869142C577}"/>
    <hyperlink ref="S282" r:id="rId116" xr:uid="{FA0A8A1F-248C-4B0F-83A6-0649DDE144DB}"/>
    <hyperlink ref="R284" r:id="rId117" xr:uid="{5BCB7DA1-38DD-46FB-9FB3-4369F7FCC729}"/>
    <hyperlink ref="S284" r:id="rId118" xr:uid="{063321F6-E5D2-4777-A647-1EE7E8D7B6EC}"/>
    <hyperlink ref="R283" r:id="rId119" xr:uid="{6F52426A-E26B-4208-8BDB-8F7566545A34}"/>
    <hyperlink ref="S283" r:id="rId120" xr:uid="{19093AC7-18B3-4918-939E-CEC23DCF738A}"/>
    <hyperlink ref="R285" r:id="rId121" xr:uid="{DB5450B0-1356-4EE4-B4CB-7FE413D5C237}"/>
    <hyperlink ref="S285" r:id="rId122" xr:uid="{704299DC-9D87-413A-984E-0A76B4E3EF52}"/>
    <hyperlink ref="R286" r:id="rId123" xr:uid="{38335258-BE2D-4424-9C1D-CBCF2ED091FF}"/>
    <hyperlink ref="S286" r:id="rId124" xr:uid="{E233C847-52A5-459F-9A2C-A295FEBC9E07}"/>
    <hyperlink ref="R287" r:id="rId125" xr:uid="{1B88AFE5-2650-42B0-9BAD-B85A97DA8B94}"/>
    <hyperlink ref="S287" r:id="rId126" xr:uid="{F273E237-E6C0-4161-804F-D73FD4F85219}"/>
    <hyperlink ref="R288" r:id="rId127" xr:uid="{9167076E-0D6E-4E3C-AD0B-457C81E4A38F}"/>
    <hyperlink ref="S288" r:id="rId128" xr:uid="{67737C07-0C3E-40F1-B086-457AD15DC547}"/>
    <hyperlink ref="R277" r:id="rId129" xr:uid="{86E5450E-E33A-4BCD-9FD5-559F87019DC1}"/>
    <hyperlink ref="S277" r:id="rId130" xr:uid="{B5A7EF04-1F02-4D8B-9E8D-F0D981628937}"/>
    <hyperlink ref="R278" r:id="rId131" xr:uid="{1320EC64-EBA5-495A-9B20-CD21747A897D}"/>
    <hyperlink ref="S278" r:id="rId132" xr:uid="{208665C0-4854-4DAD-9648-7B201EE47411}"/>
    <hyperlink ref="AU268" r:id="rId133" display="https://orcid.org/0000-0001-5509-9659" xr:uid="{7A7857EE-ABCC-4240-B2C6-5D1B00639957}"/>
    <hyperlink ref="AU270" r:id="rId134" display="https://orcid.org/0000-0002-5601-0326" xr:uid="{3C650EF0-198F-4788-BCAA-961AB8B2CB8F}"/>
    <hyperlink ref="AU272" r:id="rId135" display="http://orcid.org/0000-0002-1330-1545" xr:uid="{AF4762C4-67E4-4DC9-A1D1-E453D32EAD5A}"/>
    <hyperlink ref="AU276" r:id="rId136" display="https://orcid.org/0009-0003-7896-3659" xr:uid="{5CF40187-D207-4D3C-8D82-E8A3EBC767D0}"/>
    <hyperlink ref="AU277" r:id="rId137" display="https://orcid.org/0009-0006-2504-803" xr:uid="{8E67EF7F-E39B-4A4B-981E-7C7553A1EF9C}"/>
    <hyperlink ref="AU278" r:id="rId138" display="https://orcid.org/0009-0008-4921-4356?lang=en" xr:uid="{98768AEE-A10F-4C0F-B1F4-A673E50775C7}"/>
    <hyperlink ref="AU280" r:id="rId139" display="https://orcid.org/0000-0002-0686-1544" xr:uid="{273529C1-82BC-44D2-B860-5C4E3F2B029D}"/>
    <hyperlink ref="AU283" r:id="rId140" display="https://orcid.org/0000-0003-4295-3515" xr:uid="{595BFF5B-9626-4567-B150-D1BF2DB5A8FE}"/>
    <hyperlink ref="AU285" r:id="rId141" display="https://orcid.org/0000-0001-9368-5456" xr:uid="{A995A3C6-68F6-490D-91B6-FE0FC50D40E7}"/>
    <hyperlink ref="AU288" r:id="rId142" display="https://orcid.org/0000-0002-7621-4844" xr:uid="{245F3DDE-12B7-4792-BE77-170C5D89EAE3}"/>
    <hyperlink ref="R19" r:id="rId143" xr:uid="{CF1253FA-57F0-437D-BA51-E649625C35CE}"/>
    <hyperlink ref="S222" r:id="rId144" xr:uid="{10BD8932-2CA9-4DEC-8625-12B6DC14C5A5}"/>
    <hyperlink ref="R223" r:id="rId145" xr:uid="{F39AC910-C692-4B55-82F9-B4A723A0015D}"/>
    <hyperlink ref="S223" r:id="rId146" xr:uid="{FD6ADB42-4D82-462C-B289-AA409FFF2D02}"/>
    <hyperlink ref="R240" r:id="rId147" xr:uid="{6A6E866E-360D-45D4-A735-D18EC79FAEE2}"/>
    <hyperlink ref="S240" r:id="rId148" xr:uid="{D9FD686A-CA81-4936-8919-627BE98579BE}"/>
    <hyperlink ref="R224" r:id="rId149" xr:uid="{90DD1C9A-F4EE-4FD7-9A80-F2261FF44498}"/>
    <hyperlink ref="S224" r:id="rId150" xr:uid="{A3E6EA10-1E8C-4417-A30A-6456C3A038E8}"/>
    <hyperlink ref="R241" r:id="rId151" xr:uid="{FEC5253E-713F-4B7E-B294-641991932137}"/>
    <hyperlink ref="S241" r:id="rId152" xr:uid="{08B66626-2C01-480B-9431-FC89D8E6A30D}"/>
    <hyperlink ref="R227" r:id="rId153" xr:uid="{7AFA67BB-9D16-4CFB-8395-A938F5A52761}"/>
    <hyperlink ref="S227" r:id="rId154" xr:uid="{A3EB2C8A-E080-4ACD-A993-36D11447F1E4}"/>
    <hyperlink ref="R242" r:id="rId155" xr:uid="{C99CF1DF-8237-4DAE-9A42-EC0023FDD005}"/>
    <hyperlink ref="S242" r:id="rId156" xr:uid="{E9B9D84F-D05E-4405-A734-2159D6DA2349}"/>
    <hyperlink ref="R231" r:id="rId157" xr:uid="{0D434868-5899-4B13-9B90-E1F2AB870635}"/>
    <hyperlink ref="S231" r:id="rId158" xr:uid="{0BFC912E-D6F2-4728-AE41-0BC1C83CA311}"/>
    <hyperlink ref="R243" r:id="rId159" xr:uid="{76613357-4A82-4B3D-9C83-58881FFF5F94}"/>
    <hyperlink ref="S243" r:id="rId160" xr:uid="{1F83C9AE-7EE7-4899-9BBF-42C2DC2FDDC8}"/>
    <hyperlink ref="R233" r:id="rId161" xr:uid="{505A5511-1EA0-4330-88C4-C34342BC3D32}"/>
    <hyperlink ref="S233" r:id="rId162" xr:uid="{F36B3450-9D8C-4148-81B8-7A4189E99C18}"/>
    <hyperlink ref="R225" r:id="rId163" xr:uid="{28F54C11-B9F9-4002-AF46-D6C0374B1E8F}"/>
    <hyperlink ref="S225" r:id="rId164" xr:uid="{7E5D34B8-090C-49DA-AD74-01CB891F9A5A}"/>
    <hyperlink ref="R226" r:id="rId165" xr:uid="{AFB04B4A-3076-4C0F-A822-C15528A99422}"/>
    <hyperlink ref="S226" r:id="rId166" xr:uid="{959688F6-61AE-4CE3-8A33-ACA468018611}"/>
    <hyperlink ref="R245" r:id="rId167" xr:uid="{17C09E69-EF47-44B0-B6B6-D269B58F1C1E}"/>
    <hyperlink ref="S245" r:id="rId168" xr:uid="{CB18194E-0CBB-4205-BE01-7E66EDB5E3C5}"/>
    <hyperlink ref="R230" r:id="rId169" xr:uid="{02FBC1BB-4557-471F-A052-C07823008B4B}"/>
    <hyperlink ref="R232" r:id="rId170" xr:uid="{F692E06B-C5E9-4CE4-93B2-61748A51B266}"/>
    <hyperlink ref="S232" r:id="rId171" xr:uid="{5A346E5C-032C-4ED2-8724-84B990846C92}"/>
    <hyperlink ref="R236" r:id="rId172" xr:uid="{CF5D3C11-FB44-4DB9-8C60-EAE05CE8A2C4}"/>
    <hyperlink ref="S236" r:id="rId173" xr:uid="{E837CDB9-8C7C-4D92-A5AA-849F1670D4D9}"/>
    <hyperlink ref="R238" r:id="rId174" xr:uid="{9428321E-525C-4A89-BAD9-E4F9E87CA37D}"/>
    <hyperlink ref="S238" r:id="rId175" xr:uid="{F0D54536-D084-496A-AFF4-9C84801AEA5A}"/>
    <hyperlink ref="R246" r:id="rId176" xr:uid="{DE48C891-8C23-490A-909F-945453431552}"/>
    <hyperlink ref="S246" r:id="rId177" xr:uid="{4BD25894-5E03-4AAC-8D25-15A399C5A777}"/>
    <hyperlink ref="R239" r:id="rId178" xr:uid="{04FCCF80-4382-4AEE-96D7-C487165204A4}"/>
    <hyperlink ref="S239" r:id="rId179" xr:uid="{7A2AF499-44CF-4B80-BF30-C1E0C7EFC724}"/>
    <hyperlink ref="R151" r:id="rId180" xr:uid="{9A43CB39-148B-4834-A7EE-FE63EB49AB55}"/>
    <hyperlink ref="R218" r:id="rId181" xr:uid="{0E5AD8ED-B83C-4361-A4C9-5C376ABC41CD}"/>
    <hyperlink ref="R202" r:id="rId182" xr:uid="{8BCB03A9-E200-4997-B50B-991B347DF6FC}"/>
    <hyperlink ref="S202" r:id="rId183" xr:uid="{517F9C62-2C93-4578-8242-F9BD5E84561F}"/>
    <hyperlink ref="R150" r:id="rId184" xr:uid="{0A22C7F4-AD3B-44F7-8F1E-7450675ED581}"/>
    <hyperlink ref="S150" r:id="rId185" xr:uid="{63755387-BFBA-4A32-9E01-4D362EC0D380}"/>
    <hyperlink ref="R179" r:id="rId186" xr:uid="{1866841B-6C57-473C-81A4-0F7D91217B15}"/>
    <hyperlink ref="S179" r:id="rId187" xr:uid="{C33ACA53-0849-4DA9-BEA3-20AD4324F63D}"/>
    <hyperlink ref="R200" r:id="rId188" xr:uid="{0AAB5AFE-68B0-48F3-9614-B93C5B3BA709}"/>
    <hyperlink ref="S200" r:id="rId189" xr:uid="{85DD8AC0-E71E-41B2-B000-C89A5EA8C340}"/>
    <hyperlink ref="R45" r:id="rId190" xr:uid="{7468F332-6992-441F-B629-6BF93B5877D7}"/>
    <hyperlink ref="S45" r:id="rId191" xr:uid="{5721A6EE-1471-4F59-96C7-3BBCDDC0A927}"/>
    <hyperlink ref="R148" r:id="rId192" xr:uid="{6CA9FBBD-3A1A-4B84-AA31-D56C0AACA648}"/>
    <hyperlink ref="R212" r:id="rId193" xr:uid="{CB3C7732-F9D8-4A0E-B2D8-9FA79CA7FD3B}"/>
    <hyperlink ref="S212" r:id="rId194" xr:uid="{06E70407-58F6-4A96-9FA5-E872F62271FE}"/>
    <hyperlink ref="R149" r:id="rId195" xr:uid="{E4153D20-04D7-455A-8CB5-C05E7B340F57}"/>
  </hyperlinks>
  <pageMargins left="0.7" right="0.7" top="0.75" bottom="0.75" header="0.3" footer="0.3"/>
  <pageSetup orientation="portrait" r:id="rId196"/>
  <legacyDrawing r:id="rId197"/>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5"/>
  <dimension ref="A1:J27"/>
  <sheetViews>
    <sheetView workbookViewId="0">
      <pane ySplit="1" topLeftCell="A12" activePane="bottomLeft" state="frozen"/>
      <selection pane="bottomLeft" activeCell="F40" sqref="F40"/>
    </sheetView>
  </sheetViews>
  <sheetFormatPr defaultRowHeight="14.45"/>
  <cols>
    <col min="1" max="1" width="4.5703125" customWidth="1"/>
    <col min="2" max="2" width="24.42578125" customWidth="1"/>
    <col min="3" max="3" width="27.140625" customWidth="1"/>
    <col min="4" max="4" width="9.28515625" customWidth="1"/>
    <col min="5" max="5" width="10.7109375" customWidth="1"/>
    <col min="6" max="6" width="19.7109375" customWidth="1"/>
    <col min="7" max="7" width="19.5703125" customWidth="1"/>
    <col min="8" max="8" width="11.42578125" customWidth="1"/>
    <col min="9" max="9" width="28.7109375" customWidth="1"/>
    <col min="10" max="10" width="51.140625" customWidth="1"/>
    <col min="11" max="11" width="61.140625" customWidth="1"/>
  </cols>
  <sheetData>
    <row r="1" spans="1:10" ht="28.5" customHeight="1">
      <c r="A1" s="61" t="s">
        <v>4049</v>
      </c>
      <c r="B1" s="62" t="s">
        <v>4050</v>
      </c>
      <c r="C1" s="62" t="s">
        <v>4051</v>
      </c>
      <c r="D1" s="62" t="s">
        <v>29</v>
      </c>
      <c r="E1" s="63" t="s">
        <v>15</v>
      </c>
      <c r="F1" s="63" t="s">
        <v>4052</v>
      </c>
      <c r="G1" s="64" t="s">
        <v>4053</v>
      </c>
      <c r="H1" s="64" t="s">
        <v>4054</v>
      </c>
      <c r="I1" s="65" t="s">
        <v>4055</v>
      </c>
      <c r="J1" s="66" t="s">
        <v>4056</v>
      </c>
    </row>
    <row r="2" spans="1:10" ht="24.95" customHeight="1">
      <c r="A2" s="24">
        <v>1</v>
      </c>
      <c r="B2" s="24" t="s">
        <v>4057</v>
      </c>
      <c r="C2" s="24" t="s">
        <v>4058</v>
      </c>
      <c r="D2" s="24" t="s">
        <v>25</v>
      </c>
      <c r="E2" s="67">
        <v>3</v>
      </c>
      <c r="F2" s="67"/>
      <c r="G2" s="67">
        <v>2014</v>
      </c>
      <c r="H2" s="67">
        <v>2014</v>
      </c>
      <c r="I2" s="24" t="s">
        <v>4059</v>
      </c>
      <c r="J2" s="24"/>
    </row>
    <row r="3" spans="1:10" ht="24.95" customHeight="1">
      <c r="A3" s="24">
        <v>2</v>
      </c>
      <c r="B3" s="24" t="s">
        <v>4060</v>
      </c>
      <c r="C3" s="24" t="s">
        <v>40</v>
      </c>
      <c r="D3" s="24" t="s">
        <v>25</v>
      </c>
      <c r="E3" s="67">
        <v>3</v>
      </c>
      <c r="F3" s="67"/>
      <c r="G3" s="67">
        <v>2016</v>
      </c>
      <c r="H3" s="67">
        <v>2016</v>
      </c>
      <c r="I3" s="24" t="s">
        <v>4059</v>
      </c>
      <c r="J3" s="24"/>
    </row>
    <row r="4" spans="1:10" ht="24.95" customHeight="1">
      <c r="A4" s="24">
        <v>3</v>
      </c>
      <c r="B4" s="24" t="s">
        <v>4061</v>
      </c>
      <c r="C4" s="24" t="s">
        <v>42</v>
      </c>
      <c r="D4" s="24" t="s">
        <v>25</v>
      </c>
      <c r="E4" s="67">
        <v>1</v>
      </c>
      <c r="F4" s="67" t="s">
        <v>150</v>
      </c>
      <c r="G4" s="68">
        <v>42583</v>
      </c>
      <c r="H4" s="67">
        <v>2016</v>
      </c>
      <c r="I4" s="24" t="s">
        <v>4059</v>
      </c>
      <c r="J4" s="24"/>
    </row>
    <row r="5" spans="1:10" ht="24.95" customHeight="1">
      <c r="A5" s="24">
        <v>4</v>
      </c>
      <c r="B5" s="24" t="s">
        <v>4062</v>
      </c>
      <c r="C5" s="24" t="s">
        <v>42</v>
      </c>
      <c r="D5" s="24" t="s">
        <v>24</v>
      </c>
      <c r="E5" s="67">
        <v>2</v>
      </c>
      <c r="F5" s="67" t="s">
        <v>4063</v>
      </c>
      <c r="G5" s="67" t="s">
        <v>4064</v>
      </c>
      <c r="H5" s="67">
        <v>2016</v>
      </c>
      <c r="I5" s="24" t="s">
        <v>4065</v>
      </c>
      <c r="J5" s="24"/>
    </row>
    <row r="6" spans="1:10" ht="24.95" customHeight="1">
      <c r="A6" s="24">
        <v>5</v>
      </c>
      <c r="B6" s="24" t="s">
        <v>4066</v>
      </c>
      <c r="C6" s="24" t="s">
        <v>43</v>
      </c>
      <c r="D6" s="24" t="s">
        <v>25</v>
      </c>
      <c r="E6" s="67">
        <v>7</v>
      </c>
      <c r="F6" s="67" t="s">
        <v>4067</v>
      </c>
      <c r="G6" s="67">
        <v>2017</v>
      </c>
      <c r="H6" s="67">
        <v>2017</v>
      </c>
      <c r="I6" s="24" t="s">
        <v>4059</v>
      </c>
      <c r="J6" s="24"/>
    </row>
    <row r="7" spans="1:10" ht="24.95" customHeight="1">
      <c r="A7" s="24">
        <v>6</v>
      </c>
      <c r="B7" s="24" t="s">
        <v>4068</v>
      </c>
      <c r="C7" s="24" t="s">
        <v>46</v>
      </c>
      <c r="D7" s="24" t="s">
        <v>25</v>
      </c>
      <c r="E7" s="67">
        <v>5</v>
      </c>
      <c r="F7" s="67" t="s">
        <v>4069</v>
      </c>
      <c r="G7" s="67">
        <v>2017</v>
      </c>
      <c r="H7" s="67">
        <v>2017</v>
      </c>
      <c r="I7" s="24" t="s">
        <v>4070</v>
      </c>
      <c r="J7" s="24"/>
    </row>
    <row r="8" spans="1:10" ht="24.95" customHeight="1">
      <c r="A8" s="24">
        <v>7</v>
      </c>
      <c r="B8" s="24" t="s">
        <v>4071</v>
      </c>
      <c r="C8" s="24" t="s">
        <v>42</v>
      </c>
      <c r="D8" s="24" t="s">
        <v>24</v>
      </c>
      <c r="E8" s="67">
        <v>5</v>
      </c>
      <c r="F8" s="67" t="s">
        <v>4069</v>
      </c>
      <c r="G8" s="67">
        <v>2018</v>
      </c>
      <c r="H8" s="67">
        <v>2018</v>
      </c>
      <c r="I8" s="24" t="s">
        <v>4059</v>
      </c>
      <c r="J8" s="24"/>
    </row>
    <row r="9" spans="1:10" ht="24.95" customHeight="1">
      <c r="A9" s="24">
        <v>8</v>
      </c>
      <c r="B9" s="24" t="s">
        <v>4072</v>
      </c>
      <c r="C9" s="24" t="s">
        <v>37</v>
      </c>
      <c r="D9" s="24" t="s">
        <v>25</v>
      </c>
      <c r="E9" s="67">
        <v>6</v>
      </c>
      <c r="F9" s="67"/>
      <c r="G9" s="67">
        <v>2018</v>
      </c>
      <c r="H9" s="67">
        <v>2018</v>
      </c>
      <c r="I9" s="24" t="s">
        <v>4059</v>
      </c>
      <c r="J9" s="24"/>
    </row>
    <row r="10" spans="1:10" ht="24.95" customHeight="1">
      <c r="A10" s="24">
        <v>9</v>
      </c>
      <c r="B10" s="24" t="s">
        <v>4073</v>
      </c>
      <c r="C10" s="24" t="s">
        <v>41</v>
      </c>
      <c r="D10" s="24" t="s">
        <v>25</v>
      </c>
      <c r="E10" s="67">
        <v>5</v>
      </c>
      <c r="F10" s="67" t="s">
        <v>157</v>
      </c>
      <c r="G10" s="67">
        <v>2018</v>
      </c>
      <c r="H10" s="67">
        <v>2018</v>
      </c>
      <c r="I10" s="24" t="s">
        <v>4059</v>
      </c>
      <c r="J10" s="24"/>
    </row>
    <row r="11" spans="1:10" ht="24.95" customHeight="1">
      <c r="A11" s="24">
        <v>10</v>
      </c>
      <c r="B11" s="24" t="s">
        <v>4074</v>
      </c>
      <c r="C11" s="24" t="s">
        <v>42</v>
      </c>
      <c r="D11" s="24" t="s">
        <v>24</v>
      </c>
      <c r="E11" s="67">
        <v>1</v>
      </c>
      <c r="F11" s="67" t="s">
        <v>4075</v>
      </c>
      <c r="G11" s="67" t="s">
        <v>4076</v>
      </c>
      <c r="H11" s="67"/>
      <c r="I11" s="24" t="s">
        <v>4059</v>
      </c>
      <c r="J11" s="24"/>
    </row>
    <row r="12" spans="1:10" ht="24.95" customHeight="1">
      <c r="A12" s="24">
        <v>11</v>
      </c>
      <c r="B12" s="24" t="s">
        <v>4077</v>
      </c>
      <c r="C12" s="24" t="s">
        <v>41</v>
      </c>
      <c r="D12" s="24" t="s">
        <v>24</v>
      </c>
      <c r="E12" s="67">
        <v>1</v>
      </c>
      <c r="F12" s="67" t="s">
        <v>4078</v>
      </c>
      <c r="G12" s="67" t="s">
        <v>4076</v>
      </c>
      <c r="H12" s="67"/>
      <c r="I12" s="24" t="s">
        <v>4059</v>
      </c>
      <c r="J12" s="24"/>
    </row>
    <row r="13" spans="1:10" ht="24.95" customHeight="1">
      <c r="A13" s="24">
        <v>12</v>
      </c>
      <c r="B13" s="24" t="s">
        <v>4079</v>
      </c>
      <c r="C13" s="24" t="s">
        <v>46</v>
      </c>
      <c r="D13" s="24" t="s">
        <v>25</v>
      </c>
      <c r="E13" s="67">
        <v>4</v>
      </c>
      <c r="F13" s="67"/>
      <c r="G13" s="69">
        <v>43867</v>
      </c>
      <c r="H13" s="67">
        <v>2020</v>
      </c>
      <c r="I13" s="24" t="s">
        <v>4059</v>
      </c>
      <c r="J13" s="24"/>
    </row>
    <row r="14" spans="1:10" ht="24.95" customHeight="1">
      <c r="A14" s="24">
        <v>13</v>
      </c>
      <c r="B14" s="24" t="s">
        <v>4080</v>
      </c>
      <c r="C14" s="24" t="s">
        <v>35</v>
      </c>
      <c r="D14" s="24" t="s">
        <v>24</v>
      </c>
      <c r="E14" s="67">
        <v>8</v>
      </c>
      <c r="F14" s="67"/>
      <c r="G14" s="69">
        <v>43867</v>
      </c>
      <c r="H14" s="67">
        <v>2020</v>
      </c>
      <c r="I14" s="24" t="s">
        <v>4081</v>
      </c>
      <c r="J14" s="70" t="s">
        <v>4082</v>
      </c>
    </row>
    <row r="15" spans="1:10" ht="24.95" customHeight="1">
      <c r="A15" s="24">
        <v>14</v>
      </c>
      <c r="B15" s="24" t="s">
        <v>4083</v>
      </c>
      <c r="C15" s="24" t="s">
        <v>35</v>
      </c>
      <c r="D15" s="24" t="s">
        <v>25</v>
      </c>
      <c r="E15" s="67">
        <v>5</v>
      </c>
      <c r="F15" s="67"/>
      <c r="G15" s="69">
        <v>43930</v>
      </c>
      <c r="H15" s="67">
        <v>2020</v>
      </c>
      <c r="I15" s="24" t="s">
        <v>4059</v>
      </c>
      <c r="J15" s="70"/>
    </row>
    <row r="16" spans="1:10" ht="24.95" customHeight="1">
      <c r="A16" s="24">
        <v>15</v>
      </c>
      <c r="B16" s="24" t="s">
        <v>4084</v>
      </c>
      <c r="C16" s="24" t="s">
        <v>38</v>
      </c>
      <c r="D16" s="24" t="s">
        <v>25</v>
      </c>
      <c r="E16" s="67">
        <v>7</v>
      </c>
      <c r="F16" s="67"/>
      <c r="G16" s="69">
        <v>43930</v>
      </c>
      <c r="H16" s="67">
        <v>2020</v>
      </c>
      <c r="I16" s="24" t="s">
        <v>4059</v>
      </c>
      <c r="J16" s="70" t="s">
        <v>4085</v>
      </c>
    </row>
    <row r="17" spans="1:10" ht="24.95" customHeight="1">
      <c r="A17" s="24">
        <v>16</v>
      </c>
      <c r="B17" s="24" t="s">
        <v>4086</v>
      </c>
      <c r="C17" s="24" t="s">
        <v>42</v>
      </c>
      <c r="D17" s="24" t="s">
        <v>24</v>
      </c>
      <c r="E17" s="67">
        <v>7</v>
      </c>
      <c r="F17" s="67"/>
      <c r="G17" s="69">
        <v>44214</v>
      </c>
      <c r="H17" s="67">
        <v>2021</v>
      </c>
      <c r="I17" s="24" t="s">
        <v>4087</v>
      </c>
      <c r="J17" s="70" t="s">
        <v>4088</v>
      </c>
    </row>
    <row r="18" spans="1:10" ht="24.95" customHeight="1">
      <c r="A18" s="24">
        <v>17</v>
      </c>
      <c r="B18" s="24" t="s">
        <v>4089</v>
      </c>
      <c r="C18" s="24" t="s">
        <v>46</v>
      </c>
      <c r="D18" s="24" t="s">
        <v>25</v>
      </c>
      <c r="E18" s="67">
        <v>8</v>
      </c>
      <c r="F18" s="67"/>
      <c r="G18" s="69">
        <v>44400</v>
      </c>
      <c r="H18" s="67">
        <v>2021</v>
      </c>
      <c r="I18" s="24" t="s">
        <v>4059</v>
      </c>
      <c r="J18" s="70" t="s">
        <v>4090</v>
      </c>
    </row>
    <row r="19" spans="1:10" ht="24.95" customHeight="1">
      <c r="A19" s="24">
        <v>18</v>
      </c>
      <c r="B19" s="24" t="s">
        <v>4091</v>
      </c>
      <c r="C19" s="24" t="s">
        <v>35</v>
      </c>
      <c r="D19" s="24" t="s">
        <v>25</v>
      </c>
      <c r="E19" s="67">
        <v>8</v>
      </c>
      <c r="F19" s="67"/>
      <c r="G19" s="69">
        <v>44651</v>
      </c>
      <c r="H19" s="67">
        <v>2022</v>
      </c>
      <c r="I19" s="24" t="s">
        <v>4092</v>
      </c>
      <c r="J19" s="70" t="s">
        <v>4093</v>
      </c>
    </row>
    <row r="20" spans="1:10" ht="24.95" customHeight="1">
      <c r="A20" s="24">
        <v>19</v>
      </c>
      <c r="B20" s="24" t="s">
        <v>4094</v>
      </c>
      <c r="C20" s="24" t="s">
        <v>42</v>
      </c>
      <c r="D20" s="24" t="s">
        <v>24</v>
      </c>
      <c r="E20" s="67">
        <v>9</v>
      </c>
      <c r="F20" s="67"/>
      <c r="G20" s="69">
        <v>44818</v>
      </c>
      <c r="H20" s="67">
        <v>2022</v>
      </c>
      <c r="I20" s="24" t="s">
        <v>4087</v>
      </c>
      <c r="J20" s="70" t="s">
        <v>4095</v>
      </c>
    </row>
    <row r="21" spans="1:10" ht="24.95" customHeight="1">
      <c r="A21" s="24">
        <v>20</v>
      </c>
      <c r="B21" s="24" t="s">
        <v>4096</v>
      </c>
      <c r="C21" s="24" t="s">
        <v>35</v>
      </c>
      <c r="D21" s="24" t="s">
        <v>24</v>
      </c>
      <c r="E21" s="67">
        <v>9</v>
      </c>
      <c r="F21" s="67"/>
      <c r="G21" s="69">
        <v>44818</v>
      </c>
      <c r="H21" s="67">
        <v>2022</v>
      </c>
      <c r="I21" s="24" t="s">
        <v>4059</v>
      </c>
      <c r="J21" s="70" t="s">
        <v>4097</v>
      </c>
    </row>
    <row r="22" spans="1:10" ht="24.95" customHeight="1">
      <c r="A22" s="24">
        <v>21</v>
      </c>
      <c r="B22" s="24" t="s">
        <v>4098</v>
      </c>
      <c r="C22" s="24" t="s">
        <v>35</v>
      </c>
      <c r="D22" s="24" t="s">
        <v>25</v>
      </c>
      <c r="E22" s="67">
        <v>10</v>
      </c>
      <c r="F22" s="67"/>
      <c r="G22" s="69">
        <v>45107</v>
      </c>
      <c r="H22" s="67">
        <v>2023</v>
      </c>
      <c r="I22" s="24" t="s">
        <v>4059</v>
      </c>
      <c r="J22" s="70" t="s">
        <v>4099</v>
      </c>
    </row>
    <row r="23" spans="1:10" ht="24.95" customHeight="1">
      <c r="A23" s="24">
        <v>22</v>
      </c>
      <c r="B23" s="24" t="s">
        <v>4100</v>
      </c>
      <c r="C23" s="24" t="s">
        <v>4058</v>
      </c>
      <c r="D23" s="24"/>
      <c r="E23" s="67">
        <v>2</v>
      </c>
      <c r="F23" s="67"/>
      <c r="G23" s="69">
        <v>45741</v>
      </c>
      <c r="H23" s="67">
        <v>2025</v>
      </c>
      <c r="I23" s="70" t="s">
        <v>4101</v>
      </c>
      <c r="J23" s="70"/>
    </row>
    <row r="24" spans="1:10" ht="24.95" customHeight="1">
      <c r="A24" s="24">
        <v>23</v>
      </c>
      <c r="B24" s="24" t="s">
        <v>4102</v>
      </c>
      <c r="C24" s="24" t="s">
        <v>4058</v>
      </c>
      <c r="D24" s="24"/>
      <c r="E24" s="67">
        <v>2</v>
      </c>
      <c r="F24" s="67"/>
      <c r="G24" s="69">
        <v>45741</v>
      </c>
      <c r="H24" s="67">
        <v>2025</v>
      </c>
      <c r="I24" s="70" t="s">
        <v>4103</v>
      </c>
      <c r="J24" s="70"/>
    </row>
    <row r="25" spans="1:10" ht="24.95" customHeight="1">
      <c r="A25" s="24">
        <v>24</v>
      </c>
      <c r="B25" s="24" t="s">
        <v>4104</v>
      </c>
      <c r="C25" s="24" t="s">
        <v>4058</v>
      </c>
      <c r="D25" s="24"/>
      <c r="E25" s="67">
        <v>3</v>
      </c>
      <c r="F25" s="67"/>
      <c r="G25" s="69">
        <v>45741</v>
      </c>
      <c r="H25" s="67">
        <v>2025</v>
      </c>
      <c r="I25" s="70" t="s">
        <v>4105</v>
      </c>
      <c r="J25" s="70"/>
    </row>
    <row r="26" spans="1:10" ht="24.95" customHeight="1">
      <c r="A26" s="24">
        <v>25</v>
      </c>
      <c r="B26" s="24" t="s">
        <v>4106</v>
      </c>
      <c r="C26" s="24" t="s">
        <v>4058</v>
      </c>
      <c r="D26" s="24"/>
      <c r="E26" s="67">
        <v>5</v>
      </c>
      <c r="F26" s="67"/>
      <c r="G26" s="69">
        <v>45741</v>
      </c>
      <c r="H26" s="67">
        <v>2025</v>
      </c>
      <c r="I26" s="70" t="s">
        <v>4107</v>
      </c>
      <c r="J26" s="70"/>
    </row>
    <row r="27" spans="1:10">
      <c r="A27" s="24">
        <v>26</v>
      </c>
      <c r="B27" s="24" t="s">
        <v>4108</v>
      </c>
      <c r="C27" s="24" t="s">
        <v>43</v>
      </c>
      <c r="D27" s="24" t="s">
        <v>25</v>
      </c>
      <c r="E27" s="67">
        <v>11</v>
      </c>
      <c r="F27" s="67"/>
      <c r="G27" s="69" t="s">
        <v>3816</v>
      </c>
      <c r="H27" s="67">
        <v>2025</v>
      </c>
      <c r="I27" s="24" t="s">
        <v>4109</v>
      </c>
      <c r="J27" s="24" t="s">
        <v>4110</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4C7AB9-FD37-4087-A082-C8E27824440D}">
  <dimension ref="E2:H63"/>
  <sheetViews>
    <sheetView topLeftCell="A16" workbookViewId="0">
      <selection activeCell="K17" sqref="K17"/>
    </sheetView>
  </sheetViews>
  <sheetFormatPr defaultRowHeight="14.45"/>
  <cols>
    <col min="5" max="5" width="41.85546875" customWidth="1"/>
    <col min="6" max="6" width="10.85546875" customWidth="1"/>
    <col min="7" max="7" width="5.7109375" customWidth="1"/>
    <col min="8" max="8" width="11.7109375" bestFit="1" customWidth="1"/>
    <col min="9" max="9" width="9.28515625" bestFit="1" customWidth="1"/>
    <col min="10" max="10" width="10.7109375" bestFit="1" customWidth="1"/>
  </cols>
  <sheetData>
    <row r="2" spans="5:8">
      <c r="E2" s="54" t="s">
        <v>120</v>
      </c>
      <c r="F2" t="s">
        <v>4111</v>
      </c>
    </row>
    <row r="4" spans="5:8">
      <c r="E4" s="54" t="s">
        <v>13</v>
      </c>
      <c r="F4" s="54" t="s">
        <v>29</v>
      </c>
      <c r="G4" s="54" t="s">
        <v>14</v>
      </c>
    </row>
    <row r="5" spans="5:8">
      <c r="F5" t="s">
        <v>24</v>
      </c>
      <c r="G5" t="s">
        <v>4112</v>
      </c>
      <c r="H5" t="s">
        <v>19</v>
      </c>
    </row>
    <row r="6" spans="5:8">
      <c r="E6" s="54" t="s">
        <v>34</v>
      </c>
      <c r="F6" t="s">
        <v>16</v>
      </c>
    </row>
    <row r="7" spans="5:8">
      <c r="E7" t="s">
        <v>37</v>
      </c>
      <c r="F7">
        <v>1</v>
      </c>
      <c r="G7">
        <v>1</v>
      </c>
      <c r="H7">
        <v>1</v>
      </c>
    </row>
    <row r="8" spans="5:8">
      <c r="E8" t="s">
        <v>39</v>
      </c>
      <c r="F8">
        <v>1</v>
      </c>
      <c r="G8">
        <v>1</v>
      </c>
      <c r="H8">
        <v>1</v>
      </c>
    </row>
    <row r="9" spans="5:8">
      <c r="E9" t="s">
        <v>31</v>
      </c>
      <c r="F9">
        <v>1</v>
      </c>
      <c r="G9">
        <v>1</v>
      </c>
      <c r="H9">
        <v>1</v>
      </c>
    </row>
    <row r="10" spans="5:8">
      <c r="E10" t="s">
        <v>42</v>
      </c>
      <c r="F10">
        <v>1</v>
      </c>
      <c r="G10">
        <v>1</v>
      </c>
      <c r="H10">
        <v>1</v>
      </c>
    </row>
    <row r="11" spans="5:8">
      <c r="E11" t="s">
        <v>45</v>
      </c>
      <c r="F11">
        <v>2</v>
      </c>
      <c r="G11">
        <v>2</v>
      </c>
      <c r="H11">
        <v>2</v>
      </c>
    </row>
    <row r="12" spans="5:8">
      <c r="E12" t="s">
        <v>19</v>
      </c>
      <c r="F12">
        <v>6</v>
      </c>
      <c r="G12">
        <v>6</v>
      </c>
      <c r="H12">
        <v>6</v>
      </c>
    </row>
    <row r="24" spans="5:8">
      <c r="E24" s="54" t="s">
        <v>14</v>
      </c>
      <c r="F24" t="s">
        <v>30</v>
      </c>
    </row>
    <row r="26" spans="5:8">
      <c r="E26" s="54" t="s">
        <v>21</v>
      </c>
      <c r="F26" s="54" t="s">
        <v>29</v>
      </c>
    </row>
    <row r="27" spans="5:8">
      <c r="E27" s="54" t="s">
        <v>34</v>
      </c>
      <c r="F27" t="s">
        <v>24</v>
      </c>
      <c r="G27" t="s">
        <v>25</v>
      </c>
      <c r="H27" t="s">
        <v>19</v>
      </c>
    </row>
    <row r="28" spans="5:8">
      <c r="E28" t="s">
        <v>36</v>
      </c>
      <c r="G28">
        <v>2</v>
      </c>
      <c r="H28">
        <v>2</v>
      </c>
    </row>
    <row r="29" spans="5:8">
      <c r="E29" t="s">
        <v>38</v>
      </c>
      <c r="F29">
        <v>1</v>
      </c>
      <c r="G29">
        <v>4</v>
      </c>
      <c r="H29">
        <v>5</v>
      </c>
    </row>
    <row r="30" spans="5:8">
      <c r="E30" t="s">
        <v>40</v>
      </c>
      <c r="F30">
        <v>6</v>
      </c>
      <c r="G30">
        <v>3</v>
      </c>
      <c r="H30">
        <v>9</v>
      </c>
    </row>
    <row r="31" spans="5:8">
      <c r="E31" t="s">
        <v>35</v>
      </c>
      <c r="F31">
        <v>11</v>
      </c>
      <c r="G31">
        <v>16</v>
      </c>
      <c r="H31">
        <v>27</v>
      </c>
    </row>
    <row r="32" spans="5:8">
      <c r="E32" t="s">
        <v>37</v>
      </c>
      <c r="F32">
        <v>16</v>
      </c>
      <c r="G32">
        <v>5</v>
      </c>
      <c r="H32">
        <v>21</v>
      </c>
    </row>
    <row r="33" spans="5:8">
      <c r="E33" t="s">
        <v>39</v>
      </c>
      <c r="F33">
        <v>18</v>
      </c>
      <c r="G33">
        <v>15</v>
      </c>
      <c r="H33">
        <v>33</v>
      </c>
    </row>
    <row r="34" spans="5:8">
      <c r="E34" t="s">
        <v>41</v>
      </c>
      <c r="F34">
        <v>3</v>
      </c>
      <c r="G34">
        <v>3</v>
      </c>
      <c r="H34">
        <v>6</v>
      </c>
    </row>
    <row r="35" spans="5:8">
      <c r="E35" t="s">
        <v>31</v>
      </c>
      <c r="F35">
        <v>23</v>
      </c>
      <c r="G35">
        <v>16</v>
      </c>
      <c r="H35">
        <v>39</v>
      </c>
    </row>
    <row r="36" spans="5:8">
      <c r="E36" t="s">
        <v>46</v>
      </c>
      <c r="F36">
        <v>12</v>
      </c>
      <c r="G36">
        <v>21</v>
      </c>
      <c r="H36">
        <v>33</v>
      </c>
    </row>
    <row r="37" spans="5:8">
      <c r="E37" t="s">
        <v>42</v>
      </c>
      <c r="F37">
        <v>23</v>
      </c>
      <c r="G37">
        <v>7</v>
      </c>
      <c r="H37">
        <v>30</v>
      </c>
    </row>
    <row r="38" spans="5:8">
      <c r="E38" t="s">
        <v>43</v>
      </c>
      <c r="F38">
        <v>11</v>
      </c>
      <c r="G38">
        <v>16</v>
      </c>
      <c r="H38">
        <v>27</v>
      </c>
    </row>
    <row r="39" spans="5:8">
      <c r="E39" t="s">
        <v>45</v>
      </c>
      <c r="F39">
        <v>22</v>
      </c>
      <c r="G39">
        <v>9</v>
      </c>
      <c r="H39">
        <v>31</v>
      </c>
    </row>
    <row r="40" spans="5:8">
      <c r="E40" t="s">
        <v>47</v>
      </c>
      <c r="F40">
        <v>1</v>
      </c>
      <c r="G40">
        <v>1</v>
      </c>
      <c r="H40">
        <v>2</v>
      </c>
    </row>
    <row r="41" spans="5:8">
      <c r="E41" t="s">
        <v>19</v>
      </c>
      <c r="F41">
        <v>147</v>
      </c>
      <c r="G41">
        <v>118</v>
      </c>
      <c r="H41">
        <v>265</v>
      </c>
    </row>
    <row r="46" spans="5:8">
      <c r="E46" s="54" t="s">
        <v>99</v>
      </c>
      <c r="F46" t="s">
        <v>30</v>
      </c>
    </row>
    <row r="48" spans="5:8">
      <c r="E48" s="54" t="s">
        <v>21</v>
      </c>
      <c r="F48" s="54" t="s">
        <v>29</v>
      </c>
    </row>
    <row r="49" spans="5:8">
      <c r="E49" s="54" t="s">
        <v>34</v>
      </c>
      <c r="F49" t="s">
        <v>24</v>
      </c>
      <c r="G49" t="s">
        <v>25</v>
      </c>
      <c r="H49" t="s">
        <v>19</v>
      </c>
    </row>
    <row r="50" spans="5:8">
      <c r="E50" t="s">
        <v>36</v>
      </c>
      <c r="G50">
        <v>2</v>
      </c>
      <c r="H50">
        <v>2</v>
      </c>
    </row>
    <row r="51" spans="5:8">
      <c r="E51" t="s">
        <v>38</v>
      </c>
      <c r="F51">
        <v>1</v>
      </c>
      <c r="G51">
        <v>4</v>
      </c>
      <c r="H51">
        <v>5</v>
      </c>
    </row>
    <row r="52" spans="5:8">
      <c r="E52" t="s">
        <v>40</v>
      </c>
      <c r="F52">
        <v>6</v>
      </c>
      <c r="G52">
        <v>3</v>
      </c>
      <c r="H52">
        <v>9</v>
      </c>
    </row>
    <row r="53" spans="5:8">
      <c r="E53" t="s">
        <v>35</v>
      </c>
      <c r="F53">
        <v>11</v>
      </c>
      <c r="G53">
        <v>16</v>
      </c>
      <c r="H53">
        <v>27</v>
      </c>
    </row>
    <row r="54" spans="5:8">
      <c r="E54" t="s">
        <v>37</v>
      </c>
      <c r="F54">
        <v>16</v>
      </c>
      <c r="G54">
        <v>5</v>
      </c>
      <c r="H54">
        <v>21</v>
      </c>
    </row>
    <row r="55" spans="5:8">
      <c r="E55" t="s">
        <v>39</v>
      </c>
      <c r="F55">
        <v>18</v>
      </c>
      <c r="G55">
        <v>15</v>
      </c>
      <c r="H55">
        <v>33</v>
      </c>
    </row>
    <row r="56" spans="5:8">
      <c r="E56" t="s">
        <v>47</v>
      </c>
      <c r="F56">
        <v>1</v>
      </c>
      <c r="G56">
        <v>1</v>
      </c>
      <c r="H56">
        <v>2</v>
      </c>
    </row>
    <row r="57" spans="5:8">
      <c r="E57" t="s">
        <v>41</v>
      </c>
      <c r="F57">
        <v>3</v>
      </c>
      <c r="G57">
        <v>3</v>
      </c>
      <c r="H57">
        <v>6</v>
      </c>
    </row>
    <row r="58" spans="5:8">
      <c r="E58" t="s">
        <v>31</v>
      </c>
      <c r="F58">
        <v>23</v>
      </c>
      <c r="G58">
        <v>16</v>
      </c>
      <c r="H58">
        <v>39</v>
      </c>
    </row>
    <row r="59" spans="5:8">
      <c r="E59" t="s">
        <v>46</v>
      </c>
      <c r="F59">
        <v>12</v>
      </c>
      <c r="G59">
        <v>21</v>
      </c>
      <c r="H59">
        <v>33</v>
      </c>
    </row>
    <row r="60" spans="5:8">
      <c r="E60" t="s">
        <v>42</v>
      </c>
      <c r="F60">
        <v>23</v>
      </c>
      <c r="G60">
        <v>7</v>
      </c>
      <c r="H60">
        <v>30</v>
      </c>
    </row>
    <row r="61" spans="5:8">
      <c r="E61" t="s">
        <v>43</v>
      </c>
      <c r="F61">
        <v>11</v>
      </c>
      <c r="G61">
        <v>16</v>
      </c>
      <c r="H61">
        <v>27</v>
      </c>
    </row>
    <row r="62" spans="5:8">
      <c r="E62" t="s">
        <v>45</v>
      </c>
      <c r="F62">
        <v>22</v>
      </c>
      <c r="G62">
        <v>9</v>
      </c>
      <c r="H62">
        <v>31</v>
      </c>
    </row>
    <row r="63" spans="5:8">
      <c r="E63" t="s">
        <v>19</v>
      </c>
      <c r="F63">
        <v>147</v>
      </c>
      <c r="G63">
        <v>118</v>
      </c>
      <c r="H63">
        <v>265</v>
      </c>
    </row>
  </sheetData>
  <pageMargins left="0.7" right="0.7" top="0.75" bottom="0.75" header="0.3" footer="0.3"/>
  <drawing r:id="rId4"/>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A33BC4-137D-452D-8F38-62E315CD0A55}">
  <dimension ref="A1:B28"/>
  <sheetViews>
    <sheetView topLeftCell="A10" workbookViewId="0">
      <selection activeCell="D20" sqref="D20"/>
    </sheetView>
  </sheetViews>
  <sheetFormatPr defaultRowHeight="14.45"/>
  <cols>
    <col min="1" max="1" width="36.42578125" bestFit="1" customWidth="1"/>
    <col min="2" max="2" width="13" bestFit="1" customWidth="1"/>
    <col min="3" max="3" width="14.140625" bestFit="1" customWidth="1"/>
    <col min="4" max="5" width="11.7109375" bestFit="1" customWidth="1"/>
  </cols>
  <sheetData>
    <row r="1" spans="1:2">
      <c r="A1" s="54" t="s">
        <v>120</v>
      </c>
      <c r="B1" t="s">
        <v>30</v>
      </c>
    </row>
    <row r="3" spans="1:2">
      <c r="A3" s="54" t="s">
        <v>14</v>
      </c>
      <c r="B3" t="s">
        <v>21</v>
      </c>
    </row>
    <row r="4" spans="1:2">
      <c r="A4" t="s">
        <v>16</v>
      </c>
      <c r="B4">
        <v>195</v>
      </c>
    </row>
    <row r="5" spans="1:2">
      <c r="A5" t="s">
        <v>17</v>
      </c>
      <c r="B5">
        <v>44</v>
      </c>
    </row>
    <row r="6" spans="1:2">
      <c r="A6" t="s">
        <v>18</v>
      </c>
      <c r="B6">
        <v>26</v>
      </c>
    </row>
    <row r="7" spans="1:2">
      <c r="A7" t="s">
        <v>19</v>
      </c>
      <c r="B7">
        <v>265</v>
      </c>
    </row>
    <row r="14" spans="1:2">
      <c r="A14" s="54" t="s">
        <v>120</v>
      </c>
      <c r="B14" t="s">
        <v>30</v>
      </c>
    </row>
    <row r="15" spans="1:2">
      <c r="A15" s="54" t="s">
        <v>15</v>
      </c>
      <c r="B15" t="s">
        <v>30</v>
      </c>
    </row>
    <row r="17" spans="1:2">
      <c r="A17" s="54" t="s">
        <v>50</v>
      </c>
      <c r="B17" t="s">
        <v>21</v>
      </c>
    </row>
    <row r="18" spans="1:2">
      <c r="A18" t="s">
        <v>52</v>
      </c>
      <c r="B18">
        <v>58</v>
      </c>
    </row>
    <row r="19" spans="1:2">
      <c r="A19" t="s">
        <v>53</v>
      </c>
      <c r="B19">
        <v>39</v>
      </c>
    </row>
    <row r="20" spans="1:2">
      <c r="A20" t="s">
        <v>54</v>
      </c>
      <c r="B20">
        <v>78</v>
      </c>
    </row>
    <row r="21" spans="1:2">
      <c r="A21" t="s">
        <v>55</v>
      </c>
      <c r="B21">
        <v>31</v>
      </c>
    </row>
    <row r="22" spans="1:2">
      <c r="A22" t="s">
        <v>56</v>
      </c>
      <c r="B22">
        <v>1</v>
      </c>
    </row>
    <row r="23" spans="1:2">
      <c r="A23" t="s">
        <v>57</v>
      </c>
      <c r="B23">
        <v>2</v>
      </c>
    </row>
    <row r="24" spans="1:2">
      <c r="A24" t="s">
        <v>58</v>
      </c>
      <c r="B24">
        <v>28</v>
      </c>
    </row>
    <row r="25" spans="1:2">
      <c r="A25" t="s">
        <v>59</v>
      </c>
      <c r="B25">
        <v>16</v>
      </c>
    </row>
    <row r="26" spans="1:2">
      <c r="A26" t="s">
        <v>60</v>
      </c>
      <c r="B26">
        <v>31</v>
      </c>
    </row>
    <row r="27" spans="1:2">
      <c r="A27" t="s">
        <v>61</v>
      </c>
      <c r="B27">
        <v>3</v>
      </c>
    </row>
    <row r="28" spans="1:2">
      <c r="A28" t="s">
        <v>19</v>
      </c>
      <c r="B28">
        <v>287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NAOMI NJENGA</dc:creator>
  <cp:keywords/>
  <dc:description/>
  <cp:lastModifiedBy>benagisebe</cp:lastModifiedBy>
  <cp:revision/>
  <dcterms:created xsi:type="dcterms:W3CDTF">2020-03-27T09:58:40Z</dcterms:created>
  <dcterms:modified xsi:type="dcterms:W3CDTF">2026-07-15T09:31:58Z</dcterms:modified>
  <cp:category/>
  <cp:contentStatus/>
</cp:coreProperties>
</file>
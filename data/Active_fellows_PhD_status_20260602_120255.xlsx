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98" documentId="13_ncr:1_{503F577C-3F40-4625-BC6E-453B42AAE264}" xr6:coauthVersionLast="47" xr6:coauthVersionMax="47" xr10:uidLastSave="{A99556C4-32EB-400D-AC23-16D2A37527DC}"/>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0" r:id="rId20"/>
    <pivotCache cacheId="31" r:id="rId21"/>
    <pivotCache cacheId="32" r:id="rId22"/>
    <pivotCache cacheId="33"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<sst xmlns="http://schemas.openxmlformats.org/spreadsheetml/2006/main" count="2827" uniqueCount="943">
  <si>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</si>
  <si>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</si>
  <si>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</si>
  <si>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</si>
  <si>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</si>
  <si>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</si>
  <si>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</si>
  <si>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</si>
  <si>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</si>
  <si>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</si>
  <si>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</si>
  <si>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</si>
  <si>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</si>
  <si>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</si>
  <si>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</si>
  <si>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</si>
  <si>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</si>
  <si>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</si>
  <si>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</si>
  <si>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</si>
  <si>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</si>
  <si>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</si>
  <si>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</si>
  <si>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</si>
  <si>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</si>
  <si>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</si>
  <si>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</si>
  <si>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</si>
  <si>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</si>
  <si>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</si>
  <si>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</si>
  <si>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</si>
  <si>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</si>
  <si>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</si>
  <si>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</si>
  <si>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</si>
  <si>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</si>
  <si>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</si>
  <si>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</si>
  <si>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</si>
  <si>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</si>
  <si>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</si>
  <si>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</si>
  <si>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</si>
  <si>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</si>
  <si>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</si>
  <si>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</si>
  <si>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</si>
  <si>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</si>
  <si>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</si>
  <si>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</si>
  <si>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</si>
  <si>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</si>
  <si>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</si>
  <si>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</si>
  <si>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</si>
  <si>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</si>
  <si>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</si>
  <si>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</si>
  <si>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</si>
  <si>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</si>
  <si>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</si>
  <si>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</si>
  <si>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</si>
  <si>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</si>
  <si>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</si>
  <si>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</si>
  <si>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</si>
  <si>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</si>
  <si>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</si>
  <si>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</si>
  <si>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</si>
  <si>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</si>
  <si>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</si>
  <si>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</si>
  <si>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</si>
  <si>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</si>
  <si>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</si>
  <si>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</si>
  <si>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</si>
  <si>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</si>
  <si>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</si>
  <si>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</si>
  <si>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</si>
  <si>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</si>
  <si>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</si>
  <si>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</si>
  <si>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</si>
  <si>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</si>
  <si>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</si>
  <si>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</si>
  <si>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</si>
  <si>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</si>
  <si>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</si>
  <si>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</si>
  <si>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</si>
  <si>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</si>
  <si>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</si>
  <si>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</si>
  <si>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</si>
  <si>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</si>
  <si>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</si>
  <si>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</si>
  <si>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</si>
  <si>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</si>
  <si>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</si>
  <si>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</si>
  <si>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</si>
  <si>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</si>
  <si>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</si>
  <si>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</si>
  <si>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</si>
  <si>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</si>
  <si>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</si>
  <si>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</si>
  <si>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</si>
  <si>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</si>
  <si>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</si>
  <si>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</si>
  <si>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</si>
  <si>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</si>
  <si>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</si>
  <si>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</si>
  <si>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</si>
  <si>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</si>
  <si>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</si>
  <si>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</si>
  <si>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</si>
  <si>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</si>
  <si>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</si>
  <si>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</si>
  <si>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</si>
  <si>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</si>
  <si>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</si>
  <si>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</si>
  <si>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</si>
  <si>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</si>
  <si>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</si>
  <si>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</si>
  <si>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</si>
  <si>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</si>
  <si>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</si>
  <si>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</si>
  <si>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</si>
  <si>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</si>
  <si>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</si>
  <si>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</si>
  <si>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</si>
  <si>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</si>
  <si>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</si>
  <si>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</si>
  <si>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</si>
  <si>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</si>
  <si>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</si>
  <si>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</si>
  <si>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</si>
  <si>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</si>
  <si>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</si>
  <si>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</si>
  <si>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</si>
  <si>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</si>
  <si>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</si>
  <si>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</si>
  <si>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</si>
  <si>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</si>
  <si>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</si>
  <si>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</si>
  <si>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</si>
  <si>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</si>
  <si>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</si>
  <si>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</si>
  <si>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</si>
  <si>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</si>
  <si>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</si>
  <si>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</si>
  <si>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</si>
  <si>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</si>
  <si>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</si>
  <si>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</si>
  <si>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</si>
  <si>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</si>
  <si>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</si>
  <si>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</si>
  <si>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</si>
  <si>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</si>
  <si>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</si>
  <si>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</si>
  <si>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</si>
  <si>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</si>
  <si>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</si>
  <si>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</si>
  <si>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</si>
  <si>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</si>
  <si>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</si>
  <si>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</si>
  <si>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</si>
  <si>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</si>
  <si>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</si>
  <si>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</si>
  <si>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</si>
  <si>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</si>
  <si>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</si>
  <si>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</si>
  <si>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</si>
  <si>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</si>
  <si>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</si>
  <si>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</si>
  <si>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</si>
  <si>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</si>
  <si>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</si>
  <si>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</si>
  <si>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</si>
  <si>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</si>
  <si>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</si>
  <si>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</si>
  <si>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</si>
  <si>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</si>
  <si>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</si>
  <si>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</si>
  <si>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</si>
  <si>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</si>
  <si>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</si>
  <si>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</si>
  <si>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</si>
  <si>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</si>
  <si>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</si>
  <si>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</si>
  <si>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</si>
  <si>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</si>
  <si>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</si>
  <si>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</si>
  <si>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</si>
  <si>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</si>
  <si>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</si>
  <si>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</si>
  <si>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</si>
  <si>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</si>
  <si>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</si>
  <si>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</si>
  <si>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</si>
  <si>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</si>
  <si>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</si>
  <si>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</si>
  <si>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</si>
  <si>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</si>
  <si>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</si>
  <si>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</si>
  <si>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</si>
  <si>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</si>
  <si>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</si>
  <si>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</si>
  <si>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</si>
  <si>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</si>
  <si>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</si>
  <si>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</si>
  <si>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</si>
  <si>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</si>
  <si>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</si>
  <si>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</si>
  <si>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</si>
  <si>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</si>
  <si>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</si>
  <si>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</si>
  <si>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</si>
  <si>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</si>
  <si>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</si>
  <si>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</si>
  <si>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</si>
  <si>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</si>
  <si>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</si>
  <si>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</si>
  <si>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</si>
  <si>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</si>
  <si>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</si>
  <si>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</si>
  <si>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</si>
  <si>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</si>
  <si>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</si>
  <si>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</si>
  <si>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</si>
  <si>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</si>
  <si>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</si>
  <si>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</si>
  <si>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</si>
  <si>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</si>
  <si>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</si>
  <si>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</si>
  <si>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</si>
  <si>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</si>
  <si>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</si>
  <si>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</si>
  <si>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</si>
  <si>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</si>
  <si>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</si>
  <si>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</si>
  <si>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</si>
  <si>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</si>
  <si>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</si>
  <si>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</si>
  <si>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</si>
  <si>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</si>
  <si>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</si>
  <si>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</si>
  <si>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</si>
  <si>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</si>
  <si>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</si>
  <si>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</si>
  <si>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</si>
  <si>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</si>
  <si>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</si>
  <si>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</si>
  <si>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</si>
  <si>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</si>
  <si>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</si>
  <si>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</si>
  <si>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</si>
  <si>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</si>
  <si>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</si>
  <si>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</si>
  <si>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</si>
  <si>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</si>
  <si>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</si>
  <si>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</si>
  <si>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</si>
  <si>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</si>
  <si>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</si>
  <si>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</si>
  <si>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</si>
  <si>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</si>
  <si>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</si>
  <si>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</si>
  <si>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</si>
  <si>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</si>
  <si>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</si>
  <si>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</si>
  <si>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</si>
  <si>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</si>
  <si>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</si>
  <si>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</si>
  <si>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</si>
  <si>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</si>
  <si>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</si>
  <si>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</si>
  <si>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</si>
  <si>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</si>
  <si>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</si>
  <si>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</si>
  <si>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</si>
  <si>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</si>
  <si>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</si>
  <si>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</si>
  <si>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</si>
  <si>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</si>
  <si>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</si>
  <si>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</si>
  <si>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</si>
  <si>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</si>
  <si>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</si>
  <si>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</si>
  <si>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</si>
  <si>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</si>
  <si>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</si>
  <si>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</si>
  <si>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</si>
  <si>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</si>
  <si>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</si>
  <si>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</si>
  <si>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</si>
  <si>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</si>
  <si>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</si>
  <si>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</si>
  <si>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</si>
  <si>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</si>
  <si>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</si>
  <si>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</si>
  <si>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</si>
  <si>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</si>
  <si>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</si>
  <si>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</si>
  <si>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</si>
  <si>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</si>
  <si>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</si>
  <si>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</si>
  <si>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</si>
  <si>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</si>
  <si>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</si>
  <si>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</si>
  <si>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</si>
  <si>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</si>
  <si>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</si>
  <si>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</si>
  <si>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</si>
  <si>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</si>
  <si>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</si>
  <si>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</si>
  <si>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</si>
  <si>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</si>
  <si>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</si>
  <si>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</si>
  <si>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</si>
  <si>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</si>
  <si>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</si>
  <si>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</si>
  <si>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</si>
  <si>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</si>
  <si>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</si>
  <si>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</si>
  <si>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</si>
  <si>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</si>
  <si>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</si>
  <si>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</si>
  <si>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</si>
  <si>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</si>
  <si>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</si>
  <si>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</si>
  <si>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</si>
  <si>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</si>
  <si>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</si>
  <si>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</si>
  <si>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</si>
  <si>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</si>
  <si>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</si>
  <si>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</si>
  <si>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</si>
  <si>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</si>
  <si>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</si>
  <si>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</si>
  <si>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</si>
  <si>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</si>
  <si>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</si>
  <si>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</si>
  <si>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</si>
  <si>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</si>
  <si>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</si>
  <si>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</si>
  <si>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</si>
  <si>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</si>
  <si>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</si>
  <si>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</si>
  <si>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</si>
  <si>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</si>
  <si>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</si>
  <si>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</si>
  <si>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</si>
  <si>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</si>
  <si>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</si>
  <si>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</si>
  <si>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</si>
  <si>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</si>
  <si>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</si>
  <si>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</si>
  <si>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</si>
  <si>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</si>
  <si>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</si>
  <si>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</si>
  <si>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</si>
  <si>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</si>
  <si>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</si>
  <si>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</si>
  <si>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</si>
  <si>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</si>
  <si>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</si>
  <si>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</si>
  <si>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</si>
  <si>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</si>
  <si>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</si>
  <si>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</si>
  <si>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</si>
  <si>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</si>
  <si>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</si>
  <si>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</si>
  <si>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</si>
  <si>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</si>
  <si>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</si>
  <si>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</si>
  <si>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</si>
  <si>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</si>
  <si>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</si>
  <si>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</si>
  <si>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</si>
  <si>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</si>
  <si>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</si>
  <si>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</si>
  <si>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</si>
  <si>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</si>
  <si>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</si>
  <si>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</si>
  <si>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</si>
  <si>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</si>
  <si>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</si>
  <si>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</si>
  <si>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</si>
  <si>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</si>
  <si>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</si>
  <si>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</si>
  <si>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</si>
  <si>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</si>
  <si>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</si>
  <si>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</si>
  <si>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</si>
  <si>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</si>
  <si>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</si>
  <si>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</si>
  <si>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</si>
  <si>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F</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</si>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</sst>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x14ac:knownFonts="1">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0" readingOrder="0"/>
    </dxf>
    <dxf>
      <alignment vertical="top"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numFmt numFmtId="13" formatCode="0%"/>
    </dxf>
    <dxf>
      <numFmt numFmtId="14" formatCode="0.0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vertical="top" readingOrder="0"/>
    </dxf>
    <dxf>
      <alignment vertical="top" readingOrder="0"/>
    </dxf>
    <dxf>
      <alignment wrapText="1" readingOrder="0"/>
    </dxf>
    <dxf>
      <alignment wrapText="1" readingOrder="0"/>
    </dxf>
    <dxf>
      <alignment wrapText="1" readingOrder="0"/>
    </dxf>
    <dxf>
      <numFmt numFmtId="0" formatCode="General"/>
    </dxf>
    <dxf>
      <numFmt numFmtId="13" formatCode="0%"/>
    </dxf>
    <dxf>
      <numFmt numFmtId="13" formatCode="0%"/>
    </dxf>
    <dxf>
      <numFmt numFmtId="166" formatCode="0.0"/>
    </dxf>
    <dxf>
      <numFmt numFmtId="2" formatCode="0.00"/>
    </dxf>
    <dxf>
      <numFmt numFmtId="166" formatCode="0.0"/>
    </dxf>
    <dxf>
      <numFmt numFmtId="2" formatCode="0.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numFmt numFmtId="13" formatCode="0%"/>
    </dxf>
    <dxf>
      <numFmt numFmtId="13" formatCode="0%"/>
    </dxf>
    <dxf>
      <numFmt numFmtId="13" formatCode="0%"/>
    </dxf>
    <dxf>
      <numFmt numFmtId="13" formatCode="0%"/>
    </dxf>
    <dxf>
      <numFmt numFmtId="14" formatCode="0.00%"/>
    </dxf>
    <dxf>
      <numFmt numFmtId="0" formatCode="General"/>
    </dxf>
    <dxf>
      <numFmt numFmtId="13" formatCode="0%"/>
    </dxf>
    <dxf>
      <numFmt numFmtId="13" formatCode="0%"/>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wrapText="1"/>
    </dxf>
    <dxf>
      <alignment wrapText="1"/>
    </dxf>
    <dxf>
      <numFmt numFmtId="1" formatCode="0"/>
    </dxf>
    <dxf>
      <numFmt numFmtId="166" formatCode="0.0"/>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03624" y="7537450"/>
              <a:ext cx="3190875" cy="30480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5">
      <pivotArea outline="0" collapsedLevelsAreSubtotals="1" fieldPosition="0"/>
    </format>
    <format dxfId="84">
      <pivotArea dataOnly="0" labelOnly="1" grandRow="1" outline="0" fieldPosition="0"/>
    </format>
    <format dxfId="8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8">
      <pivotArea outline="0" collapsedLevelsAreSubtotals="1" fieldPosition="0"/>
    </format>
    <format dxfId="87">
      <pivotArea dataOnly="0" labelOnly="1" grandRow="1" outline="0" fieldPosition="0"/>
    </format>
    <format dxfId="86">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4">
      <pivotArea outline="0" fieldPosition="0">
        <references count="1">
          <reference field="4294967294" count="1">
            <x v="1"/>
          </reference>
        </references>
      </pivotArea>
    </format>
    <format dxfId="93">
      <pivotArea outline="0" collapsedLevelsAreSubtotals="1" fieldPosition="0"/>
    </format>
    <format dxfId="92">
      <pivotArea field="8" type="button" dataOnly="0" labelOnly="1" outline="0" axis="axisRow" fieldPosition="0"/>
    </format>
    <format dxfId="91">
      <pivotArea dataOnly="0" labelOnly="1" outline="0" fieldPosition="0">
        <references count="1">
          <reference field="4294967294" count="5">
            <x v="0"/>
            <x v="1"/>
            <x v="2"/>
            <x v="3"/>
            <x v="4"/>
          </reference>
        </references>
      </pivotArea>
    </format>
    <format dxfId="90">
      <pivotArea field="8" type="button" dataOnly="0" labelOnly="1" outline="0" axis="axisRow" fieldPosition="0"/>
    </format>
    <format dxfId="89">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72">
      <pivotArea outline="0" fieldPosition="0">
        <references count="2">
          <reference field="4294967294" count="1" selected="0">
            <x v="0"/>
          </reference>
          <reference field="21" count="1" selected="0">
            <x v="0"/>
          </reference>
        </references>
      </pivotArea>
    </format>
    <format dxfId="71">
      <pivotArea dataOnly="0" labelOnly="1" outline="0" fieldPosition="0">
        <references count="1">
          <reference field="21" count="1">
            <x v="0"/>
          </reference>
        </references>
      </pivotArea>
    </format>
    <format dxfId="70">
      <pivotArea dataOnly="0" labelOnly="1" outline="0" fieldPosition="0">
        <references count="2">
          <reference field="4294967294" count="1">
            <x v="0"/>
          </reference>
          <reference field="21" count="1" selected="0">
            <x v="0"/>
          </reference>
        </references>
      </pivotArea>
    </format>
    <format dxfId="69">
      <pivotArea outline="0" fieldPosition="0">
        <references count="2">
          <reference field="4294967294" count="1" selected="0">
            <x v="0"/>
          </reference>
          <reference field="21" count="1" selected="0">
            <x v="1"/>
          </reference>
        </references>
      </pivotArea>
    </format>
    <format dxfId="68">
      <pivotArea dataOnly="0" labelOnly="1" outline="0" fieldPosition="0">
        <references count="1">
          <reference field="21" count="1">
            <x v="1"/>
          </reference>
        </references>
      </pivotArea>
    </format>
    <format dxfId="67">
      <pivotArea dataOnly="0" labelOnly="1" outline="0" fieldPosition="0">
        <references count="2">
          <reference field="4294967294" count="1">
            <x v="0"/>
          </reference>
          <reference field="21" count="1" selected="0">
            <x v="1"/>
          </reference>
        </references>
      </pivotArea>
    </format>
    <format dxfId="66">
      <pivotArea outline="0" fieldPosition="0">
        <references count="2">
          <reference field="4294967294" count="1" selected="0">
            <x v="0"/>
          </reference>
          <reference field="21" count="1" selected="0">
            <x v="2"/>
          </reference>
        </references>
      </pivotArea>
    </format>
    <format dxfId="65">
      <pivotArea dataOnly="0" labelOnly="1" outline="0" fieldPosition="0">
        <references count="1">
          <reference field="21" count="1">
            <x v="2"/>
          </reference>
        </references>
      </pivotArea>
    </format>
    <format dxfId="64">
      <pivotArea dataOnly="0" labelOnly="1" outline="0" fieldPosition="0">
        <references count="2">
          <reference field="4294967294" count="1">
            <x v="0"/>
          </reference>
          <reference field="21" count="1" selected="0">
            <x v="2"/>
          </reference>
        </references>
      </pivotArea>
    </format>
    <format dxfId="63">
      <pivotArea outline="0" fieldPosition="0">
        <references count="2">
          <reference field="4294967294" count="1" selected="0">
            <x v="0"/>
          </reference>
          <reference field="21" count="1" selected="0">
            <x v="3"/>
          </reference>
        </references>
      </pivotArea>
    </format>
    <format dxfId="62">
      <pivotArea dataOnly="0" labelOnly="1" outline="0" fieldPosition="0">
        <references count="1">
          <reference field="21" count="1">
            <x v="3"/>
          </reference>
        </references>
      </pivotArea>
    </format>
    <format dxfId="61">
      <pivotArea dataOnly="0" labelOnly="1" outline="0" fieldPosition="0">
        <references count="2">
          <reference field="4294967294" count="1">
            <x v="0"/>
          </reference>
          <reference field="21" count="1" selected="0">
            <x v="3"/>
          </reference>
        </references>
      </pivotArea>
    </format>
    <format dxfId="60">
      <pivotArea field="21" grandCol="1" outline="0" axis="axisCol" fieldPosition="0">
        <references count="1">
          <reference field="4294967294" count="1" selected="0">
            <x v="0"/>
          </reference>
        </references>
      </pivotArea>
    </format>
    <format dxfId="59">
      <pivotArea field="21" dataOnly="0" labelOnly="1" grandCol="1" outline="0" axis="axisCol" fieldPosition="0">
        <references count="1">
          <reference field="4294967294" count="1" selected="0">
            <x v="0"/>
          </reference>
        </references>
      </pivotArea>
    </format>
    <format dxfId="58">
      <pivotArea type="origin" dataOnly="0" labelOnly="1" outline="0" offset="A2" fieldPosition="0"/>
    </format>
    <format dxfId="57">
      <pivotArea field="8" type="button" dataOnly="0" labelOnly="1" outline="0" axis="axisRow" fieldPosition="0"/>
    </format>
    <format dxfId="56">
      <pivotArea dataOnly="0" labelOnly="1" outline="0" fieldPosition="0">
        <references count="1">
          <reference field="8" count="0"/>
        </references>
      </pivotArea>
    </format>
    <format dxfId="55">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73">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0">
      <pivotArea outline="0" fieldPosition="0">
        <references count="1">
          <reference field="4294967294" count="1">
            <x v="0"/>
          </reference>
        </references>
      </pivotArea>
    </format>
    <format dxfId="79">
      <pivotArea outline="0" fieldPosition="0">
        <references count="1">
          <reference field="4294967294" count="1">
            <x v="1"/>
          </reference>
        </references>
      </pivotArea>
    </format>
    <format dxfId="78">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6">
      <pivotArea field="19" grandCol="1" outline="0" axis="axisCol" fieldPosition="0">
        <references count="1">
          <reference field="4294967294" count="1" selected="0">
            <x v="1"/>
          </reference>
        </references>
      </pivotArea>
    </format>
    <format dxfId="75">
      <pivotArea field="19" grandRow="1" outline="0" axis="axisCol" fieldPosition="0">
        <references count="2">
          <reference field="4294967294" count="1" selected="0">
            <x v="1"/>
          </reference>
          <reference field="19" count="1" selected="0">
            <x v="0"/>
          </reference>
        </references>
      </pivotArea>
    </format>
    <format dxfId="74">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2">
      <pivotArea outline="0" collapsedLevelsAreSubtotals="1" fieldPosition="0"/>
    </format>
    <format dxfId="51">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4">
      <pivotArea outline="0" collapsedLevelsAreSubtotals="1" fieldPosition="0"/>
    </format>
    <format dxfId="53">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48">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10">
      <pivotArea field="6" type="button" dataOnly="0" labelOnly="1" outline="0"/>
    </format>
    <format dxfId="9">
      <pivotArea dataOnly="0" labelOnly="1" grandCol="1" outline="0" fieldPosition="0"/>
    </format>
    <format dxfId="8">
      <pivotArea dataOnly="0" labelOnly="1" grandCol="1" outline="0" fieldPosition="0"/>
    </format>
    <format dxfId="7">
      <pivotArea dataOnly="0" labelOnly="1" grandCol="1" outline="0" fieldPosition="0"/>
    </format>
    <format dxfId="6">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9">
      <pivotArea field="6" type="button" dataOnly="0" labelOnly="1" outline="0" axis="axisRow" fieldPosition="0"/>
    </format>
    <format dxfId="18">
      <pivotArea dataOnly="0" labelOnly="1" outline="0" fieldPosition="0">
        <references count="1">
          <reference field="21" count="0"/>
        </references>
      </pivotArea>
    </format>
    <format dxfId="17">
      <pivotArea dataOnly="0" labelOnly="1" grandCol="1" outline="0" fieldPosition="0"/>
    </format>
    <format dxfId="16">
      <pivotArea dataOnly="0" labelOnly="1" outline="0" fieldPosition="0">
        <references count="1">
          <reference field="21" count="0"/>
        </references>
      </pivotArea>
    </format>
    <format dxfId="15">
      <pivotArea dataOnly="0" labelOnly="1" grandCol="1" outline="0" fieldPosition="0"/>
    </format>
    <format dxfId="14">
      <pivotArea dataOnly="0" labelOnly="1" outline="0" fieldPosition="0">
        <references count="1">
          <reference field="21" count="0"/>
        </references>
      </pivotArea>
    </format>
    <format dxfId="13">
      <pivotArea dataOnly="0" labelOnly="1" grandCol="1" outline="0" fieldPosition="0"/>
    </format>
    <format dxfId="12">
      <pivotArea dataOnly="0" labelOnly="1" outline="0" fieldPosition="0">
        <references count="1">
          <reference field="21" count="0"/>
        </references>
      </pivotArea>
    </format>
    <format dxfId="11">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8">
      <pivotArea field="6" type="button" dataOnly="0" labelOnly="1" outline="0" axis="axisRow" fieldPosition="0"/>
    </format>
    <format dxfId="27">
      <pivotArea dataOnly="0" labelOnly="1" outline="0" fieldPosition="0">
        <references count="1">
          <reference field="21" count="0"/>
        </references>
      </pivotArea>
    </format>
    <format dxfId="26">
      <pivotArea dataOnly="0" labelOnly="1" grandCol="1" outline="0" fieldPosition="0"/>
    </format>
    <format dxfId="25">
      <pivotArea dataOnly="0" labelOnly="1" outline="0" fieldPosition="0">
        <references count="1">
          <reference field="21" count="0"/>
        </references>
      </pivotArea>
    </format>
    <format dxfId="24">
      <pivotArea dataOnly="0" labelOnly="1" grandCol="1" outline="0" fieldPosition="0"/>
    </format>
    <format dxfId="23">
      <pivotArea dataOnly="0" labelOnly="1" outline="0" fieldPosition="0">
        <references count="1">
          <reference field="21" count="0"/>
        </references>
      </pivotArea>
    </format>
    <format dxfId="22">
      <pivotArea dataOnly="0" labelOnly="1" grandCol="1" outline="0" fieldPosition="0"/>
    </format>
    <format dxfId="21">
      <pivotArea dataOnly="0" labelOnly="1" outline="0" fieldPosition="0">
        <references count="1">
          <reference field="21" count="0"/>
        </references>
      </pivotArea>
    </format>
    <format dxfId="20">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7">
      <pivotArea dataOnly="0" labelOnly="1" outline="0" fieldPosition="0">
        <references count="1">
          <reference field="21" count="0"/>
        </references>
      </pivotArea>
    </format>
    <format dxfId="36">
      <pivotArea dataOnly="0" labelOnly="1" grandCol="1" outline="0" fieldPosition="0"/>
    </format>
    <format dxfId="35">
      <pivotArea dataOnly="0" labelOnly="1" outline="0" fieldPosition="0">
        <references count="1">
          <reference field="21" count="0"/>
        </references>
      </pivotArea>
    </format>
    <format dxfId="34">
      <pivotArea dataOnly="0" labelOnly="1" grandCol="1" outline="0" fieldPosition="0"/>
    </format>
    <format dxfId="33">
      <pivotArea dataOnly="0" labelOnly="1" outline="0" fieldPosition="0">
        <references count="1">
          <reference field="21" count="0"/>
        </references>
      </pivotArea>
    </format>
    <format dxfId="32">
      <pivotArea dataOnly="0" labelOnly="1" grandCol="1" outline="0" fieldPosition="0"/>
    </format>
    <format dxfId="31">
      <pivotArea dataOnly="0" labelOnly="1" outline="0" fieldPosition="0">
        <references count="1">
          <reference field="21" count="0"/>
        </references>
      </pivotArea>
    </format>
    <format dxfId="30">
      <pivotArea outline="0" fieldPosition="0">
        <references count="1">
          <reference field="4294967294" count="1">
            <x v="0"/>
          </reference>
        </references>
      </pivotArea>
    </format>
    <format dxfId="29">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47">
      <pivotArea field="6" type="button" dataOnly="0" labelOnly="1" outline="0"/>
    </format>
    <format dxfId="46">
      <pivotArea dataOnly="0" labelOnly="1" outline="0" fieldPosition="0">
        <references count="1">
          <reference field="21" count="0"/>
        </references>
      </pivotArea>
    </format>
    <format dxfId="45">
      <pivotArea dataOnly="0" labelOnly="1" grandCol="1" outline="0" fieldPosition="0"/>
    </format>
    <format dxfId="44">
      <pivotArea dataOnly="0" labelOnly="1" outline="0" fieldPosition="0">
        <references count="1">
          <reference field="21" count="0"/>
        </references>
      </pivotArea>
    </format>
    <format dxfId="43">
      <pivotArea dataOnly="0" labelOnly="1" grandCol="1" outline="0" fieldPosition="0"/>
    </format>
    <format dxfId="42">
      <pivotArea dataOnly="0" labelOnly="1" outline="0" fieldPosition="0">
        <references count="1">
          <reference field="21" count="0"/>
        </references>
      </pivotArea>
    </format>
    <format dxfId="41">
      <pivotArea dataOnly="0" labelOnly="1" grandCol="1" outline="0" fieldPosition="0"/>
    </format>
    <format dxfId="40">
      <pivotArea dataOnly="0" labelOnly="1" outline="0" fieldPosition="0">
        <references count="1">
          <reference field="21" count="0"/>
        </references>
      </pivotArea>
    </format>
    <format dxfId="39">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5" x14ac:dyDescent="0.35"/>
  <cols>
    <col min="7" max="7" width="19.81640625" customWidth="1"/>
    <col min="8" max="8" width="16.453125" customWidth="1"/>
    <col min="9" max="9" width="13.81640625" customWidth="1"/>
    <col min="10" max="10" width="10.54296875" customWidth="1"/>
    <col min="15" max="15" width="41.81640625" bestFit="1" customWidth="1"/>
    <col min="16" max="16" width="28.26953125" bestFit="1" customWidth="1"/>
    <col min="17" max="17" width="19" bestFit="1" customWidth="1"/>
    <col min="18" max="18" width="19.453125" bestFit="1" customWidth="1"/>
    <col min="19" max="19" width="11.7265625" bestFit="1" customWidth="1"/>
    <col min="20" max="20" width="10.81640625" bestFit="1" customWidth="1"/>
    <col min="21" max="21" width="10.81640625" customWidth="1"/>
    <col min="22" max="22" width="9.81640625" customWidth="1"/>
    <col min="23" max="23" width="8.1796875" customWidth="1"/>
    <col min="24" max="24" width="8.453125" customWidth="1"/>
  </cols>
  <sheetData>
    <row r="1" spans="15:19" x14ac:dyDescent="0.35">
      <c r="O1" s="16" t="s">
        <v>0</v>
      </c>
    </row>
    <row r="2" spans="15:19" x14ac:dyDescent="0.35">
      <c r="O2" s="2" t="s">
        <v>1</v>
      </c>
      <c r="P2" s="2" t="s">
        <v>2</v>
      </c>
    </row>
    <row r="3" spans="15:19" x14ac:dyDescent="0.35">
      <c r="O3" s="2" t="s">
        <v>3</v>
      </c>
      <c r="P3" t="s">
        <v>4</v>
      </c>
      <c r="Q3" t="s">
        <v>5</v>
      </c>
      <c r="R3" t="s">
        <v>6</v>
      </c>
      <c r="S3" t="s">
        <v>7</v>
      </c>
    </row>
    <row r="4" spans="15:19" x14ac:dyDescent="0.35">
      <c r="O4" t="s">
        <v>8</v>
      </c>
      <c r="Q4">
        <v>1</v>
      </c>
      <c r="S4">
        <v>1</v>
      </c>
    </row>
    <row r="5" spans="15:19" x14ac:dyDescent="0.35">
      <c r="O5" t="s">
        <v>9</v>
      </c>
      <c r="Q5">
        <v>4</v>
      </c>
      <c r="S5">
        <v>4</v>
      </c>
    </row>
    <row r="6" spans="15:19" x14ac:dyDescent="0.35">
      <c r="O6" t="s">
        <v>10</v>
      </c>
      <c r="Q6">
        <v>7</v>
      </c>
      <c r="S6">
        <v>7</v>
      </c>
    </row>
    <row r="7" spans="15:19" x14ac:dyDescent="0.35">
      <c r="O7" t="s">
        <v>11</v>
      </c>
      <c r="P7">
        <v>2</v>
      </c>
      <c r="Q7">
        <v>13</v>
      </c>
      <c r="R7">
        <v>6</v>
      </c>
      <c r="S7">
        <v>21</v>
      </c>
    </row>
    <row r="8" spans="15:19" x14ac:dyDescent="0.35">
      <c r="O8" t="s">
        <v>12</v>
      </c>
      <c r="P8">
        <v>6</v>
      </c>
      <c r="Q8">
        <v>8</v>
      </c>
      <c r="R8">
        <v>5</v>
      </c>
      <c r="S8">
        <v>19</v>
      </c>
    </row>
    <row r="9" spans="15:19" x14ac:dyDescent="0.35">
      <c r="O9" t="s">
        <v>13</v>
      </c>
      <c r="P9">
        <v>2</v>
      </c>
      <c r="Q9">
        <v>8</v>
      </c>
      <c r="R9">
        <v>21</v>
      </c>
      <c r="S9">
        <v>31</v>
      </c>
    </row>
    <row r="10" spans="15:19" x14ac:dyDescent="0.35">
      <c r="O10" t="s">
        <v>14</v>
      </c>
      <c r="Q10">
        <v>2</v>
      </c>
      <c r="R10">
        <v>2</v>
      </c>
      <c r="S10">
        <v>4</v>
      </c>
    </row>
    <row r="11" spans="15:19" x14ac:dyDescent="0.35">
      <c r="O11" t="s">
        <v>15</v>
      </c>
      <c r="P11">
        <v>4</v>
      </c>
      <c r="Q11">
        <v>19</v>
      </c>
      <c r="R11">
        <v>13</v>
      </c>
      <c r="S11">
        <v>36</v>
      </c>
    </row>
    <row r="12" spans="15:19" x14ac:dyDescent="0.35">
      <c r="O12" t="s">
        <v>16</v>
      </c>
      <c r="P12">
        <v>3</v>
      </c>
      <c r="Q12">
        <v>16</v>
      </c>
      <c r="R12">
        <v>8</v>
      </c>
      <c r="S12">
        <v>27</v>
      </c>
    </row>
    <row r="13" spans="15:19" x14ac:dyDescent="0.35">
      <c r="O13" t="s">
        <v>17</v>
      </c>
      <c r="P13">
        <v>3</v>
      </c>
      <c r="Q13">
        <v>12</v>
      </c>
      <c r="R13">
        <v>5</v>
      </c>
      <c r="S13">
        <v>20</v>
      </c>
    </row>
    <row r="14" spans="15:19" x14ac:dyDescent="0.35">
      <c r="O14" t="s">
        <v>18</v>
      </c>
      <c r="P14">
        <v>4</v>
      </c>
      <c r="Q14">
        <v>18</v>
      </c>
      <c r="R14">
        <v>2</v>
      </c>
      <c r="S14">
        <v>24</v>
      </c>
    </row>
    <row r="15" spans="15:19" x14ac:dyDescent="0.35">
      <c r="O15" t="s">
        <v>19</v>
      </c>
      <c r="P15">
        <v>1</v>
      </c>
      <c r="Q15">
        <v>19</v>
      </c>
      <c r="R15">
        <v>6</v>
      </c>
      <c r="S15">
        <v>26</v>
      </c>
    </row>
    <row r="16" spans="15:19" x14ac:dyDescent="0.35">
      <c r="O16" s="31" t="s">
        <v>7</v>
      </c>
      <c r="P16" s="30">
        <v>25</v>
      </c>
      <c r="Q16" s="30">
        <v>127</v>
      </c>
      <c r="R16" s="30">
        <v>68</v>
      </c>
      <c r="S16" s="30">
        <v>220</v>
      </c>
    </row>
    <row r="23" spans="15:19" x14ac:dyDescent="0.35">
      <c r="O23" s="16" t="s">
        <v>20</v>
      </c>
    </row>
    <row r="24" spans="15:19" x14ac:dyDescent="0.35">
      <c r="O24" s="2" t="s">
        <v>1</v>
      </c>
      <c r="P24" s="2" t="s">
        <v>2</v>
      </c>
    </row>
    <row r="25" spans="15:19" x14ac:dyDescent="0.35">
      <c r="O25" s="2" t="s">
        <v>21</v>
      </c>
      <c r="P25" t="s">
        <v>4</v>
      </c>
      <c r="Q25" t="s">
        <v>5</v>
      </c>
      <c r="R25" t="s">
        <v>6</v>
      </c>
      <c r="S25" t="s">
        <v>7</v>
      </c>
    </row>
    <row r="26" spans="15:19" x14ac:dyDescent="0.35">
      <c r="O26" t="s">
        <v>11</v>
      </c>
      <c r="P26">
        <v>1</v>
      </c>
      <c r="Q26">
        <v>12</v>
      </c>
      <c r="R26">
        <v>5</v>
      </c>
      <c r="S26">
        <v>18</v>
      </c>
    </row>
    <row r="27" spans="15:19" x14ac:dyDescent="0.35">
      <c r="O27" t="s">
        <v>12</v>
      </c>
      <c r="P27">
        <v>4</v>
      </c>
      <c r="Q27">
        <v>5</v>
      </c>
      <c r="R27">
        <v>2</v>
      </c>
      <c r="S27">
        <v>11</v>
      </c>
    </row>
    <row r="28" spans="15:19" x14ac:dyDescent="0.35">
      <c r="O28" t="s">
        <v>13</v>
      </c>
      <c r="Q28">
        <v>3</v>
      </c>
      <c r="R28">
        <v>17</v>
      </c>
      <c r="S28">
        <v>20</v>
      </c>
    </row>
    <row r="29" spans="15:19" x14ac:dyDescent="0.35">
      <c r="O29" t="s">
        <v>14</v>
      </c>
      <c r="Q29">
        <v>4</v>
      </c>
      <c r="R29">
        <v>2</v>
      </c>
      <c r="S29">
        <v>6</v>
      </c>
    </row>
    <row r="30" spans="15:19" x14ac:dyDescent="0.35">
      <c r="O30" t="s">
        <v>22</v>
      </c>
      <c r="P30">
        <v>4</v>
      </c>
      <c r="Q30">
        <v>16</v>
      </c>
      <c r="R30">
        <v>12</v>
      </c>
      <c r="S30">
        <v>32</v>
      </c>
    </row>
    <row r="31" spans="15:19" x14ac:dyDescent="0.35">
      <c r="O31" t="s">
        <v>17</v>
      </c>
      <c r="P31">
        <v>5</v>
      </c>
      <c r="Q31">
        <v>14</v>
      </c>
      <c r="R31">
        <v>8</v>
      </c>
      <c r="S31">
        <v>27</v>
      </c>
    </row>
    <row r="32" spans="15:19" x14ac:dyDescent="0.35">
      <c r="O32" t="s">
        <v>18</v>
      </c>
      <c r="P32">
        <v>2</v>
      </c>
      <c r="Q32">
        <v>6</v>
      </c>
      <c r="S32">
        <v>8</v>
      </c>
    </row>
    <row r="33" spans="6:22" x14ac:dyDescent="0.35">
      <c r="O33" t="s">
        <v>19</v>
      </c>
      <c r="P33">
        <v>7</v>
      </c>
      <c r="Q33">
        <v>58</v>
      </c>
      <c r="R33">
        <v>15</v>
      </c>
      <c r="S33">
        <v>80</v>
      </c>
    </row>
    <row r="34" spans="6:22" x14ac:dyDescent="0.35">
      <c r="O34" t="s">
        <v>16</v>
      </c>
      <c r="P34">
        <v>2</v>
      </c>
      <c r="Q34">
        <v>9</v>
      </c>
      <c r="R34">
        <v>7</v>
      </c>
      <c r="S34">
        <v>18</v>
      </c>
    </row>
    <row r="35" spans="6:22" x14ac:dyDescent="0.35">
      <c r="O35" s="30" t="s">
        <v>7</v>
      </c>
      <c r="P35" s="30">
        <v>25</v>
      </c>
      <c r="Q35" s="30">
        <v>127</v>
      </c>
      <c r="R35" s="30">
        <v>68</v>
      </c>
      <c r="S35" s="30">
        <v>220</v>
      </c>
    </row>
    <row r="40" spans="6:22" x14ac:dyDescent="0.35">
      <c r="F40" s="23"/>
      <c r="O40" s="76" t="s">
        <v>23</v>
      </c>
      <c r="P40" s="76"/>
      <c r="Q40" s="43" t="s">
        <v>24</v>
      </c>
    </row>
    <row r="41" spans="6:22" x14ac:dyDescent="0.35">
      <c r="F41" s="23"/>
      <c r="O41" s="47" t="s">
        <v>25</v>
      </c>
      <c r="P41" s="44">
        <f ca="1">AVERAGE(Fellows!U2:U221)</f>
        <v>60.271794871794874</v>
      </c>
      <c r="Q41" s="30">
        <f>GETPIVOTDATA("S.No.",'By Cohort'!$A$27,"Current PhD Status (Completed/In Progress)","Completed")</f>
        <v>195</v>
      </c>
    </row>
    <row r="42" spans="6:22" x14ac:dyDescent="0.35">
      <c r="F42" s="23"/>
      <c r="O42" s="48" t="s">
        <v>26</v>
      </c>
      <c r="P42" s="45">
        <f ca="1">P41/12</f>
        <v>5.0226495726495726</v>
      </c>
    </row>
    <row r="43" spans="6:22" x14ac:dyDescent="0.35">
      <c r="F43" s="23"/>
      <c r="O43" s="42" t="s">
        <v>27</v>
      </c>
      <c r="P43" s="45">
        <f ca="1">STDEV(Fellows!U2:U221)</f>
        <v>19.919243515398545</v>
      </c>
    </row>
    <row r="44" spans="6:22" x14ac:dyDescent="0.35">
      <c r="F44" s="23"/>
      <c r="O44" s="42" t="s">
        <v>28</v>
      </c>
      <c r="P44" s="46">
        <f ca="1">MEDIAN(Fellows!U2:U221)</f>
        <v>57</v>
      </c>
      <c r="Q44" s="3" t="s">
        <v>29</v>
      </c>
      <c r="R44">
        <f ca="1">MAX(Fellows!U2:U221)</f>
        <v>139</v>
      </c>
    </row>
    <row r="45" spans="6:22" x14ac:dyDescent="0.35">
      <c r="F45" s="23"/>
      <c r="O45" s="42" t="s">
        <v>30</v>
      </c>
      <c r="P45" s="45">
        <f ca="1">P44/12</f>
        <v>4.75</v>
      </c>
      <c r="Q45" s="3" t="s">
        <v>31</v>
      </c>
      <c r="R45">
        <f ca="1">MIN(Fellows!U2:U221)</f>
        <v>22</v>
      </c>
    </row>
    <row r="46" spans="6:22" x14ac:dyDescent="0.35">
      <c r="F46" s="23"/>
    </row>
    <row r="47" spans="6:22" ht="101.5" x14ac:dyDescent="0.35">
      <c r="F47" s="23"/>
      <c r="Q47" s="58" t="s">
        <v>3</v>
      </c>
      <c r="R47" s="6" t="s">
        <v>32</v>
      </c>
      <c r="S47" s="6" t="s">
        <v>33</v>
      </c>
      <c r="T47" s="6" t="s">
        <v>34</v>
      </c>
      <c r="U47" s="6" t="s">
        <v>35</v>
      </c>
      <c r="V47" s="6" t="s">
        <v>36</v>
      </c>
    </row>
    <row r="48" spans="6:22" x14ac:dyDescent="0.35">
      <c r="F48" s="23"/>
      <c r="Q48" t="s">
        <v>8</v>
      </c>
      <c r="R48" s="57">
        <v>1</v>
      </c>
      <c r="S48" s="57">
        <v>81</v>
      </c>
      <c r="T48" s="57" t="e">
        <v>#DIV/0!</v>
      </c>
      <c r="U48" s="57">
        <v>81</v>
      </c>
      <c r="V48" s="57">
        <v>81</v>
      </c>
    </row>
    <row r="49" spans="6:22" x14ac:dyDescent="0.35">
      <c r="F49" s="23"/>
      <c r="Q49" t="s">
        <v>9</v>
      </c>
      <c r="R49" s="57">
        <v>4</v>
      </c>
      <c r="S49" s="57">
        <v>66.5</v>
      </c>
      <c r="T49" s="57">
        <v>12.288205727444508</v>
      </c>
      <c r="U49" s="57">
        <v>82</v>
      </c>
      <c r="V49" s="57">
        <v>52</v>
      </c>
    </row>
    <row r="50" spans="6:22" x14ac:dyDescent="0.35">
      <c r="Q50" t="s">
        <v>10</v>
      </c>
      <c r="R50" s="57">
        <v>7</v>
      </c>
      <c r="S50" s="57">
        <v>69.857142857142861</v>
      </c>
      <c r="T50" s="57">
        <v>15.603723609324501</v>
      </c>
      <c r="U50" s="57">
        <v>99</v>
      </c>
      <c r="V50" s="57">
        <v>55</v>
      </c>
    </row>
    <row r="51" spans="6:22" x14ac:dyDescent="0.35">
      <c r="Q51" t="s">
        <v>11</v>
      </c>
      <c r="R51" s="57">
        <v>21</v>
      </c>
      <c r="S51" s="57">
        <v>63.10526315789474</v>
      </c>
      <c r="T51" s="57">
        <v>18.961641797300228</v>
      </c>
      <c r="U51" s="57">
        <v>107</v>
      </c>
      <c r="V51" s="57">
        <v>37</v>
      </c>
    </row>
    <row r="52" spans="6:22" x14ac:dyDescent="0.35">
      <c r="Q52" t="s">
        <v>12</v>
      </c>
      <c r="R52" s="57">
        <v>19</v>
      </c>
      <c r="S52" s="57">
        <v>61.846153846153847</v>
      </c>
      <c r="T52" s="57">
        <v>19.527101482495862</v>
      </c>
      <c r="U52" s="57">
        <v>101</v>
      </c>
      <c r="V52" s="57">
        <v>36</v>
      </c>
    </row>
    <row r="53" spans="6:22" x14ac:dyDescent="0.35">
      <c r="Q53" t="s">
        <v>13</v>
      </c>
      <c r="R53" s="57">
        <v>31</v>
      </c>
      <c r="S53" s="57">
        <v>42.310344827586206</v>
      </c>
      <c r="T53" s="57">
        <v>12.015179233773605</v>
      </c>
      <c r="U53" s="57">
        <v>66</v>
      </c>
      <c r="V53" s="57">
        <v>24</v>
      </c>
    </row>
    <row r="54" spans="6:22" x14ac:dyDescent="0.35">
      <c r="Q54" t="s">
        <v>14</v>
      </c>
      <c r="R54" s="57">
        <v>4</v>
      </c>
      <c r="S54" s="57">
        <v>51.75</v>
      </c>
      <c r="T54" s="57">
        <v>7.4105780251385696</v>
      </c>
      <c r="U54" s="57">
        <v>58</v>
      </c>
      <c r="V54" s="57">
        <v>42</v>
      </c>
    </row>
    <row r="55" spans="6:22" x14ac:dyDescent="0.35">
      <c r="Q55" t="s">
        <v>15</v>
      </c>
      <c r="R55" s="57">
        <v>36</v>
      </c>
      <c r="S55" s="57">
        <v>60.40625</v>
      </c>
      <c r="T55" s="57">
        <v>23.305626310870419</v>
      </c>
      <c r="U55" s="57">
        <v>139</v>
      </c>
      <c r="V55" s="57">
        <v>22</v>
      </c>
    </row>
    <row r="56" spans="6:22" x14ac:dyDescent="0.35">
      <c r="Q56" t="s">
        <v>16</v>
      </c>
      <c r="R56" s="57">
        <v>27</v>
      </c>
      <c r="S56" s="57">
        <v>63.458333333333336</v>
      </c>
      <c r="T56" s="57">
        <v>21.149528038041034</v>
      </c>
      <c r="U56" s="57">
        <v>114</v>
      </c>
      <c r="V56" s="57">
        <v>28</v>
      </c>
    </row>
    <row r="57" spans="6:22" x14ac:dyDescent="0.35">
      <c r="Q57" t="s">
        <v>17</v>
      </c>
      <c r="R57" s="57">
        <v>20</v>
      </c>
      <c r="S57" s="57">
        <v>62.823529411764703</v>
      </c>
      <c r="T57" s="57">
        <v>21.307965922741342</v>
      </c>
      <c r="U57" s="57">
        <v>115</v>
      </c>
      <c r="V57" s="57">
        <v>33</v>
      </c>
    </row>
    <row r="58" spans="6:22" x14ac:dyDescent="0.35">
      <c r="Q58" t="s">
        <v>18</v>
      </c>
      <c r="R58" s="57">
        <v>24</v>
      </c>
      <c r="S58" s="57">
        <v>66.849999999999994</v>
      </c>
      <c r="T58" s="57">
        <v>14.113356868770211</v>
      </c>
      <c r="U58" s="57">
        <v>104</v>
      </c>
      <c r="V58" s="57">
        <v>50</v>
      </c>
    </row>
    <row r="59" spans="6:22" x14ac:dyDescent="0.35">
      <c r="Q59" t="s">
        <v>19</v>
      </c>
      <c r="R59" s="57">
        <v>26</v>
      </c>
      <c r="S59" s="57">
        <v>64.760000000000005</v>
      </c>
      <c r="T59" s="57">
        <v>19.201302039184736</v>
      </c>
      <c r="U59" s="57">
        <v>101</v>
      </c>
      <c r="V59" s="57">
        <v>32</v>
      </c>
    </row>
    <row r="60" spans="6:22" x14ac:dyDescent="0.35">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5" x14ac:dyDescent="0.35"/>
  <cols>
    <col min="1" max="1" width="40.54296875" bestFit="1" customWidth="1"/>
    <col min="2" max="2" width="13.81640625" bestFit="1" customWidth="1"/>
  </cols>
  <sheetData>
    <row r="1" spans="1:2" x14ac:dyDescent="0.35">
      <c r="A1" s="2" t="s">
        <v>37</v>
      </c>
      <c r="B1" t="s">
        <v>38</v>
      </c>
    </row>
    <row r="3" spans="1:2" x14ac:dyDescent="0.35">
      <c r="A3" t="s">
        <v>1</v>
      </c>
    </row>
    <row r="4" spans="1:2" x14ac:dyDescent="0.35">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5" x14ac:dyDescent="0.35"/>
  <cols>
    <col min="1" max="1" width="14.1796875" bestFit="1" customWidth="1"/>
    <col min="2" max="2" width="18.453125" bestFit="1" customWidth="1"/>
    <col min="3" max="3" width="5.7265625" bestFit="1" customWidth="1"/>
    <col min="4" max="4" width="11.7265625" bestFit="1" customWidth="1"/>
  </cols>
  <sheetData>
    <row r="1" spans="1:4" x14ac:dyDescent="0.35">
      <c r="A1" s="2" t="s">
        <v>2</v>
      </c>
      <c r="B1" t="s">
        <v>39</v>
      </c>
    </row>
    <row r="3" spans="1:4" x14ac:dyDescent="0.35">
      <c r="B3" s="2" t="s">
        <v>40</v>
      </c>
    </row>
    <row r="4" spans="1:4" x14ac:dyDescent="0.35">
      <c r="B4" t="s">
        <v>41</v>
      </c>
      <c r="C4" t="s">
        <v>42</v>
      </c>
      <c r="D4" t="s">
        <v>7</v>
      </c>
    </row>
    <row r="5" spans="1:4" x14ac:dyDescent="0.35">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5" x14ac:dyDescent="0.35"/>
  <cols>
    <col min="1" max="1" width="29.81640625" bestFit="1" customWidth="1"/>
    <col min="2" max="2" width="17.26953125" bestFit="1" customWidth="1"/>
    <col min="3" max="3" width="11" bestFit="1" customWidth="1"/>
    <col min="4" max="4" width="11.7265625" bestFit="1" customWidth="1"/>
    <col min="5" max="5" width="11.453125" bestFit="1" customWidth="1"/>
    <col min="6" max="6" width="17.81640625" bestFit="1" customWidth="1"/>
    <col min="7" max="7" width="16.26953125" bestFit="1" customWidth="1"/>
  </cols>
  <sheetData>
    <row r="3" spans="1:4" x14ac:dyDescent="0.35">
      <c r="A3" s="2" t="s">
        <v>1</v>
      </c>
      <c r="B3" s="2" t="s">
        <v>40</v>
      </c>
    </row>
    <row r="4" spans="1:4" x14ac:dyDescent="0.35">
      <c r="A4" s="2" t="s">
        <v>43</v>
      </c>
      <c r="B4" t="s">
        <v>38</v>
      </c>
      <c r="C4" t="s">
        <v>44</v>
      </c>
      <c r="D4" t="s">
        <v>7</v>
      </c>
    </row>
    <row r="5" spans="1:4" x14ac:dyDescent="0.35">
      <c r="A5" s="23" t="s">
        <v>8</v>
      </c>
      <c r="B5" s="8">
        <v>1</v>
      </c>
      <c r="C5" s="8">
        <v>0</v>
      </c>
      <c r="D5" s="8">
        <v>1</v>
      </c>
    </row>
    <row r="6" spans="1:4" x14ac:dyDescent="0.35">
      <c r="A6" s="23" t="s">
        <v>9</v>
      </c>
      <c r="B6" s="8">
        <v>1</v>
      </c>
      <c r="C6" s="8">
        <v>0</v>
      </c>
      <c r="D6" s="8">
        <v>1</v>
      </c>
    </row>
    <row r="7" spans="1:4" x14ac:dyDescent="0.35">
      <c r="A7" s="23" t="s">
        <v>10</v>
      </c>
      <c r="B7" s="8">
        <v>0.8571428571428571</v>
      </c>
      <c r="C7" s="8">
        <v>0.14285714285714285</v>
      </c>
      <c r="D7" s="8">
        <v>1</v>
      </c>
    </row>
    <row r="8" spans="1:4" x14ac:dyDescent="0.35">
      <c r="A8" s="23" t="s">
        <v>11</v>
      </c>
      <c r="B8" s="8">
        <v>0.90476190476190477</v>
      </c>
      <c r="C8" s="8">
        <v>9.5238095238095233E-2</v>
      </c>
      <c r="D8" s="8">
        <v>1</v>
      </c>
    </row>
    <row r="9" spans="1:4" x14ac:dyDescent="0.35">
      <c r="A9" s="23" t="s">
        <v>12</v>
      </c>
      <c r="B9" s="8">
        <v>0.68421052631578949</v>
      </c>
      <c r="C9" s="8">
        <v>0.31578947368421051</v>
      </c>
      <c r="D9" s="8">
        <v>1</v>
      </c>
    </row>
    <row r="10" spans="1:4" x14ac:dyDescent="0.35">
      <c r="A10" s="23" t="s">
        <v>13</v>
      </c>
      <c r="B10" s="8">
        <v>0.93548387096774188</v>
      </c>
      <c r="C10" s="8">
        <v>6.4516129032258063E-2</v>
      </c>
      <c r="D10" s="8">
        <v>1</v>
      </c>
    </row>
    <row r="11" spans="1:4" x14ac:dyDescent="0.35">
      <c r="A11" s="23" t="s">
        <v>14</v>
      </c>
      <c r="B11" s="8">
        <v>1</v>
      </c>
      <c r="C11" s="8">
        <v>0</v>
      </c>
      <c r="D11" s="8">
        <v>1</v>
      </c>
    </row>
    <row r="12" spans="1:4" x14ac:dyDescent="0.35">
      <c r="A12" s="23" t="s">
        <v>15</v>
      </c>
      <c r="B12" s="8">
        <v>0.88888888888888884</v>
      </c>
      <c r="C12" s="8">
        <v>0.1111111111111111</v>
      </c>
      <c r="D12" s="8">
        <v>1</v>
      </c>
    </row>
    <row r="13" spans="1:4" x14ac:dyDescent="0.35">
      <c r="A13" s="23" t="s">
        <v>16</v>
      </c>
      <c r="B13" s="8">
        <v>0.88888888888888884</v>
      </c>
      <c r="C13" s="8">
        <v>0.1111111111111111</v>
      </c>
      <c r="D13" s="8">
        <v>1</v>
      </c>
    </row>
    <row r="14" spans="1:4" x14ac:dyDescent="0.35">
      <c r="A14" s="23" t="s">
        <v>17</v>
      </c>
      <c r="B14" s="8">
        <v>0.85</v>
      </c>
      <c r="C14" s="8">
        <v>0.15</v>
      </c>
      <c r="D14" s="8">
        <v>1</v>
      </c>
    </row>
    <row r="15" spans="1:4" x14ac:dyDescent="0.35">
      <c r="A15" s="23" t="s">
        <v>18</v>
      </c>
      <c r="B15" s="8">
        <v>0.83333333333333337</v>
      </c>
      <c r="C15" s="8">
        <v>0.16666666666666666</v>
      </c>
      <c r="D15" s="8">
        <v>1</v>
      </c>
    </row>
    <row r="16" spans="1:4" x14ac:dyDescent="0.35">
      <c r="A16" s="23" t="s">
        <v>19</v>
      </c>
      <c r="B16" s="8">
        <v>0.92307692307692313</v>
      </c>
      <c r="C16" s="8">
        <v>7.6923076923076927E-2</v>
      </c>
      <c r="D16" s="8">
        <v>1</v>
      </c>
    </row>
    <row r="17" spans="1:4" x14ac:dyDescent="0.35">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5" x14ac:dyDescent="0.35"/>
  <cols>
    <col min="1" max="1" width="41.81640625" bestFit="1" customWidth="1"/>
    <col min="2" max="2" width="18.453125" bestFit="1" customWidth="1"/>
  </cols>
  <sheetData>
    <row r="1" spans="1:2" x14ac:dyDescent="0.35">
      <c r="A1" s="2" t="s">
        <v>2</v>
      </c>
      <c r="B1" t="s">
        <v>39</v>
      </c>
    </row>
    <row r="3" spans="1:2" x14ac:dyDescent="0.35">
      <c r="A3" s="2" t="s">
        <v>3</v>
      </c>
      <c r="B3" t="s">
        <v>1</v>
      </c>
    </row>
    <row r="4" spans="1:2" x14ac:dyDescent="0.35">
      <c r="A4" t="s">
        <v>8</v>
      </c>
      <c r="B4">
        <v>1</v>
      </c>
    </row>
    <row r="5" spans="1:2" x14ac:dyDescent="0.35">
      <c r="A5" t="s">
        <v>9</v>
      </c>
      <c r="B5">
        <v>4</v>
      </c>
    </row>
    <row r="6" spans="1:2" x14ac:dyDescent="0.35">
      <c r="A6" t="s">
        <v>10</v>
      </c>
      <c r="B6">
        <v>6</v>
      </c>
    </row>
    <row r="7" spans="1:2" x14ac:dyDescent="0.35">
      <c r="A7" t="s">
        <v>11</v>
      </c>
      <c r="B7">
        <v>19</v>
      </c>
    </row>
    <row r="8" spans="1:2" x14ac:dyDescent="0.35">
      <c r="A8" t="s">
        <v>12</v>
      </c>
      <c r="B8">
        <v>13</v>
      </c>
    </row>
    <row r="9" spans="1:2" x14ac:dyDescent="0.35">
      <c r="A9" t="s">
        <v>13</v>
      </c>
      <c r="B9">
        <v>29</v>
      </c>
    </row>
    <row r="10" spans="1:2" x14ac:dyDescent="0.35">
      <c r="A10" t="s">
        <v>14</v>
      </c>
      <c r="B10">
        <v>4</v>
      </c>
    </row>
    <row r="11" spans="1:2" x14ac:dyDescent="0.35">
      <c r="A11" t="s">
        <v>15</v>
      </c>
      <c r="B11">
        <v>32</v>
      </c>
    </row>
    <row r="12" spans="1:2" x14ac:dyDescent="0.35">
      <c r="A12" t="s">
        <v>16</v>
      </c>
      <c r="B12">
        <v>24</v>
      </c>
    </row>
    <row r="13" spans="1:2" x14ac:dyDescent="0.35">
      <c r="A13" t="s">
        <v>17</v>
      </c>
      <c r="B13">
        <v>17</v>
      </c>
    </row>
    <row r="14" spans="1:2" x14ac:dyDescent="0.35">
      <c r="A14" t="s">
        <v>18</v>
      </c>
      <c r="B14">
        <v>20</v>
      </c>
    </row>
    <row r="15" spans="1:2" x14ac:dyDescent="0.35">
      <c r="A15" t="s">
        <v>19</v>
      </c>
      <c r="B15">
        <v>24</v>
      </c>
    </row>
    <row r="16" spans="1:2" x14ac:dyDescent="0.35">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5" x14ac:dyDescent="0.35"/>
  <sheetData>
    <row r="3" spans="1:3" x14ac:dyDescent="0.35">
      <c r="A3" s="63"/>
      <c r="B3" s="64"/>
      <c r="C3" s="65"/>
    </row>
    <row r="4" spans="1:3" x14ac:dyDescent="0.35">
      <c r="A4" s="66"/>
      <c r="B4" s="62"/>
      <c r="C4" s="67"/>
    </row>
    <row r="5" spans="1:3" x14ac:dyDescent="0.35">
      <c r="A5" s="66"/>
      <c r="B5" s="62"/>
      <c r="C5" s="67"/>
    </row>
    <row r="6" spans="1:3" x14ac:dyDescent="0.35">
      <c r="A6" s="66"/>
      <c r="B6" s="62"/>
      <c r="C6" s="67"/>
    </row>
    <row r="7" spans="1:3" x14ac:dyDescent="0.35">
      <c r="A7" s="66"/>
      <c r="B7" s="62"/>
      <c r="C7" s="67"/>
    </row>
    <row r="8" spans="1:3" x14ac:dyDescent="0.35">
      <c r="A8" s="66"/>
      <c r="B8" s="62"/>
      <c r="C8" s="67"/>
    </row>
    <row r="9" spans="1:3" x14ac:dyDescent="0.35">
      <c r="A9" s="66"/>
      <c r="B9" s="62"/>
      <c r="C9" s="67"/>
    </row>
    <row r="10" spans="1:3" x14ac:dyDescent="0.35">
      <c r="A10" s="66"/>
      <c r="B10" s="62"/>
      <c r="C10" s="67"/>
    </row>
    <row r="11" spans="1:3" x14ac:dyDescent="0.35">
      <c r="A11" s="66"/>
      <c r="B11" s="62"/>
      <c r="C11" s="67"/>
    </row>
    <row r="12" spans="1:3" x14ac:dyDescent="0.35">
      <c r="A12" s="66"/>
      <c r="B12" s="62"/>
      <c r="C12" s="67"/>
    </row>
    <row r="13" spans="1:3" x14ac:dyDescent="0.35">
      <c r="A13" s="66"/>
      <c r="B13" s="62"/>
      <c r="C13" s="67"/>
    </row>
    <row r="14" spans="1:3" x14ac:dyDescent="0.35">
      <c r="A14" s="66"/>
      <c r="B14" s="62"/>
      <c r="C14" s="67"/>
    </row>
    <row r="15" spans="1:3" x14ac:dyDescent="0.35">
      <c r="A15" s="66"/>
      <c r="B15" s="62"/>
      <c r="C15" s="67"/>
    </row>
    <row r="16" spans="1:3" x14ac:dyDescent="0.35">
      <c r="A16" s="66"/>
      <c r="B16" s="62"/>
      <c r="C16" s="67"/>
    </row>
    <row r="17" spans="1:3" x14ac:dyDescent="0.35">
      <c r="A17" s="66"/>
      <c r="B17" s="62"/>
      <c r="C17" s="67"/>
    </row>
    <row r="18" spans="1:3" x14ac:dyDescent="0.35">
      <c r="A18" s="66"/>
      <c r="B18" s="62"/>
      <c r="C18" s="67"/>
    </row>
    <row r="19" spans="1:3" x14ac:dyDescent="0.35">
      <c r="A19" s="66"/>
      <c r="B19" s="62"/>
      <c r="C19" s="67"/>
    </row>
    <row r="20" spans="1:3" x14ac:dyDescent="0.35">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0"/>
  <sheetViews>
    <sheetView tabSelected="1" topLeftCell="B1" zoomScaleNormal="100" workbookViewId="0">
      <pane ySplit="1" topLeftCell="A220" activePane="bottomLeft" state="frozen"/>
      <selection pane="bottomLeft" activeCell="I221" sqref="I221"/>
    </sheetView>
  </sheetViews>
  <sheetFormatPr defaultColWidth="9.1796875" defaultRowHeight="14.5" x14ac:dyDescent="0.35"/>
  <cols>
    <col min="2" max="2" width="11.54296875" customWidth="1"/>
    <col min="3" max="3" width="15" customWidth="1"/>
    <col min="4" max="4" width="13.54296875" customWidth="1"/>
    <col min="5" max="5" width="13" customWidth="1"/>
    <col min="6" max="6" width="12.81640625" customWidth="1"/>
    <col min="7" max="7" width="8.54296875" customWidth="1"/>
    <col min="8" max="8" width="17.1796875" customWidth="1"/>
    <col min="9" max="9" width="29.54296875" customWidth="1"/>
    <col min="10" max="10" width="29.453125" customWidth="1"/>
    <col min="11" max="11" width="17.54296875" style="1" customWidth="1"/>
    <col min="12" max="13" width="16.453125" style="1" customWidth="1"/>
    <col min="14" max="14" width="19.7265625" style="1" customWidth="1"/>
    <col min="15" max="16" width="14.1796875" style="1" customWidth="1"/>
    <col min="17" max="17" width="14.1796875" customWidth="1"/>
    <col min="18" max="18" width="15.81640625" customWidth="1"/>
    <col min="19" max="19" width="18.453125" style="1" customWidth="1"/>
    <col min="20" max="20" width="17.453125" customWidth="1"/>
    <col min="21" max="21" width="33" style="50" customWidth="1"/>
    <col min="22" max="22" width="31.1796875" style="51" customWidth="1"/>
    <col min="23" max="23" width="24.81640625" customWidth="1"/>
    <col min="24" max="24" width="11.453125" customWidth="1"/>
    <col min="25" max="25" width="27.1796875" customWidth="1"/>
  </cols>
  <sheetData>
    <row r="1" spans="1:23" s="11" customFormat="1" ht="48.65" customHeight="1" x14ac:dyDescent="0.35">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4" customHeight="1" x14ac:dyDescent="0.45">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46175</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4" customHeight="1" x14ac:dyDescent="0.45">
      <c r="A3" s="12">
        <v>2</v>
      </c>
      <c r="B3" s="12" t="s">
        <v>69</v>
      </c>
      <c r="C3" s="12" t="s">
        <v>70</v>
      </c>
      <c r="D3" s="12" t="s">
        <v>71</v>
      </c>
      <c r="E3" s="12" t="s">
        <v>72</v>
      </c>
      <c r="F3" s="12" t="s">
        <v>41</v>
      </c>
      <c r="G3" s="12">
        <v>9</v>
      </c>
      <c r="H3" s="12" t="s">
        <v>68</v>
      </c>
      <c r="I3" s="12" t="s">
        <v>15</v>
      </c>
      <c r="J3" s="12" t="s">
        <v>15</v>
      </c>
      <c r="K3" s="13">
        <v>42417</v>
      </c>
      <c r="L3" s="13">
        <v>43525</v>
      </c>
      <c r="M3" s="15">
        <f t="shared" ca="1" si="0"/>
        <v>46175</v>
      </c>
      <c r="N3" s="14"/>
      <c r="O3" s="39"/>
      <c r="P3" s="14"/>
      <c r="Q3" s="14"/>
      <c r="R3" s="12">
        <f t="shared" si="1"/>
        <v>54</v>
      </c>
      <c r="S3" s="25">
        <v>45163</v>
      </c>
      <c r="T3" s="12" t="s">
        <v>38</v>
      </c>
      <c r="U3" s="56">
        <f t="shared" si="2"/>
        <v>54</v>
      </c>
      <c r="V3" s="49" t="str">
        <f t="shared" si="3"/>
        <v>Completed:Delayed</v>
      </c>
      <c r="W3" s="52">
        <f t="shared" si="4"/>
        <v>91</v>
      </c>
    </row>
    <row r="4" spans="1:23" ht="25.4" customHeight="1" x14ac:dyDescent="0.45">
      <c r="A4" s="12">
        <v>3</v>
      </c>
      <c r="B4" s="12" t="s">
        <v>73</v>
      </c>
      <c r="C4" s="12" t="s">
        <v>74</v>
      </c>
      <c r="D4" s="12" t="s">
        <v>75</v>
      </c>
      <c r="E4" s="12" t="s">
        <v>76</v>
      </c>
      <c r="F4" s="12" t="s">
        <v>41</v>
      </c>
      <c r="G4" s="12">
        <v>9</v>
      </c>
      <c r="H4" s="12" t="s">
        <v>68</v>
      </c>
      <c r="I4" s="12" t="s">
        <v>15</v>
      </c>
      <c r="J4" s="12" t="s">
        <v>19</v>
      </c>
      <c r="K4" s="13">
        <v>43647</v>
      </c>
      <c r="L4" s="13">
        <v>43525</v>
      </c>
      <c r="M4" s="15">
        <f t="shared" ca="1" si="0"/>
        <v>46175</v>
      </c>
      <c r="N4" s="14"/>
      <c r="O4" s="39"/>
      <c r="P4" s="14"/>
      <c r="Q4" s="14"/>
      <c r="R4" s="12">
        <f t="shared" si="1"/>
        <v>58</v>
      </c>
      <c r="S4" s="25">
        <v>45280</v>
      </c>
      <c r="T4" s="12" t="s">
        <v>38</v>
      </c>
      <c r="U4" s="56">
        <f t="shared" si="2"/>
        <v>58</v>
      </c>
      <c r="V4" s="49" t="str">
        <f t="shared" si="3"/>
        <v>Completed:Delayed</v>
      </c>
      <c r="W4" s="52">
        <f t="shared" si="4"/>
        <v>54</v>
      </c>
    </row>
    <row r="5" spans="1:23" ht="25.4" customHeight="1" x14ac:dyDescent="0.45">
      <c r="A5" s="12">
        <v>4</v>
      </c>
      <c r="B5" s="12" t="s">
        <v>77</v>
      </c>
      <c r="C5" s="12" t="s">
        <v>78</v>
      </c>
      <c r="D5" s="12" t="s">
        <v>79</v>
      </c>
      <c r="E5" s="12" t="s">
        <v>80</v>
      </c>
      <c r="F5" s="12" t="s">
        <v>41</v>
      </c>
      <c r="G5" s="12">
        <v>2</v>
      </c>
      <c r="H5" s="12" t="s">
        <v>68</v>
      </c>
      <c r="I5" s="12" t="s">
        <v>15</v>
      </c>
      <c r="J5" s="12" t="s">
        <v>15</v>
      </c>
      <c r="K5" s="13">
        <v>40920</v>
      </c>
      <c r="L5" s="13">
        <v>40969</v>
      </c>
      <c r="M5" s="15">
        <f t="shared" ca="1" si="0"/>
        <v>46175</v>
      </c>
      <c r="N5" s="13"/>
      <c r="O5" s="13"/>
      <c r="P5" s="13"/>
      <c r="Q5" s="12"/>
      <c r="R5" s="12">
        <f t="shared" si="1"/>
        <v>93</v>
      </c>
      <c r="S5" s="25">
        <v>43787</v>
      </c>
      <c r="T5" s="12" t="s">
        <v>38</v>
      </c>
      <c r="U5" s="56">
        <f t="shared" si="2"/>
        <v>93</v>
      </c>
      <c r="V5" s="49" t="str">
        <f t="shared" si="3"/>
        <v>Completed:Delayed</v>
      </c>
      <c r="W5" s="52">
        <f t="shared" si="4"/>
        <v>95</v>
      </c>
    </row>
    <row r="6" spans="1:23" ht="25.4" customHeight="1" x14ac:dyDescent="0.45">
      <c r="A6" s="12">
        <v>5</v>
      </c>
      <c r="B6" s="12" t="s">
        <v>81</v>
      </c>
      <c r="C6" s="12" t="s">
        <v>82</v>
      </c>
      <c r="D6" s="12" t="s">
        <v>83</v>
      </c>
      <c r="E6" s="12" t="s">
        <v>84</v>
      </c>
      <c r="F6" s="12" t="s">
        <v>41</v>
      </c>
      <c r="G6" s="12">
        <v>7</v>
      </c>
      <c r="H6" s="12" t="s">
        <v>68</v>
      </c>
      <c r="I6" s="12" t="s">
        <v>13</v>
      </c>
      <c r="J6" s="12" t="s">
        <v>13</v>
      </c>
      <c r="K6" s="13">
        <v>42458</v>
      </c>
      <c r="L6" s="13">
        <v>42795</v>
      </c>
      <c r="M6" s="15">
        <f t="shared" ca="1" si="0"/>
        <v>46175</v>
      </c>
      <c r="N6" s="13"/>
      <c r="O6" s="13"/>
      <c r="P6" s="13"/>
      <c r="Q6" s="12"/>
      <c r="R6" s="12">
        <f t="shared" si="1"/>
        <v>34</v>
      </c>
      <c r="S6" s="25">
        <v>43813</v>
      </c>
      <c r="T6" s="12" t="s">
        <v>38</v>
      </c>
      <c r="U6" s="56">
        <f t="shared" si="2"/>
        <v>34</v>
      </c>
      <c r="V6" s="49" t="str">
        <f t="shared" si="3"/>
        <v xml:space="preserve"> Completed:On time</v>
      </c>
      <c r="W6" s="52">
        <f t="shared" si="4"/>
        <v>45</v>
      </c>
    </row>
    <row r="7" spans="1:23" ht="25.4" customHeight="1" x14ac:dyDescent="0.45">
      <c r="A7" s="12">
        <v>6</v>
      </c>
      <c r="B7" s="12" t="s">
        <v>85</v>
      </c>
      <c r="C7" s="12" t="s">
        <v>86</v>
      </c>
      <c r="D7" s="12"/>
      <c r="E7" s="12" t="s">
        <v>87</v>
      </c>
      <c r="F7" s="12" t="s">
        <v>42</v>
      </c>
      <c r="G7" s="12">
        <v>2</v>
      </c>
      <c r="H7" s="12" t="s">
        <v>68</v>
      </c>
      <c r="I7" s="12" t="s">
        <v>15</v>
      </c>
      <c r="J7" s="12" t="s">
        <v>15</v>
      </c>
      <c r="K7" s="13">
        <v>40924</v>
      </c>
      <c r="L7" s="13">
        <v>40969</v>
      </c>
      <c r="M7" s="15">
        <f t="shared" ca="1" si="0"/>
        <v>46175</v>
      </c>
      <c r="N7" s="14">
        <f ca="1">DATEDIF(L7,M7,"M") +1</f>
        <v>172</v>
      </c>
      <c r="O7" s="39"/>
      <c r="P7" s="14"/>
      <c r="Q7" s="14"/>
      <c r="R7" s="12">
        <f t="shared" ca="1" si="1"/>
        <v>172</v>
      </c>
      <c r="S7" s="25">
        <v>45183</v>
      </c>
      <c r="T7" s="12" t="s">
        <v>38</v>
      </c>
      <c r="U7" s="56">
        <f t="shared" si="2"/>
        <v>139</v>
      </c>
      <c r="V7" s="49" t="str">
        <f t="shared" si="3"/>
        <v>Completed:Delayed</v>
      </c>
      <c r="W7" s="52">
        <f t="shared" si="4"/>
        <v>140</v>
      </c>
    </row>
    <row r="8" spans="1:23" ht="25.4" customHeight="1" x14ac:dyDescent="0.45">
      <c r="A8" s="12">
        <v>7</v>
      </c>
      <c r="B8" s="12" t="s">
        <v>88</v>
      </c>
      <c r="C8" s="12" t="s">
        <v>89</v>
      </c>
      <c r="D8" s="12" t="s">
        <v>90</v>
      </c>
      <c r="E8" s="12" t="s">
        <v>91</v>
      </c>
      <c r="F8" s="12" t="s">
        <v>41</v>
      </c>
      <c r="G8" s="12">
        <v>3</v>
      </c>
      <c r="H8" s="12" t="s">
        <v>68</v>
      </c>
      <c r="I8" s="12" t="s">
        <v>15</v>
      </c>
      <c r="J8" s="12" t="s">
        <v>15</v>
      </c>
      <c r="K8" s="13">
        <v>41325</v>
      </c>
      <c r="L8" s="13">
        <v>41334</v>
      </c>
      <c r="M8" s="15">
        <f t="shared" ca="1" si="0"/>
        <v>46175</v>
      </c>
      <c r="N8" s="13"/>
      <c r="O8" s="13"/>
      <c r="P8" s="13"/>
      <c r="Q8" s="12"/>
      <c r="R8" s="12">
        <f t="shared" si="1"/>
        <v>56</v>
      </c>
      <c r="S8" s="25">
        <v>43038</v>
      </c>
      <c r="T8" s="12" t="s">
        <v>38</v>
      </c>
      <c r="U8" s="56">
        <f t="shared" si="2"/>
        <v>56</v>
      </c>
      <c r="V8" s="49" t="str">
        <f t="shared" si="3"/>
        <v>Completed:Delayed</v>
      </c>
      <c r="W8" s="52">
        <f t="shared" si="4"/>
        <v>57</v>
      </c>
    </row>
    <row r="9" spans="1:23" ht="25.4" customHeight="1" x14ac:dyDescent="0.45">
      <c r="A9" s="12">
        <v>8</v>
      </c>
      <c r="B9" s="12" t="s">
        <v>92</v>
      </c>
      <c r="C9" s="12" t="s">
        <v>93</v>
      </c>
      <c r="D9" s="12" t="s">
        <v>78</v>
      </c>
      <c r="E9" s="12" t="s">
        <v>94</v>
      </c>
      <c r="F9" s="12" t="s">
        <v>42</v>
      </c>
      <c r="G9" s="12">
        <v>8</v>
      </c>
      <c r="H9" s="12" t="s">
        <v>68</v>
      </c>
      <c r="I9" s="12" t="s">
        <v>13</v>
      </c>
      <c r="J9" s="12" t="s">
        <v>19</v>
      </c>
      <c r="K9" s="13">
        <v>43318</v>
      </c>
      <c r="L9" s="13">
        <v>43160</v>
      </c>
      <c r="M9" s="15">
        <f t="shared" ca="1" si="0"/>
        <v>46175</v>
      </c>
      <c r="N9" s="14"/>
      <c r="O9" s="39"/>
      <c r="P9" s="14"/>
      <c r="Q9" s="14"/>
      <c r="R9" s="12">
        <f t="shared" si="1"/>
        <v>51</v>
      </c>
      <c r="S9" s="25">
        <v>44682</v>
      </c>
      <c r="T9" s="12" t="s">
        <v>38</v>
      </c>
      <c r="U9" s="56">
        <f t="shared" si="2"/>
        <v>51</v>
      </c>
      <c r="V9" s="49" t="str">
        <f t="shared" si="3"/>
        <v xml:space="preserve"> Completed:On time</v>
      </c>
      <c r="W9" s="52">
        <f t="shared" si="4"/>
        <v>45</v>
      </c>
    </row>
    <row r="10" spans="1:23" ht="25.4" customHeight="1" x14ac:dyDescent="0.45">
      <c r="A10" s="12">
        <v>9</v>
      </c>
      <c r="B10" s="12" t="s">
        <v>95</v>
      </c>
      <c r="C10" s="12" t="s">
        <v>96</v>
      </c>
      <c r="D10" s="12" t="s">
        <v>97</v>
      </c>
      <c r="E10" s="12" t="s">
        <v>98</v>
      </c>
      <c r="F10" s="12" t="s">
        <v>42</v>
      </c>
      <c r="G10" s="12">
        <v>2</v>
      </c>
      <c r="H10" s="12" t="s">
        <v>68</v>
      </c>
      <c r="I10" s="12" t="s">
        <v>15</v>
      </c>
      <c r="J10" s="12" t="s">
        <v>15</v>
      </c>
      <c r="K10" s="13">
        <v>40987</v>
      </c>
      <c r="L10" s="13">
        <v>40969</v>
      </c>
      <c r="M10" s="15">
        <f t="shared" ca="1" si="0"/>
        <v>46175</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4" customHeight="1" x14ac:dyDescent="0.45">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46175</v>
      </c>
      <c r="N11" s="13"/>
      <c r="O11" s="13"/>
      <c r="P11" s="13"/>
      <c r="Q11" s="12"/>
      <c r="R11" s="12">
        <f t="shared" si="1"/>
        <v>52</v>
      </c>
      <c r="S11" s="25">
        <v>42916</v>
      </c>
      <c r="T11" s="12" t="s">
        <v>38</v>
      </c>
      <c r="U11" s="56">
        <f t="shared" si="2"/>
        <v>52</v>
      </c>
      <c r="V11" s="49" t="str">
        <f t="shared" si="3"/>
        <v>Completed:Delayed</v>
      </c>
      <c r="W11" s="52">
        <f t="shared" si="4"/>
        <v>53</v>
      </c>
    </row>
    <row r="12" spans="1:23" ht="25.4" customHeight="1" x14ac:dyDescent="0.45">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46175</v>
      </c>
      <c r="N12" s="13"/>
      <c r="O12" s="13"/>
      <c r="P12" s="13"/>
      <c r="Q12" s="12"/>
      <c r="R12" s="12">
        <f t="shared" si="1"/>
        <v>69</v>
      </c>
      <c r="S12" s="25">
        <v>43799</v>
      </c>
      <c r="T12" s="12" t="s">
        <v>38</v>
      </c>
      <c r="U12" s="56">
        <f t="shared" si="2"/>
        <v>69</v>
      </c>
      <c r="V12" s="49" t="str">
        <f t="shared" si="3"/>
        <v>Completed:Delayed</v>
      </c>
      <c r="W12" s="52">
        <f t="shared" si="4"/>
        <v>33</v>
      </c>
    </row>
    <row r="13" spans="1:23" ht="25.4" customHeight="1" x14ac:dyDescent="0.45">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46175</v>
      </c>
      <c r="N13" s="14"/>
      <c r="O13" s="25"/>
      <c r="P13" s="25"/>
      <c r="Q13" s="14"/>
      <c r="R13" s="12">
        <f t="shared" si="1"/>
        <v>59</v>
      </c>
      <c r="S13" s="25">
        <v>45313</v>
      </c>
      <c r="T13" s="12" t="s">
        <v>38</v>
      </c>
      <c r="U13" s="56">
        <f t="shared" si="2"/>
        <v>59</v>
      </c>
      <c r="V13" s="49" t="str">
        <f t="shared" si="3"/>
        <v>Completed:Delayed</v>
      </c>
      <c r="W13" s="52">
        <f t="shared" si="4"/>
        <v>48</v>
      </c>
    </row>
    <row r="14" spans="1:23" ht="25.4" customHeight="1" x14ac:dyDescent="0.45">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46175</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4" customHeight="1" x14ac:dyDescent="0.45">
      <c r="A15" s="12">
        <v>14</v>
      </c>
      <c r="B15" s="12" t="s">
        <v>118</v>
      </c>
      <c r="C15" s="12" t="s">
        <v>119</v>
      </c>
      <c r="D15" s="12"/>
      <c r="E15" s="12" t="s">
        <v>120</v>
      </c>
      <c r="F15" s="12" t="s">
        <v>41</v>
      </c>
      <c r="G15" s="12">
        <v>10</v>
      </c>
      <c r="H15" s="12" t="s">
        <v>121</v>
      </c>
      <c r="I15" s="12" t="s">
        <v>18</v>
      </c>
      <c r="J15" s="12" t="s">
        <v>19</v>
      </c>
      <c r="K15" s="13">
        <v>43861</v>
      </c>
      <c r="L15" s="13">
        <v>43891</v>
      </c>
      <c r="M15" s="15">
        <f t="shared" ca="1" si="0"/>
        <v>46175</v>
      </c>
      <c r="N15" s="14">
        <f ca="1">DATEDIF(L15,M15,"M") +1</f>
        <v>76</v>
      </c>
      <c r="O15" s="39"/>
      <c r="P15" s="14"/>
      <c r="Q15" s="14"/>
      <c r="R15" s="12">
        <f t="shared" ca="1" si="1"/>
        <v>76</v>
      </c>
      <c r="S15" s="25">
        <v>45538</v>
      </c>
      <c r="T15" s="12" t="s">
        <v>38</v>
      </c>
      <c r="U15" s="56">
        <f t="shared" si="2"/>
        <v>55</v>
      </c>
      <c r="V15" s="49" t="str">
        <f t="shared" si="3"/>
        <v>Completed:Delayed</v>
      </c>
      <c r="W15" s="52">
        <f t="shared" si="4"/>
        <v>56</v>
      </c>
    </row>
    <row r="16" spans="1:23" ht="25.4" customHeight="1" x14ac:dyDescent="0.45">
      <c r="A16" s="12">
        <v>15</v>
      </c>
      <c r="B16" s="12" t="s">
        <v>122</v>
      </c>
      <c r="C16" s="12" t="s">
        <v>123</v>
      </c>
      <c r="D16" s="12"/>
      <c r="E16" s="12" t="s">
        <v>124</v>
      </c>
      <c r="F16" s="12" t="s">
        <v>41</v>
      </c>
      <c r="G16" s="12">
        <v>2</v>
      </c>
      <c r="H16" s="12" t="s">
        <v>125</v>
      </c>
      <c r="I16" s="12" t="s">
        <v>16</v>
      </c>
      <c r="J16" s="12" t="s">
        <v>16</v>
      </c>
      <c r="K16" s="13">
        <v>40917</v>
      </c>
      <c r="L16" s="13">
        <v>40969</v>
      </c>
      <c r="M16" s="15">
        <f t="shared" ca="1" si="0"/>
        <v>46175</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4" customHeight="1" x14ac:dyDescent="0.45">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46175</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4" customHeight="1" x14ac:dyDescent="0.45">
      <c r="A18" s="12">
        <v>17</v>
      </c>
      <c r="B18" s="12" t="s">
        <v>129</v>
      </c>
      <c r="C18" s="12" t="s">
        <v>130</v>
      </c>
      <c r="D18" s="12"/>
      <c r="E18" s="12" t="s">
        <v>131</v>
      </c>
      <c r="F18" s="12" t="s">
        <v>41</v>
      </c>
      <c r="G18" s="12">
        <v>3</v>
      </c>
      <c r="H18" s="12" t="s">
        <v>132</v>
      </c>
      <c r="I18" s="12" t="s">
        <v>17</v>
      </c>
      <c r="J18" s="12" t="s">
        <v>17</v>
      </c>
      <c r="K18" s="13">
        <v>41329</v>
      </c>
      <c r="L18" s="13">
        <v>41334</v>
      </c>
      <c r="M18" s="15">
        <f t="shared" ca="1" si="0"/>
        <v>46175</v>
      </c>
      <c r="N18" s="13"/>
      <c r="O18" s="13"/>
      <c r="P18" s="13"/>
      <c r="Q18" s="12"/>
      <c r="R18" s="12">
        <f t="shared" si="1"/>
        <v>82</v>
      </c>
      <c r="S18" s="25">
        <v>43819</v>
      </c>
      <c r="T18" s="12" t="s">
        <v>38</v>
      </c>
      <c r="U18" s="56">
        <f t="shared" si="2"/>
        <v>82</v>
      </c>
      <c r="V18" s="49" t="str">
        <f t="shared" si="3"/>
        <v>Completed:Delayed</v>
      </c>
      <c r="W18" s="52">
        <f t="shared" si="4"/>
        <v>82</v>
      </c>
    </row>
    <row r="19" spans="1:25" ht="25.4" customHeight="1" x14ac:dyDescent="0.45">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46175</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4" customHeight="1" x14ac:dyDescent="0.45">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46175</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4" customHeight="1" x14ac:dyDescent="0.45">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46175</v>
      </c>
      <c r="N21" s="14"/>
      <c r="O21" s="39"/>
      <c r="P21" s="14"/>
      <c r="Q21" s="14"/>
      <c r="R21" s="12">
        <f t="shared" si="1"/>
        <v>58</v>
      </c>
      <c r="S21" s="25">
        <v>44900</v>
      </c>
      <c r="T21" s="12" t="s">
        <v>38</v>
      </c>
      <c r="U21" s="56">
        <f t="shared" si="2"/>
        <v>58</v>
      </c>
      <c r="V21" s="49" t="str">
        <f t="shared" si="3"/>
        <v>Completed:Delayed</v>
      </c>
      <c r="W21" s="52">
        <f t="shared" si="4"/>
        <v>57</v>
      </c>
    </row>
    <row r="22" spans="1:25" ht="25.4" customHeight="1" x14ac:dyDescent="0.45">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46175</v>
      </c>
      <c r="N22" s="13"/>
      <c r="O22" s="13"/>
      <c r="P22" s="13"/>
      <c r="Q22" s="12"/>
      <c r="R22" s="12">
        <f t="shared" si="1"/>
        <v>57</v>
      </c>
      <c r="S22" s="25">
        <v>42704</v>
      </c>
      <c r="T22" s="12" t="s">
        <v>38</v>
      </c>
      <c r="U22" s="56">
        <f t="shared" si="2"/>
        <v>57</v>
      </c>
      <c r="V22" s="49" t="str">
        <f t="shared" si="3"/>
        <v>Completed:Delayed</v>
      </c>
      <c r="W22" s="52">
        <f t="shared" si="4"/>
        <v>57</v>
      </c>
    </row>
    <row r="23" spans="1:25" ht="25.4" customHeight="1" x14ac:dyDescent="0.45">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46175</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4" customHeight="1" x14ac:dyDescent="0.45">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46175</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4" customHeight="1" x14ac:dyDescent="0.45">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46175</v>
      </c>
      <c r="N25" s="14"/>
      <c r="O25" s="39"/>
      <c r="P25" s="14"/>
      <c r="Q25" s="14"/>
      <c r="R25" s="12">
        <f t="shared" si="1"/>
        <v>67</v>
      </c>
      <c r="S25" s="25">
        <v>44461</v>
      </c>
      <c r="T25" s="12" t="s">
        <v>38</v>
      </c>
      <c r="U25" s="56">
        <f t="shared" si="2"/>
        <v>67</v>
      </c>
      <c r="V25" s="49" t="str">
        <f t="shared" si="3"/>
        <v>Completed:Delayed</v>
      </c>
      <c r="W25" s="52">
        <f t="shared" si="4"/>
        <v>55</v>
      </c>
    </row>
    <row r="26" spans="1:25" ht="25.4" customHeight="1" x14ac:dyDescent="0.45">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46175</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4" customHeight="1" x14ac:dyDescent="0.45">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46175</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4" customHeight="1" x14ac:dyDescent="0.45">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46175</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4" customHeight="1" x14ac:dyDescent="0.45">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46175</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4" customHeight="1" x14ac:dyDescent="0.45">
      <c r="A30" s="12">
        <v>29</v>
      </c>
      <c r="B30" s="12" t="s">
        <v>176</v>
      </c>
      <c r="C30" s="12" t="s">
        <v>177</v>
      </c>
      <c r="D30" s="12"/>
      <c r="E30" s="12" t="s">
        <v>178</v>
      </c>
      <c r="F30" s="12" t="s">
        <v>42</v>
      </c>
      <c r="G30" s="12">
        <v>2</v>
      </c>
      <c r="H30" s="12" t="s">
        <v>117</v>
      </c>
      <c r="I30" s="12" t="s">
        <v>11</v>
      </c>
      <c r="J30" s="12" t="s">
        <v>11</v>
      </c>
      <c r="K30" s="13">
        <v>40933</v>
      </c>
      <c r="L30" s="13">
        <v>40969</v>
      </c>
      <c r="M30" s="15">
        <f t="shared" ca="1" si="0"/>
        <v>46175</v>
      </c>
      <c r="N30" s="14">
        <f ca="1">DATEDIF(L30,M30,"M") +1</f>
        <v>172</v>
      </c>
      <c r="O30" s="39"/>
      <c r="P30" s="14"/>
      <c r="Q30" s="14"/>
      <c r="R30" s="12">
        <f t="shared" ca="1" si="1"/>
        <v>172</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4" customHeight="1" x14ac:dyDescent="0.45">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46175</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4" customHeight="1" x14ac:dyDescent="0.45">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46175</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4" customHeight="1" x14ac:dyDescent="0.45">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46175</v>
      </c>
      <c r="N33" s="14"/>
      <c r="O33" s="39"/>
      <c r="P33" s="14"/>
      <c r="Q33" s="14"/>
      <c r="R33" s="12">
        <f t="shared" si="1"/>
        <v>91</v>
      </c>
      <c r="S33" s="26">
        <v>44442</v>
      </c>
      <c r="T33" s="12" t="s">
        <v>38</v>
      </c>
      <c r="U33" s="56">
        <f t="shared" si="5"/>
        <v>91</v>
      </c>
      <c r="V33" s="49" t="str">
        <f t="shared" si="6"/>
        <v>Completed:Delayed</v>
      </c>
      <c r="W33" s="52">
        <f t="shared" si="7"/>
        <v>90</v>
      </c>
    </row>
    <row r="34" spans="1:25" ht="25.4" customHeight="1" x14ac:dyDescent="0.45">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46175</v>
      </c>
      <c r="N34" s="14"/>
      <c r="O34" s="39"/>
      <c r="P34" s="14"/>
      <c r="Q34" s="14"/>
      <c r="R34" s="12">
        <f t="shared" si="1"/>
        <v>55</v>
      </c>
      <c r="S34" s="25">
        <v>44468</v>
      </c>
      <c r="T34" s="12" t="s">
        <v>38</v>
      </c>
      <c r="U34" s="56">
        <f t="shared" si="5"/>
        <v>55</v>
      </c>
      <c r="V34" s="49" t="str">
        <f t="shared" si="6"/>
        <v>Completed:Delayed</v>
      </c>
      <c r="W34" s="52">
        <f t="shared" si="7"/>
        <v>51</v>
      </c>
    </row>
    <row r="35" spans="1:25" ht="25.4" customHeight="1" x14ac:dyDescent="0.45">
      <c r="A35" s="12">
        <v>34</v>
      </c>
      <c r="B35" s="12" t="s">
        <v>195</v>
      </c>
      <c r="C35" s="12" t="s">
        <v>196</v>
      </c>
      <c r="D35" s="12"/>
      <c r="E35" s="12" t="s">
        <v>197</v>
      </c>
      <c r="F35" s="12" t="s">
        <v>42</v>
      </c>
      <c r="G35" s="12">
        <v>5</v>
      </c>
      <c r="H35" s="12" t="s">
        <v>121</v>
      </c>
      <c r="I35" s="12" t="s">
        <v>18</v>
      </c>
      <c r="J35" s="12" t="s">
        <v>12</v>
      </c>
      <c r="K35" s="13">
        <v>42993</v>
      </c>
      <c r="L35" s="13">
        <v>42064</v>
      </c>
      <c r="M35" s="15">
        <f t="shared" ca="1" si="0"/>
        <v>46175</v>
      </c>
      <c r="N35" s="13"/>
      <c r="O35" s="13"/>
      <c r="P35" s="13"/>
      <c r="Q35" s="12"/>
      <c r="R35" s="12">
        <f t="shared" si="1"/>
        <v>58</v>
      </c>
      <c r="S35" s="25">
        <v>43830</v>
      </c>
      <c r="T35" s="12" t="s">
        <v>38</v>
      </c>
      <c r="U35" s="56">
        <f t="shared" si="5"/>
        <v>58</v>
      </c>
      <c r="V35" s="49" t="str">
        <f t="shared" si="6"/>
        <v>Completed:Delayed</v>
      </c>
      <c r="W35" s="52">
        <f t="shared" si="7"/>
        <v>28</v>
      </c>
    </row>
    <row r="36" spans="1:25" ht="25.4" customHeight="1" x14ac:dyDescent="0.45">
      <c r="A36" s="12">
        <v>35</v>
      </c>
      <c r="B36" s="12" t="s">
        <v>198</v>
      </c>
      <c r="C36" s="12" t="s">
        <v>196</v>
      </c>
      <c r="D36" s="12"/>
      <c r="E36" s="12" t="s">
        <v>199</v>
      </c>
      <c r="F36" s="12" t="s">
        <v>42</v>
      </c>
      <c r="G36" s="12">
        <v>7</v>
      </c>
      <c r="H36" s="12" t="s">
        <v>121</v>
      </c>
      <c r="I36" s="12" t="s">
        <v>18</v>
      </c>
      <c r="J36" s="12" t="s">
        <v>11</v>
      </c>
      <c r="K36" s="13">
        <v>42855</v>
      </c>
      <c r="L36" s="13">
        <v>42795</v>
      </c>
      <c r="M36" s="15">
        <f t="shared" ca="1" si="0"/>
        <v>46175</v>
      </c>
      <c r="N36" s="14"/>
      <c r="O36" s="39"/>
      <c r="P36" s="14"/>
      <c r="Q36" s="14"/>
      <c r="R36" s="12">
        <f t="shared" si="1"/>
        <v>82</v>
      </c>
      <c r="S36" s="25">
        <v>45273</v>
      </c>
      <c r="T36" s="12" t="s">
        <v>38</v>
      </c>
      <c r="U36" s="56">
        <f t="shared" si="5"/>
        <v>82</v>
      </c>
      <c r="V36" s="49" t="str">
        <f t="shared" si="6"/>
        <v>Completed:Delayed</v>
      </c>
      <c r="W36" s="52">
        <f t="shared" si="7"/>
        <v>80</v>
      </c>
    </row>
    <row r="37" spans="1:25" ht="25.4" customHeight="1" x14ac:dyDescent="0.45">
      <c r="A37" s="12">
        <v>36</v>
      </c>
      <c r="B37" s="12" t="s">
        <v>200</v>
      </c>
      <c r="C37" s="12" t="s">
        <v>201</v>
      </c>
      <c r="D37" s="12"/>
      <c r="E37" s="12" t="s">
        <v>202</v>
      </c>
      <c r="F37" s="12" t="s">
        <v>41</v>
      </c>
      <c r="G37" s="12">
        <v>1</v>
      </c>
      <c r="H37" s="12" t="s">
        <v>121</v>
      </c>
      <c r="I37" s="12" t="s">
        <v>18</v>
      </c>
      <c r="J37" s="12" t="s">
        <v>14</v>
      </c>
      <c r="K37" s="13">
        <v>40616</v>
      </c>
      <c r="L37" s="13">
        <v>40634</v>
      </c>
      <c r="M37" s="15">
        <f t="shared" ca="1" si="0"/>
        <v>46175</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4" customHeight="1" x14ac:dyDescent="0.45">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46175</v>
      </c>
      <c r="N38" s="13"/>
      <c r="O38" s="13"/>
      <c r="P38" s="13"/>
      <c r="Q38" s="12"/>
      <c r="R38" s="12">
        <f t="shared" si="1"/>
        <v>57</v>
      </c>
      <c r="S38" s="25">
        <v>43069</v>
      </c>
      <c r="T38" s="12" t="s">
        <v>38</v>
      </c>
      <c r="U38" s="56">
        <f t="shared" si="8"/>
        <v>57</v>
      </c>
      <c r="V38" s="49" t="str">
        <f t="shared" si="9"/>
        <v>Completed:Delayed</v>
      </c>
      <c r="W38" s="52">
        <f t="shared" si="10"/>
        <v>62</v>
      </c>
    </row>
    <row r="39" spans="1:25" ht="25.4" customHeight="1" x14ac:dyDescent="0.45">
      <c r="A39" s="12">
        <v>38</v>
      </c>
      <c r="B39" s="12" t="s">
        <v>208</v>
      </c>
      <c r="C39" s="12" t="s">
        <v>209</v>
      </c>
      <c r="D39" s="12"/>
      <c r="E39" s="12" t="s">
        <v>210</v>
      </c>
      <c r="F39" s="12" t="s">
        <v>42</v>
      </c>
      <c r="G39" s="12">
        <v>9</v>
      </c>
      <c r="H39" s="12" t="s">
        <v>117</v>
      </c>
      <c r="I39" s="12" t="s">
        <v>11</v>
      </c>
      <c r="J39" s="12" t="s">
        <v>11</v>
      </c>
      <c r="K39" s="13">
        <v>43647</v>
      </c>
      <c r="L39" s="13">
        <v>43525</v>
      </c>
      <c r="M39" s="15">
        <f t="shared" ca="1" si="0"/>
        <v>46175</v>
      </c>
      <c r="N39" s="14"/>
      <c r="O39" s="39"/>
      <c r="P39" s="14"/>
      <c r="Q39" s="14"/>
      <c r="R39" s="12">
        <f t="shared" si="1"/>
        <v>55</v>
      </c>
      <c r="S39" s="25">
        <v>45174</v>
      </c>
      <c r="T39" s="12" t="s">
        <v>38</v>
      </c>
      <c r="U39" s="56">
        <f t="shared" si="8"/>
        <v>55</v>
      </c>
      <c r="V39" s="49" t="str">
        <f t="shared" si="9"/>
        <v>Completed:Delayed</v>
      </c>
      <c r="W39" s="52">
        <f t="shared" si="10"/>
        <v>51</v>
      </c>
    </row>
    <row r="40" spans="1:25" ht="25.4" customHeight="1" x14ac:dyDescent="0.45">
      <c r="A40" s="12">
        <v>39</v>
      </c>
      <c r="B40" s="12" t="s">
        <v>211</v>
      </c>
      <c r="C40" s="12" t="s">
        <v>212</v>
      </c>
      <c r="D40" s="12"/>
      <c r="E40" s="12" t="s">
        <v>213</v>
      </c>
      <c r="F40" s="12" t="s">
        <v>42</v>
      </c>
      <c r="G40" s="12">
        <v>5</v>
      </c>
      <c r="H40" s="12" t="s">
        <v>214</v>
      </c>
      <c r="I40" s="12" t="s">
        <v>9</v>
      </c>
      <c r="J40" s="12" t="s">
        <v>19</v>
      </c>
      <c r="K40" s="13">
        <v>42370</v>
      </c>
      <c r="L40" s="13">
        <v>42064</v>
      </c>
      <c r="M40" s="15">
        <f t="shared" ca="1" si="0"/>
        <v>46175</v>
      </c>
      <c r="N40" s="13"/>
      <c r="O40" s="13"/>
      <c r="P40" s="13"/>
      <c r="Q40" s="12"/>
      <c r="R40" s="12">
        <f t="shared" si="1"/>
        <v>52</v>
      </c>
      <c r="S40" s="25">
        <v>43646</v>
      </c>
      <c r="T40" s="12" t="s">
        <v>38</v>
      </c>
      <c r="U40" s="56">
        <f t="shared" si="8"/>
        <v>52</v>
      </c>
      <c r="V40" s="49" t="str">
        <f t="shared" si="9"/>
        <v>Completed:Delayed</v>
      </c>
      <c r="W40" s="52">
        <f t="shared" si="10"/>
        <v>42</v>
      </c>
    </row>
    <row r="41" spans="1:25" ht="25.4" customHeight="1" x14ac:dyDescent="0.45">
      <c r="A41" s="12">
        <v>40</v>
      </c>
      <c r="B41" s="12" t="s">
        <v>215</v>
      </c>
      <c r="C41" s="12" t="s">
        <v>216</v>
      </c>
      <c r="D41" s="12" t="s">
        <v>217</v>
      </c>
      <c r="E41" s="12" t="s">
        <v>218</v>
      </c>
      <c r="F41" s="12" t="s">
        <v>41</v>
      </c>
      <c r="G41" s="12">
        <v>10</v>
      </c>
      <c r="H41" s="12" t="s">
        <v>68</v>
      </c>
      <c r="I41" s="12" t="s">
        <v>15</v>
      </c>
      <c r="J41" s="12" t="s">
        <v>15</v>
      </c>
      <c r="K41" s="13"/>
      <c r="L41" s="13">
        <v>43891</v>
      </c>
      <c r="M41" s="15">
        <f t="shared" ca="1" si="0"/>
        <v>46175</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4" customHeight="1" x14ac:dyDescent="0.45">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46175</v>
      </c>
      <c r="N42" s="14"/>
      <c r="O42" s="39"/>
      <c r="P42" s="14"/>
      <c r="Q42" s="14"/>
      <c r="R42" s="12">
        <f t="shared" si="1"/>
        <v>89</v>
      </c>
      <c r="S42" s="25">
        <v>44392</v>
      </c>
      <c r="T42" s="12" t="s">
        <v>38</v>
      </c>
      <c r="U42" s="56">
        <f t="shared" si="8"/>
        <v>89</v>
      </c>
      <c r="V42" s="49" t="str">
        <f t="shared" si="9"/>
        <v>Completed:Delayed</v>
      </c>
      <c r="W42" s="52">
        <f t="shared" si="10"/>
        <v>79</v>
      </c>
    </row>
    <row r="43" spans="1:25" ht="25.4" customHeight="1" x14ac:dyDescent="0.45">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46175</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4" customHeight="1" x14ac:dyDescent="0.45">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46175</v>
      </c>
      <c r="N44" s="13"/>
      <c r="O44" s="13"/>
      <c r="P44" s="13"/>
      <c r="Q44" s="12"/>
      <c r="R44" s="12">
        <f t="shared" si="1"/>
        <v>57</v>
      </c>
      <c r="S44" s="25">
        <v>42704</v>
      </c>
      <c r="T44" s="12" t="s">
        <v>38</v>
      </c>
      <c r="U44" s="56">
        <f t="shared" si="8"/>
        <v>57</v>
      </c>
      <c r="V44" s="49" t="str">
        <f t="shared" si="9"/>
        <v>Completed:Delayed</v>
      </c>
      <c r="W44" s="52">
        <f t="shared" si="10"/>
        <v>45</v>
      </c>
    </row>
    <row r="45" spans="1:25" ht="16" x14ac:dyDescent="0.45">
      <c r="A45" s="12">
        <v>44</v>
      </c>
      <c r="B45" s="12" t="s">
        <v>230</v>
      </c>
      <c r="C45" s="12" t="s">
        <v>231</v>
      </c>
      <c r="D45" s="12"/>
      <c r="E45" s="12" t="s">
        <v>232</v>
      </c>
      <c r="F45" s="12" t="s">
        <v>42</v>
      </c>
      <c r="G45" s="12">
        <v>4</v>
      </c>
      <c r="H45" s="12" t="s">
        <v>107</v>
      </c>
      <c r="I45" s="12" t="s">
        <v>19</v>
      </c>
      <c r="J45" s="12" t="s">
        <v>19</v>
      </c>
      <c r="K45" s="13">
        <v>41617</v>
      </c>
      <c r="L45" s="13">
        <v>41699</v>
      </c>
      <c r="M45" s="15">
        <f t="shared" ca="1" si="0"/>
        <v>46175</v>
      </c>
      <c r="N45" s="14"/>
      <c r="O45" s="39"/>
      <c r="P45" s="14"/>
      <c r="Q45" s="14"/>
      <c r="R45" s="12">
        <f t="shared" si="1"/>
        <v>101</v>
      </c>
      <c r="S45" s="25">
        <v>44746</v>
      </c>
      <c r="T45" s="12" t="s">
        <v>38</v>
      </c>
      <c r="U45" s="56">
        <f t="shared" si="8"/>
        <v>101</v>
      </c>
      <c r="V45" s="49" t="str">
        <f t="shared" si="9"/>
        <v>Completed:Delayed</v>
      </c>
      <c r="W45" s="52">
        <f t="shared" si="10"/>
        <v>103</v>
      </c>
    </row>
    <row r="46" spans="1:25" ht="25.4" customHeight="1" x14ac:dyDescent="0.45">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46175</v>
      </c>
      <c r="N46" s="14">
        <f ca="1">DATEDIF(L46,M46,"M") +1</f>
        <v>160</v>
      </c>
      <c r="O46" s="39"/>
      <c r="P46" s="14"/>
      <c r="Q46" s="14"/>
      <c r="R46" s="12">
        <f t="shared" ca="1" si="1"/>
        <v>160</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4" customHeight="1" x14ac:dyDescent="0.45">
      <c r="A47" s="12">
        <v>46</v>
      </c>
      <c r="B47" s="12" t="s">
        <v>237</v>
      </c>
      <c r="C47" s="12" t="s">
        <v>238</v>
      </c>
      <c r="D47" s="12"/>
      <c r="E47" s="12" t="s">
        <v>239</v>
      </c>
      <c r="F47" s="12" t="s">
        <v>42</v>
      </c>
      <c r="G47" s="12">
        <v>1</v>
      </c>
      <c r="H47" s="12" t="s">
        <v>121</v>
      </c>
      <c r="I47" s="12" t="s">
        <v>18</v>
      </c>
      <c r="J47" s="12" t="s">
        <v>14</v>
      </c>
      <c r="K47" s="13">
        <v>40695</v>
      </c>
      <c r="L47" s="13">
        <v>40634</v>
      </c>
      <c r="M47" s="15">
        <f t="shared" ca="1" si="0"/>
        <v>46175</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4" customHeight="1" x14ac:dyDescent="0.45">
      <c r="A48" s="12">
        <v>47</v>
      </c>
      <c r="B48" s="12" t="s">
        <v>241</v>
      </c>
      <c r="C48" s="12" t="s">
        <v>242</v>
      </c>
      <c r="D48" s="12"/>
      <c r="E48" s="12" t="s">
        <v>243</v>
      </c>
      <c r="F48" s="12" t="s">
        <v>42</v>
      </c>
      <c r="G48" s="12">
        <v>3</v>
      </c>
      <c r="H48" s="12" t="s">
        <v>121</v>
      </c>
      <c r="I48" s="12" t="s">
        <v>18</v>
      </c>
      <c r="J48" s="12" t="s">
        <v>12</v>
      </c>
      <c r="K48" s="13">
        <v>41360</v>
      </c>
      <c r="L48" s="13">
        <v>41334</v>
      </c>
      <c r="M48" s="15">
        <f t="shared" ca="1" si="0"/>
        <v>46175</v>
      </c>
      <c r="N48" s="14">
        <f ca="1">DATEDIF(L48,M48,"M") +1</f>
        <v>160</v>
      </c>
      <c r="O48" s="39"/>
      <c r="P48" s="14"/>
      <c r="Q48" s="14"/>
      <c r="R48" s="12">
        <f t="shared" ca="1" si="1"/>
        <v>160</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4" customHeight="1" x14ac:dyDescent="0.45">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46175</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4" customHeight="1" x14ac:dyDescent="0.45">
      <c r="A50" s="12">
        <v>49</v>
      </c>
      <c r="B50" s="12" t="s">
        <v>247</v>
      </c>
      <c r="C50" s="12" t="s">
        <v>248</v>
      </c>
      <c r="D50" s="12"/>
      <c r="E50" s="12" t="s">
        <v>249</v>
      </c>
      <c r="F50" s="12" t="s">
        <v>42</v>
      </c>
      <c r="G50" s="12">
        <v>6</v>
      </c>
      <c r="H50" s="12" t="s">
        <v>68</v>
      </c>
      <c r="I50" s="12" t="s">
        <v>15</v>
      </c>
      <c r="J50" s="12" t="s">
        <v>15</v>
      </c>
      <c r="K50" s="13">
        <v>42590</v>
      </c>
      <c r="L50" s="13">
        <v>42430</v>
      </c>
      <c r="M50" s="15">
        <f t="shared" ca="1" si="0"/>
        <v>46175</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4" customHeight="1" x14ac:dyDescent="0.45">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46175</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4" customHeight="1" x14ac:dyDescent="0.45">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46175</v>
      </c>
      <c r="N52" s="14"/>
      <c r="O52" s="39"/>
      <c r="P52" s="14"/>
      <c r="Q52" s="14"/>
      <c r="R52" s="12">
        <f t="shared" si="1"/>
        <v>60</v>
      </c>
      <c r="S52" s="25">
        <v>45337</v>
      </c>
      <c r="T52" s="12" t="s">
        <v>38</v>
      </c>
      <c r="U52" s="56">
        <f t="shared" si="11"/>
        <v>60</v>
      </c>
      <c r="V52" s="49" t="str">
        <f t="shared" si="12"/>
        <v>Completed:Delayed</v>
      </c>
      <c r="W52" s="52">
        <f t="shared" si="13"/>
        <v>54</v>
      </c>
    </row>
    <row r="53" spans="1:23" ht="25.4" customHeight="1" x14ac:dyDescent="0.45">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46175</v>
      </c>
      <c r="N53" s="13"/>
      <c r="O53" s="13"/>
      <c r="P53" s="13"/>
      <c r="Q53" s="12"/>
      <c r="R53" s="12">
        <f t="shared" si="1"/>
        <v>67</v>
      </c>
      <c r="S53" s="25">
        <v>42674</v>
      </c>
      <c r="T53" s="12" t="s">
        <v>38</v>
      </c>
      <c r="U53" s="56">
        <f t="shared" si="11"/>
        <v>67</v>
      </c>
      <c r="V53" s="49" t="str">
        <f t="shared" si="12"/>
        <v>Completed:Delayed</v>
      </c>
      <c r="W53" s="52">
        <f t="shared" si="13"/>
        <v>69</v>
      </c>
    </row>
    <row r="54" spans="1:23" ht="25.4" customHeight="1" x14ac:dyDescent="0.45">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46175</v>
      </c>
      <c r="N54" s="13"/>
      <c r="O54" s="13"/>
      <c r="P54" s="13"/>
      <c r="Q54" s="12"/>
      <c r="R54" s="12">
        <f t="shared" si="1"/>
        <v>101</v>
      </c>
      <c r="S54" s="25">
        <v>43699</v>
      </c>
      <c r="T54" s="12" t="s">
        <v>38</v>
      </c>
      <c r="U54" s="56">
        <f t="shared" si="11"/>
        <v>101</v>
      </c>
      <c r="V54" s="49" t="str">
        <f t="shared" si="12"/>
        <v>Completed:Delayed</v>
      </c>
      <c r="W54" s="52">
        <f t="shared" si="13"/>
        <v>102</v>
      </c>
    </row>
    <row r="55" spans="1:23" ht="25.4" customHeight="1" x14ac:dyDescent="0.45">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46175</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4" customHeight="1" x14ac:dyDescent="0.45">
      <c r="A56" s="12">
        <v>55</v>
      </c>
      <c r="B56" s="12" t="s">
        <v>268</v>
      </c>
      <c r="C56" s="12" t="s">
        <v>269</v>
      </c>
      <c r="D56" s="12"/>
      <c r="E56" s="12" t="s">
        <v>270</v>
      </c>
      <c r="F56" s="12" t="s">
        <v>41</v>
      </c>
      <c r="G56" s="12">
        <v>2</v>
      </c>
      <c r="H56" s="12" t="s">
        <v>112</v>
      </c>
      <c r="I56" s="12" t="s">
        <v>14</v>
      </c>
      <c r="J56" s="12" t="s">
        <v>17</v>
      </c>
      <c r="K56" s="13">
        <v>40946</v>
      </c>
      <c r="L56" s="13">
        <v>40969</v>
      </c>
      <c r="M56" s="15">
        <f t="shared" ca="1" si="0"/>
        <v>46175</v>
      </c>
      <c r="N56" s="13"/>
      <c r="O56" s="13"/>
      <c r="P56" s="13"/>
      <c r="Q56" s="12"/>
      <c r="R56" s="12">
        <f t="shared" si="1"/>
        <v>58</v>
      </c>
      <c r="S56" s="25">
        <v>42735</v>
      </c>
      <c r="T56" s="12" t="s">
        <v>38</v>
      </c>
      <c r="U56" s="56">
        <f t="shared" si="11"/>
        <v>58</v>
      </c>
      <c r="V56" s="49" t="str">
        <f t="shared" si="12"/>
        <v>Completed:Delayed</v>
      </c>
      <c r="W56" s="52">
        <f t="shared" si="13"/>
        <v>59</v>
      </c>
    </row>
    <row r="57" spans="1:23" ht="25.4" customHeight="1" x14ac:dyDescent="0.45">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46175</v>
      </c>
      <c r="N57" s="14">
        <f ca="1">DATEDIF(L57,M57,"M") +1</f>
        <v>160</v>
      </c>
      <c r="O57" s="39"/>
      <c r="P57" s="14"/>
      <c r="Q57" s="14"/>
      <c r="R57" s="12">
        <f t="shared" ca="1" si="1"/>
        <v>160</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4" customHeight="1" x14ac:dyDescent="0.45">
      <c r="A58" s="12">
        <v>57</v>
      </c>
      <c r="B58" s="12" t="s">
        <v>275</v>
      </c>
      <c r="C58" s="12" t="s">
        <v>276</v>
      </c>
      <c r="D58" s="12"/>
      <c r="E58" s="12" t="s">
        <v>277</v>
      </c>
      <c r="F58" s="12" t="s">
        <v>41</v>
      </c>
      <c r="G58" s="12">
        <v>9</v>
      </c>
      <c r="H58" s="12" t="s">
        <v>121</v>
      </c>
      <c r="I58" s="12" t="s">
        <v>18</v>
      </c>
      <c r="J58" s="12" t="s">
        <v>18</v>
      </c>
      <c r="K58" s="13">
        <v>43810</v>
      </c>
      <c r="L58" s="13">
        <v>43525</v>
      </c>
      <c r="M58" s="15">
        <f t="shared" ca="1" si="0"/>
        <v>46175</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4" customHeight="1" x14ac:dyDescent="0.45">
      <c r="A59" s="12">
        <v>58</v>
      </c>
      <c r="B59" s="12" t="s">
        <v>278</v>
      </c>
      <c r="C59" s="12" t="s">
        <v>279</v>
      </c>
      <c r="D59" s="12"/>
      <c r="E59" s="12" t="s">
        <v>280</v>
      </c>
      <c r="F59" s="12" t="s">
        <v>42</v>
      </c>
      <c r="G59" s="12">
        <v>8</v>
      </c>
      <c r="H59" s="12" t="s">
        <v>121</v>
      </c>
      <c r="I59" s="12" t="s">
        <v>18</v>
      </c>
      <c r="J59" s="12" t="s">
        <v>18</v>
      </c>
      <c r="K59" s="13">
        <v>43344</v>
      </c>
      <c r="L59" s="13">
        <v>43160</v>
      </c>
      <c r="M59" s="15">
        <f t="shared" ca="1" si="0"/>
        <v>46175</v>
      </c>
      <c r="N59" s="14">
        <f ca="1">DATEDIF(L59,M59,"M") +1</f>
        <v>100</v>
      </c>
      <c r="O59" s="39"/>
      <c r="P59" s="14"/>
      <c r="Q59" s="14"/>
      <c r="R59" s="12">
        <f t="shared" ca="1" si="1"/>
        <v>100</v>
      </c>
      <c r="S59" s="25">
        <v>45247</v>
      </c>
      <c r="T59" s="12" t="s">
        <v>38</v>
      </c>
      <c r="U59" s="56">
        <f t="shared" si="14"/>
        <v>69</v>
      </c>
      <c r="V59" s="49" t="str">
        <f t="shared" si="15"/>
        <v>Completed:Delayed</v>
      </c>
      <c r="W59" s="52">
        <f t="shared" si="16"/>
        <v>63</v>
      </c>
    </row>
    <row r="60" spans="1:23" ht="25.4" customHeight="1" x14ac:dyDescent="0.45">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46175</v>
      </c>
      <c r="N60" s="14"/>
      <c r="O60" s="39"/>
      <c r="P60" s="14"/>
      <c r="Q60" s="14"/>
      <c r="R60" s="12">
        <f t="shared" si="1"/>
        <v>69</v>
      </c>
      <c r="S60" s="25">
        <v>44879</v>
      </c>
      <c r="T60" s="12" t="s">
        <v>38</v>
      </c>
      <c r="U60" s="56">
        <f t="shared" si="14"/>
        <v>69</v>
      </c>
      <c r="V60" s="49" t="str">
        <f t="shared" si="15"/>
        <v>Completed:Delayed</v>
      </c>
      <c r="W60" s="52">
        <f t="shared" si="16"/>
        <v>63</v>
      </c>
    </row>
    <row r="61" spans="1:23" ht="25.4" customHeight="1" x14ac:dyDescent="0.45">
      <c r="A61" s="12">
        <v>60</v>
      </c>
      <c r="B61" s="12" t="s">
        <v>285</v>
      </c>
      <c r="C61" s="12" t="s">
        <v>286</v>
      </c>
      <c r="D61" s="12"/>
      <c r="E61" s="12" t="s">
        <v>287</v>
      </c>
      <c r="F61" s="12" t="s">
        <v>42</v>
      </c>
      <c r="G61" s="12">
        <v>5</v>
      </c>
      <c r="H61" s="12" t="s">
        <v>125</v>
      </c>
      <c r="I61" s="12" t="s">
        <v>16</v>
      </c>
      <c r="J61" s="12" t="s">
        <v>16</v>
      </c>
      <c r="K61" s="13">
        <v>42037</v>
      </c>
      <c r="L61" s="13">
        <v>42064</v>
      </c>
      <c r="M61" s="15">
        <f t="shared" ca="1" si="0"/>
        <v>46175</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4" customHeight="1" x14ac:dyDescent="0.45">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46175</v>
      </c>
      <c r="N62" s="14"/>
      <c r="O62" s="39"/>
      <c r="P62" s="14"/>
      <c r="Q62" s="14"/>
      <c r="R62" s="12">
        <f t="shared" si="1"/>
        <v>93</v>
      </c>
      <c r="S62" s="25">
        <v>44508</v>
      </c>
      <c r="T62" s="12" t="s">
        <v>38</v>
      </c>
      <c r="U62" s="56">
        <f t="shared" si="14"/>
        <v>93</v>
      </c>
      <c r="V62" s="49" t="str">
        <f t="shared" si="15"/>
        <v>Completed:Delayed</v>
      </c>
      <c r="W62" s="52">
        <f t="shared" si="16"/>
        <v>54</v>
      </c>
    </row>
    <row r="63" spans="1:23" ht="25.4" customHeight="1" x14ac:dyDescent="0.45">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46175</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4" customHeight="1" x14ac:dyDescent="0.45">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46175</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4" customHeight="1" x14ac:dyDescent="0.45">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46175</v>
      </c>
      <c r="N65" s="13"/>
      <c r="O65" s="13"/>
      <c r="P65" s="13"/>
      <c r="Q65" s="12"/>
      <c r="R65" s="12">
        <f t="shared" si="18"/>
        <v>59</v>
      </c>
      <c r="S65" s="25">
        <v>43832</v>
      </c>
      <c r="T65" s="12" t="s">
        <v>38</v>
      </c>
      <c r="U65" s="56">
        <f t="shared" si="14"/>
        <v>59</v>
      </c>
      <c r="V65" s="49" t="str">
        <f t="shared" si="15"/>
        <v>Completed:Delayed</v>
      </c>
      <c r="W65" s="52">
        <f t="shared" si="16"/>
        <v>66</v>
      </c>
    </row>
    <row r="66" spans="1:23" ht="25.4" customHeight="1" x14ac:dyDescent="0.45">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46175</v>
      </c>
      <c r="N66" s="14">
        <f ca="1">DATEDIF(L66,M66,"M") +1</f>
        <v>100</v>
      </c>
      <c r="O66" s="39"/>
      <c r="P66" s="14"/>
      <c r="Q66" s="14"/>
      <c r="R66" s="12">
        <f t="shared" ca="1" si="18"/>
        <v>100</v>
      </c>
      <c r="S66" s="25">
        <v>45498</v>
      </c>
      <c r="T66" s="12" t="s">
        <v>38</v>
      </c>
      <c r="U66" s="56">
        <f t="shared" si="14"/>
        <v>77</v>
      </c>
      <c r="V66" s="49" t="str">
        <f t="shared" si="15"/>
        <v>Completed:Delayed</v>
      </c>
      <c r="W66" s="52">
        <f t="shared" si="16"/>
        <v>74</v>
      </c>
    </row>
    <row r="67" spans="1:23" ht="25.4" customHeight="1" x14ac:dyDescent="0.45">
      <c r="A67" s="12">
        <v>66</v>
      </c>
      <c r="B67" s="12" t="s">
        <v>308</v>
      </c>
      <c r="C67" s="12" t="s">
        <v>309</v>
      </c>
      <c r="D67" s="12"/>
      <c r="E67" s="12" t="s">
        <v>310</v>
      </c>
      <c r="F67" s="12" t="s">
        <v>42</v>
      </c>
      <c r="G67" s="12">
        <v>1</v>
      </c>
      <c r="H67" s="12" t="s">
        <v>121</v>
      </c>
      <c r="I67" s="12" t="s">
        <v>18</v>
      </c>
      <c r="J67" s="12" t="s">
        <v>18</v>
      </c>
      <c r="K67" s="13">
        <v>40823</v>
      </c>
      <c r="L67" s="13">
        <v>40634</v>
      </c>
      <c r="M67" s="15">
        <f t="shared" ca="1" si="17"/>
        <v>46175</v>
      </c>
      <c r="N67" s="13"/>
      <c r="O67" s="13"/>
      <c r="P67" s="13"/>
      <c r="Q67" s="12"/>
      <c r="R67" s="12">
        <f t="shared" si="18"/>
        <v>76</v>
      </c>
      <c r="S67" s="25">
        <v>42947</v>
      </c>
      <c r="T67" s="12" t="s">
        <v>38</v>
      </c>
      <c r="U67" s="56">
        <f t="shared" si="14"/>
        <v>76</v>
      </c>
      <c r="V67" s="49" t="str">
        <f t="shared" si="15"/>
        <v>Completed:Delayed</v>
      </c>
      <c r="W67" s="52">
        <f t="shared" si="16"/>
        <v>70</v>
      </c>
    </row>
    <row r="68" spans="1:23" ht="25.4" customHeight="1" x14ac:dyDescent="0.45">
      <c r="A68" s="12">
        <v>67</v>
      </c>
      <c r="B68" s="12" t="s">
        <v>311</v>
      </c>
      <c r="C68" s="12" t="s">
        <v>312</v>
      </c>
      <c r="D68" s="12"/>
      <c r="E68" s="12" t="s">
        <v>313</v>
      </c>
      <c r="F68" s="12" t="s">
        <v>42</v>
      </c>
      <c r="G68" s="12">
        <v>5</v>
      </c>
      <c r="H68" s="12" t="s">
        <v>117</v>
      </c>
      <c r="I68" s="12" t="s">
        <v>11</v>
      </c>
      <c r="J68" s="12" t="s">
        <v>11</v>
      </c>
      <c r="K68" s="13">
        <v>42125</v>
      </c>
      <c r="L68" s="13">
        <v>42064</v>
      </c>
      <c r="M68" s="15">
        <f t="shared" ca="1" si="17"/>
        <v>46175</v>
      </c>
      <c r="N68" s="13"/>
      <c r="O68" s="13"/>
      <c r="P68" s="13"/>
      <c r="Q68" s="12"/>
      <c r="R68" s="12">
        <f t="shared" si="18"/>
        <v>53</v>
      </c>
      <c r="S68" s="25">
        <v>43677</v>
      </c>
      <c r="T68" s="12" t="s">
        <v>38</v>
      </c>
      <c r="U68" s="56">
        <f t="shared" si="14"/>
        <v>53</v>
      </c>
      <c r="V68" s="49" t="str">
        <f t="shared" si="15"/>
        <v>Completed:Delayed</v>
      </c>
      <c r="W68" s="52">
        <f t="shared" si="16"/>
        <v>51</v>
      </c>
    </row>
    <row r="69" spans="1:23" ht="25.4" customHeight="1" x14ac:dyDescent="0.45">
      <c r="A69" s="12">
        <v>68</v>
      </c>
      <c r="B69" s="12" t="s">
        <v>314</v>
      </c>
      <c r="C69" s="12" t="s">
        <v>315</v>
      </c>
      <c r="D69" s="12"/>
      <c r="E69" s="12" t="s">
        <v>316</v>
      </c>
      <c r="F69" s="12" t="s">
        <v>42</v>
      </c>
      <c r="G69" s="12">
        <v>10</v>
      </c>
      <c r="H69" s="12" t="s">
        <v>117</v>
      </c>
      <c r="I69" s="12" t="s">
        <v>11</v>
      </c>
      <c r="J69" s="12" t="s">
        <v>11</v>
      </c>
      <c r="K69" s="13">
        <v>44074</v>
      </c>
      <c r="L69" s="13">
        <v>43891</v>
      </c>
      <c r="M69" s="15">
        <f t="shared" ca="1" si="17"/>
        <v>46175</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4" customHeight="1" x14ac:dyDescent="0.45">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46175</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4" customHeight="1" x14ac:dyDescent="0.45">
      <c r="A71" s="12">
        <v>70</v>
      </c>
      <c r="B71" s="12" t="s">
        <v>321</v>
      </c>
      <c r="C71" s="12" t="s">
        <v>322</v>
      </c>
      <c r="D71" s="12"/>
      <c r="E71" s="12" t="s">
        <v>323</v>
      </c>
      <c r="F71" s="12" t="s">
        <v>42</v>
      </c>
      <c r="G71" s="12">
        <v>1</v>
      </c>
      <c r="H71" s="12" t="s">
        <v>125</v>
      </c>
      <c r="I71" s="12" t="s">
        <v>16</v>
      </c>
      <c r="J71" s="12" t="s">
        <v>16</v>
      </c>
      <c r="K71" s="13">
        <v>40544</v>
      </c>
      <c r="L71" s="13">
        <v>40634</v>
      </c>
      <c r="M71" s="15">
        <f t="shared" ca="1" si="17"/>
        <v>46175</v>
      </c>
      <c r="N71" s="13"/>
      <c r="O71" s="13"/>
      <c r="P71" s="13"/>
      <c r="Q71" s="12"/>
      <c r="R71" s="12">
        <f t="shared" si="18"/>
        <v>65</v>
      </c>
      <c r="S71" s="25">
        <v>42613</v>
      </c>
      <c r="T71" s="12" t="s">
        <v>38</v>
      </c>
      <c r="U71" s="56">
        <f t="shared" si="14"/>
        <v>65</v>
      </c>
      <c r="V71" s="49" t="str">
        <f t="shared" si="15"/>
        <v>Completed:Delayed</v>
      </c>
      <c r="W71" s="52">
        <f t="shared" si="16"/>
        <v>68</v>
      </c>
    </row>
    <row r="72" spans="1:23" ht="25.4" customHeight="1" x14ac:dyDescent="0.45">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46175</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4" customHeight="1" x14ac:dyDescent="0.45">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46175</v>
      </c>
      <c r="N73" s="14">
        <f ca="1">DATEDIF(L73,M73,"M") +1</f>
        <v>148</v>
      </c>
      <c r="O73" s="39"/>
      <c r="P73" s="14"/>
      <c r="Q73" s="14"/>
      <c r="R73" s="12">
        <f t="shared" ca="1" si="18"/>
        <v>148</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4" customHeight="1" x14ac:dyDescent="0.45">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46175</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4" customHeight="1" x14ac:dyDescent="0.45">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46175</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4" customHeight="1" x14ac:dyDescent="0.45">
      <c r="A76" s="12">
        <v>75</v>
      </c>
      <c r="B76" s="12" t="s">
        <v>339</v>
      </c>
      <c r="C76" s="12" t="s">
        <v>340</v>
      </c>
      <c r="D76" s="12"/>
      <c r="E76" s="12" t="s">
        <v>341</v>
      </c>
      <c r="F76" s="12" t="s">
        <v>42</v>
      </c>
      <c r="G76" s="12">
        <v>6</v>
      </c>
      <c r="H76" s="12" t="s">
        <v>117</v>
      </c>
      <c r="I76" s="12" t="s">
        <v>11</v>
      </c>
      <c r="J76" s="12" t="s">
        <v>11</v>
      </c>
      <c r="K76" s="13">
        <v>42638</v>
      </c>
      <c r="L76" s="13">
        <v>42430</v>
      </c>
      <c r="M76" s="15">
        <f t="shared" ca="1" si="17"/>
        <v>46175</v>
      </c>
      <c r="N76" s="14"/>
      <c r="O76" s="39"/>
      <c r="P76" s="14"/>
      <c r="Q76" s="14"/>
      <c r="R76" s="12">
        <f t="shared" si="18"/>
        <v>70</v>
      </c>
      <c r="S76" s="25">
        <v>44539</v>
      </c>
      <c r="T76" s="12" t="s">
        <v>38</v>
      </c>
      <c r="U76" s="56">
        <f t="shared" si="19"/>
        <v>70</v>
      </c>
      <c r="V76" s="49" t="str">
        <f t="shared" si="20"/>
        <v>Completed:Delayed</v>
      </c>
      <c r="W76" s="52">
        <f t="shared" si="21"/>
        <v>63</v>
      </c>
    </row>
    <row r="77" spans="1:23" ht="25.4" customHeight="1" x14ac:dyDescent="0.45">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46175</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4" customHeight="1" x14ac:dyDescent="0.45">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46175</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4" customHeight="1" x14ac:dyDescent="0.45">
      <c r="A79" s="12">
        <v>78</v>
      </c>
      <c r="B79" s="12" t="s">
        <v>349</v>
      </c>
      <c r="C79" s="12" t="s">
        <v>350</v>
      </c>
      <c r="D79" s="12"/>
      <c r="E79" s="12" t="s">
        <v>351</v>
      </c>
      <c r="F79" s="12" t="s">
        <v>42</v>
      </c>
      <c r="G79" s="12">
        <v>4</v>
      </c>
      <c r="H79" s="12" t="s">
        <v>117</v>
      </c>
      <c r="I79" s="12" t="s">
        <v>11</v>
      </c>
      <c r="J79" s="12" t="s">
        <v>11</v>
      </c>
      <c r="K79" s="13">
        <v>41604</v>
      </c>
      <c r="L79" s="13">
        <v>41699</v>
      </c>
      <c r="M79" s="15">
        <f t="shared" ca="1" si="17"/>
        <v>46175</v>
      </c>
      <c r="N79" s="13"/>
      <c r="O79" s="13"/>
      <c r="P79" s="13"/>
      <c r="Q79" s="12"/>
      <c r="R79" s="12">
        <f t="shared" si="18"/>
        <v>56</v>
      </c>
      <c r="S79" s="25">
        <v>43399</v>
      </c>
      <c r="T79" s="12" t="s">
        <v>38</v>
      </c>
      <c r="U79" s="56">
        <f t="shared" si="19"/>
        <v>56</v>
      </c>
      <c r="V79" s="49" t="str">
        <f t="shared" si="20"/>
        <v>Completed:Delayed</v>
      </c>
      <c r="W79" s="52">
        <f t="shared" si="21"/>
        <v>60</v>
      </c>
    </row>
    <row r="80" spans="1:23" ht="25.4" customHeight="1" x14ac:dyDescent="0.45">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46175</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4" customHeight="1" x14ac:dyDescent="0.45">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46175</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4" customHeight="1" x14ac:dyDescent="0.45">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46175</v>
      </c>
      <c r="N82" s="13"/>
      <c r="O82" s="13"/>
      <c r="P82" s="13"/>
      <c r="Q82" s="12"/>
      <c r="R82" s="12">
        <f t="shared" si="18"/>
        <v>70</v>
      </c>
      <c r="S82" s="25">
        <v>43830</v>
      </c>
      <c r="T82" s="12" t="s">
        <v>38</v>
      </c>
      <c r="U82" s="56">
        <f t="shared" si="19"/>
        <v>70</v>
      </c>
      <c r="V82" s="49" t="str">
        <f t="shared" si="20"/>
        <v>Completed:Delayed</v>
      </c>
      <c r="W82" s="52">
        <f t="shared" si="21"/>
        <v>59</v>
      </c>
    </row>
    <row r="83" spans="1:23" ht="25.4" customHeight="1" x14ac:dyDescent="0.45">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46175</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4" customHeight="1" x14ac:dyDescent="0.45">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46175</v>
      </c>
      <c r="N84" s="14">
        <f ca="1">DATEDIF(L84,M84,"M") +1</f>
        <v>76</v>
      </c>
      <c r="O84" s="39"/>
      <c r="P84" s="14"/>
      <c r="Q84" s="14"/>
      <c r="R84" s="12">
        <f t="shared" ca="1" si="18"/>
        <v>76</v>
      </c>
      <c r="S84" s="25">
        <v>45610</v>
      </c>
      <c r="T84" s="12" t="s">
        <v>38</v>
      </c>
      <c r="U84" s="56">
        <f t="shared" si="19"/>
        <v>57</v>
      </c>
      <c r="V84" s="49" t="str">
        <f t="shared" si="20"/>
        <v>Completed:Delayed</v>
      </c>
      <c r="W84" s="52">
        <f t="shared" si="21"/>
        <v>45</v>
      </c>
    </row>
    <row r="85" spans="1:23" ht="25.4" customHeight="1" x14ac:dyDescent="0.45">
      <c r="A85" s="12">
        <v>84</v>
      </c>
      <c r="B85" s="12" t="s">
        <v>372</v>
      </c>
      <c r="C85" s="12" t="s">
        <v>369</v>
      </c>
      <c r="D85" s="12"/>
      <c r="E85" s="12" t="s">
        <v>373</v>
      </c>
      <c r="F85" s="12" t="s">
        <v>42</v>
      </c>
      <c r="G85" s="12">
        <v>10</v>
      </c>
      <c r="H85" s="12" t="s">
        <v>117</v>
      </c>
      <c r="I85" s="12" t="s">
        <v>11</v>
      </c>
      <c r="J85" s="12" t="s">
        <v>11</v>
      </c>
      <c r="K85" s="13">
        <v>44580</v>
      </c>
      <c r="L85" s="13">
        <v>43891</v>
      </c>
      <c r="M85" s="15">
        <f t="shared" ca="1" si="17"/>
        <v>46175</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4" customHeight="1" x14ac:dyDescent="0.45">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46175</v>
      </c>
      <c r="N86" s="14">
        <f ca="1">DATEDIF(L86,M86,"M") +1</f>
        <v>76</v>
      </c>
      <c r="O86" s="39"/>
      <c r="P86" s="14"/>
      <c r="Q86" s="14"/>
      <c r="R86" s="12">
        <f t="shared" ca="1" si="18"/>
        <v>76</v>
      </c>
      <c r="S86" s="25">
        <v>45590</v>
      </c>
      <c r="T86" s="12" t="s">
        <v>38</v>
      </c>
      <c r="U86" s="56">
        <f t="shared" si="19"/>
        <v>56</v>
      </c>
      <c r="V86" s="49" t="str">
        <f t="shared" si="20"/>
        <v>Completed:Delayed</v>
      </c>
      <c r="W86" s="52">
        <f t="shared" si="21"/>
        <v>58</v>
      </c>
    </row>
    <row r="87" spans="1:23" ht="25.4" customHeight="1" x14ac:dyDescent="0.45">
      <c r="A87" s="12">
        <v>86</v>
      </c>
      <c r="B87" s="12" t="s">
        <v>378</v>
      </c>
      <c r="C87" s="12" t="s">
        <v>379</v>
      </c>
      <c r="D87" s="12"/>
      <c r="E87" s="12" t="s">
        <v>380</v>
      </c>
      <c r="F87" s="12" t="s">
        <v>41</v>
      </c>
      <c r="G87" s="12">
        <v>5</v>
      </c>
      <c r="H87" s="12" t="s">
        <v>132</v>
      </c>
      <c r="I87" s="12" t="s">
        <v>17</v>
      </c>
      <c r="J87" s="12" t="s">
        <v>17</v>
      </c>
      <c r="K87" s="13">
        <v>42290</v>
      </c>
      <c r="L87" s="13">
        <v>42064</v>
      </c>
      <c r="M87" s="15">
        <f t="shared" ca="1" si="17"/>
        <v>46175</v>
      </c>
      <c r="N87" s="13"/>
      <c r="O87" s="13"/>
      <c r="P87" s="13"/>
      <c r="Q87" s="12"/>
      <c r="R87" s="12">
        <f t="shared" si="18"/>
        <v>69</v>
      </c>
      <c r="S87" s="25">
        <v>44160</v>
      </c>
      <c r="T87" s="12" t="s">
        <v>38</v>
      </c>
      <c r="U87" s="56">
        <f t="shared" si="19"/>
        <v>69</v>
      </c>
      <c r="V87" s="49" t="str">
        <f t="shared" si="20"/>
        <v>Completed:Delayed</v>
      </c>
      <c r="W87" s="52">
        <f t="shared" si="21"/>
        <v>62</v>
      </c>
    </row>
    <row r="88" spans="1:23" ht="25.4" customHeight="1" x14ac:dyDescent="0.45">
      <c r="A88" s="12">
        <v>87</v>
      </c>
      <c r="B88" s="12" t="s">
        <v>381</v>
      </c>
      <c r="C88" s="12" t="s">
        <v>382</v>
      </c>
      <c r="D88" s="12"/>
      <c r="E88" s="12" t="s">
        <v>383</v>
      </c>
      <c r="F88" s="12" t="s">
        <v>41</v>
      </c>
      <c r="G88" s="12">
        <v>5</v>
      </c>
      <c r="H88" s="12" t="s">
        <v>132</v>
      </c>
      <c r="I88" s="12" t="s">
        <v>12</v>
      </c>
      <c r="J88" s="12" t="s">
        <v>19</v>
      </c>
      <c r="K88" s="13">
        <v>42222</v>
      </c>
      <c r="L88" s="13">
        <v>42064</v>
      </c>
      <c r="M88" s="15">
        <f t="shared" ca="1" si="17"/>
        <v>46175</v>
      </c>
      <c r="N88" s="13"/>
      <c r="O88" s="13"/>
      <c r="P88" s="13"/>
      <c r="Q88" s="12"/>
      <c r="R88" s="12">
        <f t="shared" si="18"/>
        <v>56</v>
      </c>
      <c r="S88" s="25">
        <v>43769</v>
      </c>
      <c r="T88" s="12" t="s">
        <v>38</v>
      </c>
      <c r="U88" s="56">
        <f t="shared" si="19"/>
        <v>56</v>
      </c>
      <c r="V88" s="49" t="str">
        <f t="shared" si="20"/>
        <v>Completed:Delayed</v>
      </c>
      <c r="W88" s="52">
        <f t="shared" si="21"/>
        <v>51</v>
      </c>
    </row>
    <row r="89" spans="1:23" ht="25.4" customHeight="1" x14ac:dyDescent="0.45">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46175</v>
      </c>
      <c r="N89" s="14"/>
      <c r="O89" s="39"/>
      <c r="P89" s="14"/>
      <c r="Q89" s="14"/>
      <c r="R89" s="12">
        <f t="shared" si="18"/>
        <v>72</v>
      </c>
      <c r="S89" s="25">
        <v>44607</v>
      </c>
      <c r="T89" s="12" t="s">
        <v>38</v>
      </c>
      <c r="U89" s="56">
        <f t="shared" si="19"/>
        <v>72</v>
      </c>
      <c r="V89" s="49" t="str">
        <f t="shared" si="20"/>
        <v>Completed:Delayed</v>
      </c>
      <c r="W89" s="52">
        <f t="shared" si="21"/>
        <v>71</v>
      </c>
    </row>
    <row r="90" spans="1:23" ht="25.4" customHeight="1" x14ac:dyDescent="0.45">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46175</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4" customHeight="1" x14ac:dyDescent="0.45">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46175</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4" customHeight="1" x14ac:dyDescent="0.45">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46175</v>
      </c>
      <c r="N92" s="14">
        <f ca="1">DATEDIF(L92,M92,"M") +1</f>
        <v>136</v>
      </c>
      <c r="O92" s="39"/>
      <c r="P92" s="14"/>
      <c r="Q92" s="14"/>
      <c r="R92" s="12">
        <f t="shared" ca="1" si="18"/>
        <v>136</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4" customHeight="1" x14ac:dyDescent="0.45">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46175</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4" customHeight="1" x14ac:dyDescent="0.45">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46175</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4" customHeight="1" x14ac:dyDescent="0.45">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46175</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4" customHeight="1" x14ac:dyDescent="0.45">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46175</v>
      </c>
      <c r="N96" s="14">
        <f ca="1">DATEDIF(L96,M96,"M") +1</f>
        <v>136</v>
      </c>
      <c r="O96" s="39"/>
      <c r="P96" s="14"/>
      <c r="Q96" s="14"/>
      <c r="R96" s="12">
        <f t="shared" ca="1" si="18"/>
        <v>136</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4" customHeight="1" x14ac:dyDescent="0.45">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46175</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4" customHeight="1" x14ac:dyDescent="0.45">
      <c r="A98" s="12">
        <v>97</v>
      </c>
      <c r="B98" s="12" t="s">
        <v>417</v>
      </c>
      <c r="C98" s="12" t="s">
        <v>418</v>
      </c>
      <c r="D98" s="12"/>
      <c r="E98" s="12" t="s">
        <v>419</v>
      </c>
      <c r="F98" s="12" t="s">
        <v>41</v>
      </c>
      <c r="G98" s="12">
        <v>8</v>
      </c>
      <c r="H98" s="12" t="s">
        <v>121</v>
      </c>
      <c r="I98" s="12" t="s">
        <v>18</v>
      </c>
      <c r="J98" s="12" t="s">
        <v>19</v>
      </c>
      <c r="K98" s="13">
        <v>43403</v>
      </c>
      <c r="L98" s="13">
        <v>43160</v>
      </c>
      <c r="M98" s="15">
        <f t="shared" ca="1" si="17"/>
        <v>46175</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4" customHeight="1" x14ac:dyDescent="0.45">
      <c r="A99" s="12">
        <v>98</v>
      </c>
      <c r="B99" s="12" t="s">
        <v>420</v>
      </c>
      <c r="C99" s="12" t="s">
        <v>421</v>
      </c>
      <c r="D99" s="12"/>
      <c r="E99" s="12" t="s">
        <v>422</v>
      </c>
      <c r="F99" s="12" t="s">
        <v>42</v>
      </c>
      <c r="G99" s="12">
        <v>6</v>
      </c>
      <c r="H99" s="12" t="s">
        <v>125</v>
      </c>
      <c r="I99" s="12" t="s">
        <v>16</v>
      </c>
      <c r="J99" s="12" t="s">
        <v>19</v>
      </c>
      <c r="K99" s="13">
        <v>42622</v>
      </c>
      <c r="L99" s="13">
        <v>42430</v>
      </c>
      <c r="M99" s="15">
        <f t="shared" ca="1" si="17"/>
        <v>46175</v>
      </c>
      <c r="N99" s="14">
        <f ca="1">DATEDIF(L99,M99,"M") +1</f>
        <v>124</v>
      </c>
      <c r="O99" s="39"/>
      <c r="P99" s="14"/>
      <c r="Q99" s="14"/>
      <c r="R99" s="12">
        <f t="shared" ca="1" si="18"/>
        <v>124</v>
      </c>
      <c r="S99" s="25">
        <v>45610</v>
      </c>
      <c r="T99" s="12" t="s">
        <v>38</v>
      </c>
      <c r="U99" s="56">
        <f>DATEDIF(L99,S99,"M")+1-Q99</f>
        <v>105</v>
      </c>
      <c r="V99" s="49" t="str">
        <f>IF(U99&gt;51,"Completed:Delayed"," Completed:On time")</f>
        <v>Completed:Delayed</v>
      </c>
      <c r="W99" s="52">
        <f>DATEDIF(K99,S99,"M")+1-Q99</f>
        <v>99</v>
      </c>
    </row>
    <row r="100" spans="1:23" ht="25.4" customHeight="1" x14ac:dyDescent="0.45">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46175</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4" customHeight="1" x14ac:dyDescent="0.45">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46175</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4" customHeight="1" x14ac:dyDescent="0.45">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46175</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4" customHeight="1" x14ac:dyDescent="0.45">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46175</v>
      </c>
      <c r="N103" s="14"/>
      <c r="O103" s="39"/>
      <c r="P103" s="14"/>
      <c r="Q103" s="14"/>
      <c r="R103" s="12">
        <f t="shared" si="18"/>
        <v>79</v>
      </c>
      <c r="S103" s="25">
        <v>45195</v>
      </c>
      <c r="T103" s="12" t="s">
        <v>38</v>
      </c>
      <c r="U103" s="56">
        <f t="shared" si="22"/>
        <v>79</v>
      </c>
      <c r="V103" s="49" t="str">
        <f t="shared" si="23"/>
        <v>Completed:Delayed</v>
      </c>
      <c r="W103" s="52">
        <f t="shared" si="24"/>
        <v>75</v>
      </c>
    </row>
    <row r="104" spans="1:23" ht="25.4" customHeight="1" x14ac:dyDescent="0.45">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46175</v>
      </c>
      <c r="N104" s="13"/>
      <c r="O104" s="13"/>
      <c r="P104" s="13"/>
      <c r="Q104" s="12"/>
      <c r="R104" s="12">
        <f t="shared" si="18"/>
        <v>88</v>
      </c>
      <c r="S104" s="25">
        <v>43285</v>
      </c>
      <c r="T104" s="12" t="s">
        <v>38</v>
      </c>
      <c r="U104" s="56">
        <f t="shared" si="22"/>
        <v>88</v>
      </c>
      <c r="V104" s="49" t="str">
        <f t="shared" si="23"/>
        <v>Completed:Delayed</v>
      </c>
      <c r="W104" s="52">
        <f t="shared" si="24"/>
        <v>87</v>
      </c>
    </row>
    <row r="105" spans="1:23" ht="25.4" customHeight="1" x14ac:dyDescent="0.45">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46175</v>
      </c>
      <c r="N105" s="14">
        <f ca="1">DATEDIF(L105,M105,"M") +1</f>
        <v>76</v>
      </c>
      <c r="O105" s="39"/>
      <c r="P105" s="14"/>
      <c r="Q105" s="14"/>
      <c r="R105" s="12">
        <f t="shared" ca="1" si="18"/>
        <v>76</v>
      </c>
      <c r="S105" s="25">
        <v>45596</v>
      </c>
      <c r="T105" s="12" t="s">
        <v>38</v>
      </c>
      <c r="U105" s="56">
        <f t="shared" si="22"/>
        <v>56</v>
      </c>
      <c r="V105" s="49" t="str">
        <f t="shared" si="23"/>
        <v>Completed:Delayed</v>
      </c>
      <c r="W105" s="52">
        <f t="shared" si="24"/>
        <v>64</v>
      </c>
    </row>
    <row r="106" spans="1:23" ht="25.4" customHeight="1" x14ac:dyDescent="0.45">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46175</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4" customHeight="1" x14ac:dyDescent="0.45">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46175</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4" customHeight="1" x14ac:dyDescent="0.45">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46175</v>
      </c>
      <c r="N108" s="14">
        <f ca="1">DATEDIF(L108,M108,"M") +1</f>
        <v>88</v>
      </c>
      <c r="O108" s="39"/>
      <c r="P108" s="14"/>
      <c r="Q108" s="14"/>
      <c r="R108" s="12">
        <f t="shared" ca="1" si="18"/>
        <v>88</v>
      </c>
      <c r="S108" s="25">
        <v>45443</v>
      </c>
      <c r="T108" s="12" t="s">
        <v>38</v>
      </c>
      <c r="U108" s="56">
        <f t="shared" si="22"/>
        <v>63</v>
      </c>
      <c r="V108" s="49" t="str">
        <f t="shared" si="23"/>
        <v>Completed:Delayed</v>
      </c>
      <c r="W108" s="52">
        <f t="shared" si="24"/>
        <v>63</v>
      </c>
    </row>
    <row r="109" spans="1:23" ht="25.4" customHeight="1" x14ac:dyDescent="0.45">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46175</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4" customHeight="1" x14ac:dyDescent="0.45">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46175</v>
      </c>
      <c r="N110" s="14">
        <f ca="1">DATEDIF(L110,M110,"M") +1</f>
        <v>100</v>
      </c>
      <c r="O110" s="39"/>
      <c r="P110" s="14"/>
      <c r="Q110" s="14"/>
      <c r="R110" s="12">
        <f t="shared" ca="1" si="18"/>
        <v>100</v>
      </c>
      <c r="S110" s="25">
        <v>45610</v>
      </c>
      <c r="T110" s="12" t="s">
        <v>38</v>
      </c>
      <c r="U110" s="56">
        <f t="shared" si="22"/>
        <v>81</v>
      </c>
      <c r="V110" s="49" t="str">
        <f t="shared" si="23"/>
        <v>Completed:Delayed</v>
      </c>
      <c r="W110" s="52">
        <f t="shared" si="24"/>
        <v>76</v>
      </c>
    </row>
    <row r="111" spans="1:23" ht="25.4" customHeight="1" x14ac:dyDescent="0.45">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46175</v>
      </c>
      <c r="N111" s="13"/>
      <c r="O111" s="13"/>
      <c r="P111" s="13"/>
      <c r="Q111" s="12"/>
      <c r="R111" s="12">
        <f t="shared" si="18"/>
        <v>61</v>
      </c>
      <c r="S111" s="25">
        <v>43909</v>
      </c>
      <c r="T111" s="12" t="s">
        <v>38</v>
      </c>
      <c r="U111" s="56">
        <f t="shared" si="22"/>
        <v>61</v>
      </c>
      <c r="V111" s="49" t="str">
        <f t="shared" si="23"/>
        <v>Completed:Delayed</v>
      </c>
      <c r="W111" s="52">
        <f t="shared" si="24"/>
        <v>61</v>
      </c>
    </row>
    <row r="112" spans="1:23" ht="25.4" customHeight="1" x14ac:dyDescent="0.45">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46175</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4" customHeight="1" x14ac:dyDescent="0.45">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46175</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4" customHeight="1" x14ac:dyDescent="0.45">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46175</v>
      </c>
      <c r="N114" s="13"/>
      <c r="O114" s="13"/>
      <c r="P114" s="13"/>
      <c r="Q114" s="12"/>
      <c r="R114" s="12">
        <f t="shared" si="18"/>
        <v>57</v>
      </c>
      <c r="S114" s="25">
        <v>43434</v>
      </c>
      <c r="T114" s="12" t="s">
        <v>38</v>
      </c>
      <c r="U114" s="56">
        <f t="shared" si="22"/>
        <v>57</v>
      </c>
      <c r="V114" s="49" t="str">
        <f t="shared" si="23"/>
        <v>Completed:Delayed</v>
      </c>
      <c r="W114" s="52">
        <f t="shared" si="24"/>
        <v>59</v>
      </c>
    </row>
    <row r="115" spans="1:23" ht="25.4" customHeight="1" x14ac:dyDescent="0.45">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46175</v>
      </c>
      <c r="N115" s="14"/>
      <c r="O115" s="39"/>
      <c r="P115" s="14"/>
      <c r="Q115" s="14"/>
      <c r="R115" s="12">
        <f t="shared" si="18"/>
        <v>76</v>
      </c>
      <c r="S115" s="25">
        <v>44718</v>
      </c>
      <c r="T115" s="12" t="s">
        <v>38</v>
      </c>
      <c r="U115" s="56">
        <f t="shared" si="22"/>
        <v>76</v>
      </c>
      <c r="V115" s="49" t="str">
        <f t="shared" si="23"/>
        <v>Completed:Delayed</v>
      </c>
      <c r="W115" s="52">
        <f t="shared" si="24"/>
        <v>89</v>
      </c>
    </row>
    <row r="116" spans="1:23" ht="25.4" customHeight="1" x14ac:dyDescent="0.45">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46175</v>
      </c>
      <c r="N116" s="14"/>
      <c r="O116" s="39"/>
      <c r="P116" s="14"/>
      <c r="Q116" s="14"/>
      <c r="R116" s="12">
        <f t="shared" si="18"/>
        <v>55</v>
      </c>
      <c r="S116" s="25">
        <v>44469</v>
      </c>
      <c r="T116" s="12" t="s">
        <v>38</v>
      </c>
      <c r="U116" s="56">
        <f t="shared" si="22"/>
        <v>55</v>
      </c>
      <c r="V116" s="49" t="str">
        <f t="shared" si="23"/>
        <v>Completed:Delayed</v>
      </c>
      <c r="W116" s="52">
        <f t="shared" si="24"/>
        <v>54</v>
      </c>
    </row>
    <row r="117" spans="1:23" ht="25.4" customHeight="1" x14ac:dyDescent="0.45">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46175</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4" customHeight="1" x14ac:dyDescent="0.45">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46175</v>
      </c>
      <c r="N118" s="13"/>
      <c r="O118" s="13"/>
      <c r="P118" s="13"/>
      <c r="Q118" s="12"/>
      <c r="R118" s="12">
        <f t="shared" si="18"/>
        <v>57</v>
      </c>
      <c r="S118" s="25">
        <v>43799</v>
      </c>
      <c r="T118" s="12" t="s">
        <v>38</v>
      </c>
      <c r="U118" s="56">
        <f t="shared" si="22"/>
        <v>57</v>
      </c>
      <c r="V118" s="49" t="str">
        <f t="shared" si="23"/>
        <v>Completed:Delayed</v>
      </c>
      <c r="W118" s="52">
        <f t="shared" si="24"/>
        <v>48</v>
      </c>
    </row>
    <row r="119" spans="1:23" ht="25.4" customHeight="1" x14ac:dyDescent="0.45">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46175</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4" customHeight="1" x14ac:dyDescent="0.45">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46175</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4" customHeight="1" x14ac:dyDescent="0.45">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46175</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4" customHeight="1" x14ac:dyDescent="0.45">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46175</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4" customHeight="1" x14ac:dyDescent="0.45">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46175</v>
      </c>
      <c r="N123" s="14">
        <f ca="1">DATEDIF(L123,M123,"M") +1</f>
        <v>112</v>
      </c>
      <c r="O123" s="39"/>
      <c r="P123" s="14"/>
      <c r="Q123" s="14"/>
      <c r="R123" s="12">
        <f t="shared" ca="1" si="18"/>
        <v>112</v>
      </c>
      <c r="S123" s="25">
        <v>45595</v>
      </c>
      <c r="T123" s="12" t="s">
        <v>38</v>
      </c>
      <c r="U123" s="56">
        <f t="shared" si="22"/>
        <v>92</v>
      </c>
      <c r="V123" s="49" t="str">
        <f t="shared" si="23"/>
        <v>Completed:Delayed</v>
      </c>
      <c r="W123" s="52">
        <f t="shared" si="24"/>
        <v>92</v>
      </c>
    </row>
    <row r="124" spans="1:23" ht="25.4" customHeight="1" x14ac:dyDescent="0.45">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46175</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4" customHeight="1" x14ac:dyDescent="0.45">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46175</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4" customHeight="1" x14ac:dyDescent="0.45">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46175</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4" customHeight="1" x14ac:dyDescent="0.45">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46175</v>
      </c>
      <c r="N127" s="14">
        <f ca="1">DATEDIF(L127,M127,"M") +1</f>
        <v>124</v>
      </c>
      <c r="O127" s="39"/>
      <c r="P127" s="14"/>
      <c r="Q127" s="14"/>
      <c r="R127" s="12">
        <f t="shared" ca="1" si="26"/>
        <v>124</v>
      </c>
      <c r="S127" s="25">
        <v>45898</v>
      </c>
      <c r="T127" s="12" t="s">
        <v>38</v>
      </c>
      <c r="U127" s="56">
        <f t="shared" ref="U127" si="27">DATEDIF(L127,S127,"M")+1-Q127</f>
        <v>114</v>
      </c>
      <c r="V127" s="49" t="str">
        <f t="shared" ref="V127" si="28">IF(U127&gt;51,"Completed:Delayed"," Completed:On time")</f>
        <v>Completed:Delayed</v>
      </c>
      <c r="W127" s="52">
        <f t="shared" si="24"/>
        <v>101</v>
      </c>
    </row>
    <row r="128" spans="1:23" ht="25.4" customHeight="1" x14ac:dyDescent="0.45">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46175</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4" customHeight="1" x14ac:dyDescent="0.45">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46175</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4" customHeight="1" x14ac:dyDescent="0.45">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46175</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4" customHeight="1" x14ac:dyDescent="0.45">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46175</v>
      </c>
      <c r="N131" s="14">
        <f ca="1">DATEDIF(L131,M131,"M") +1</f>
        <v>112</v>
      </c>
      <c r="O131" s="39"/>
      <c r="P131" s="14"/>
      <c r="Q131" s="14"/>
      <c r="R131" s="12">
        <f t="shared" ca="1" si="26"/>
        <v>112</v>
      </c>
      <c r="S131" s="25">
        <v>45852</v>
      </c>
      <c r="T131" s="12" t="s">
        <v>38</v>
      </c>
      <c r="U131" s="56">
        <f>DATEDIF(L131,S131,"M")+1-Q131</f>
        <v>101</v>
      </c>
      <c r="V131" s="49" t="str">
        <f>IF(U131&gt;51,"Completed:Delayed"," Completed:On time")</f>
        <v>Completed:Delayed</v>
      </c>
      <c r="W131" s="52">
        <f>DATEDIF(K131,S131,"M")+1-Q131</f>
        <v>107</v>
      </c>
    </row>
    <row r="132" spans="1:23" ht="25.4" customHeight="1" x14ac:dyDescent="0.45">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46175</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4" customHeight="1" x14ac:dyDescent="0.45">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46175</v>
      </c>
      <c r="N133" s="14"/>
      <c r="O133" s="39"/>
      <c r="P133" s="14"/>
      <c r="Q133" s="14"/>
      <c r="R133" s="12">
        <f t="shared" si="26"/>
        <v>67</v>
      </c>
      <c r="S133" s="25">
        <v>44453</v>
      </c>
      <c r="T133" s="12" t="s">
        <v>38</v>
      </c>
      <c r="U133" s="56">
        <f t="shared" si="29"/>
        <v>67</v>
      </c>
      <c r="V133" s="49" t="str">
        <f t="shared" si="30"/>
        <v>Completed:Delayed</v>
      </c>
      <c r="W133" s="52">
        <f t="shared" si="31"/>
        <v>101</v>
      </c>
    </row>
    <row r="134" spans="1:23" ht="25.4" customHeight="1" x14ac:dyDescent="0.45">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46175</v>
      </c>
      <c r="N134" s="13"/>
      <c r="O134" s="13"/>
      <c r="P134" s="13"/>
      <c r="Q134" s="12"/>
      <c r="R134" s="12">
        <f t="shared" si="26"/>
        <v>59</v>
      </c>
      <c r="S134" s="25">
        <v>42766</v>
      </c>
      <c r="T134" s="12" t="s">
        <v>38</v>
      </c>
      <c r="U134" s="56">
        <f t="shared" si="29"/>
        <v>59</v>
      </c>
      <c r="V134" s="49" t="str">
        <f t="shared" si="30"/>
        <v>Completed:Delayed</v>
      </c>
      <c r="W134" s="52">
        <f t="shared" si="31"/>
        <v>61</v>
      </c>
    </row>
    <row r="135" spans="1:23" ht="25.4" customHeight="1" x14ac:dyDescent="0.45">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46175</v>
      </c>
      <c r="N135" s="13"/>
      <c r="O135" s="13"/>
      <c r="P135" s="13"/>
      <c r="Q135" s="12"/>
      <c r="R135" s="12">
        <f t="shared" si="26"/>
        <v>71</v>
      </c>
      <c r="S135" s="25">
        <v>43108</v>
      </c>
      <c r="T135" s="12" t="s">
        <v>38</v>
      </c>
      <c r="U135" s="56">
        <f t="shared" si="29"/>
        <v>71</v>
      </c>
      <c r="V135" s="49" t="str">
        <f t="shared" si="30"/>
        <v>Completed:Delayed</v>
      </c>
      <c r="W135" s="52">
        <f t="shared" si="31"/>
        <v>74</v>
      </c>
    </row>
    <row r="136" spans="1:23" ht="25.4" customHeight="1" x14ac:dyDescent="0.45">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46175</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4" customHeight="1" x14ac:dyDescent="0.45">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46175</v>
      </c>
      <c r="N137" s="14"/>
      <c r="O137" s="39"/>
      <c r="P137" s="14"/>
      <c r="Q137" s="14"/>
      <c r="R137" s="12">
        <f t="shared" si="26"/>
        <v>103</v>
      </c>
      <c r="S137" s="25">
        <v>44827</v>
      </c>
      <c r="T137" s="12" t="s">
        <v>38</v>
      </c>
      <c r="U137" s="56">
        <f t="shared" si="29"/>
        <v>103</v>
      </c>
      <c r="V137" s="49" t="str">
        <f t="shared" si="30"/>
        <v>Completed:Delayed</v>
      </c>
      <c r="W137" s="52">
        <f t="shared" si="31"/>
        <v>91</v>
      </c>
    </row>
    <row r="138" spans="1:23" ht="25.4" customHeight="1" x14ac:dyDescent="0.45">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46175</v>
      </c>
      <c r="N138" s="14"/>
      <c r="O138" s="39"/>
      <c r="P138" s="14"/>
      <c r="Q138" s="14"/>
      <c r="R138" s="12">
        <f t="shared" si="26"/>
        <v>68</v>
      </c>
      <c r="S138" s="25">
        <v>44851</v>
      </c>
      <c r="T138" s="12" t="s">
        <v>38</v>
      </c>
      <c r="U138" s="56">
        <f t="shared" si="29"/>
        <v>68</v>
      </c>
      <c r="V138" s="49" t="str">
        <f t="shared" si="30"/>
        <v>Completed:Delayed</v>
      </c>
      <c r="W138" s="52">
        <f t="shared" si="31"/>
        <v>67</v>
      </c>
    </row>
    <row r="139" spans="1:23" ht="25.4" customHeight="1" x14ac:dyDescent="0.45">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46175</v>
      </c>
      <c r="N139" s="13"/>
      <c r="O139" s="13"/>
      <c r="P139" s="13"/>
      <c r="Q139" s="12"/>
      <c r="R139" s="12">
        <f t="shared" si="26"/>
        <v>58</v>
      </c>
      <c r="S139" s="25">
        <v>42735</v>
      </c>
      <c r="T139" s="12" t="s">
        <v>38</v>
      </c>
      <c r="U139" s="56">
        <f t="shared" si="29"/>
        <v>58</v>
      </c>
      <c r="V139" s="49" t="str">
        <f t="shared" si="30"/>
        <v>Completed:Delayed</v>
      </c>
      <c r="W139" s="52">
        <f t="shared" si="31"/>
        <v>59</v>
      </c>
    </row>
    <row r="140" spans="1:23" ht="25.4" customHeight="1" x14ac:dyDescent="0.45">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46175</v>
      </c>
      <c r="N140" s="13"/>
      <c r="O140" s="13"/>
      <c r="P140" s="13"/>
      <c r="Q140" s="12"/>
      <c r="R140" s="12">
        <f t="shared" si="26"/>
        <v>53</v>
      </c>
      <c r="S140" s="25">
        <v>43285</v>
      </c>
      <c r="T140" s="12" t="s">
        <v>38</v>
      </c>
      <c r="U140" s="56">
        <f t="shared" si="29"/>
        <v>53</v>
      </c>
      <c r="V140" s="49" t="str">
        <f t="shared" si="30"/>
        <v>Completed:Delayed</v>
      </c>
      <c r="W140" s="52">
        <f t="shared" si="31"/>
        <v>55</v>
      </c>
    </row>
    <row r="141" spans="1:23" ht="25.4" customHeight="1" x14ac:dyDescent="0.45">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46175</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4" customHeight="1" x14ac:dyDescent="0.45">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46175</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4" customHeight="1" x14ac:dyDescent="0.45">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46175</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4" customHeight="1" x14ac:dyDescent="0.45">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46175</v>
      </c>
      <c r="N144" s="13"/>
      <c r="O144" s="13"/>
      <c r="P144" s="13"/>
      <c r="Q144" s="12"/>
      <c r="R144" s="12">
        <f t="shared" si="26"/>
        <v>81</v>
      </c>
      <c r="S144" s="25">
        <v>44137</v>
      </c>
      <c r="T144" s="12" t="s">
        <v>38</v>
      </c>
      <c r="U144" s="56">
        <f t="shared" si="29"/>
        <v>81</v>
      </c>
      <c r="V144" s="49" t="str">
        <f t="shared" si="30"/>
        <v>Completed:Delayed</v>
      </c>
      <c r="W144" s="52">
        <f t="shared" si="31"/>
        <v>81</v>
      </c>
    </row>
    <row r="145" spans="1:23" ht="25.4" customHeight="1" x14ac:dyDescent="0.45">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46175</v>
      </c>
      <c r="N145" s="14"/>
      <c r="O145" s="39"/>
      <c r="P145" s="14"/>
      <c r="Q145" s="14"/>
      <c r="R145" s="12">
        <f t="shared" si="26"/>
        <v>63</v>
      </c>
      <c r="S145" s="25">
        <v>45441</v>
      </c>
      <c r="T145" s="12" t="s">
        <v>38</v>
      </c>
      <c r="U145" s="56">
        <f t="shared" si="29"/>
        <v>63</v>
      </c>
      <c r="V145" s="49" t="str">
        <f t="shared" si="30"/>
        <v>Completed:Delayed</v>
      </c>
      <c r="W145" s="52">
        <f t="shared" si="31"/>
        <v>52</v>
      </c>
    </row>
    <row r="146" spans="1:23" ht="25.4" customHeight="1" x14ac:dyDescent="0.45">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46175</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4" customHeight="1" x14ac:dyDescent="0.45">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46175</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4" customHeight="1" x14ac:dyDescent="0.45">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46175</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4" customHeight="1" x14ac:dyDescent="0.45">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46175</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4" customHeight="1" x14ac:dyDescent="0.45">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46175</v>
      </c>
      <c r="N150" s="14"/>
      <c r="O150" s="39"/>
      <c r="P150" s="14"/>
      <c r="Q150" s="14"/>
      <c r="R150" s="12">
        <f t="shared" si="26"/>
        <v>56</v>
      </c>
      <c r="S150" s="25">
        <v>45202</v>
      </c>
      <c r="T150" s="12" t="s">
        <v>38</v>
      </c>
      <c r="U150" s="56">
        <f t="shared" si="29"/>
        <v>56</v>
      </c>
      <c r="V150" s="49" t="str">
        <f t="shared" si="30"/>
        <v>Completed:Delayed</v>
      </c>
      <c r="W150" s="52">
        <f t="shared" si="31"/>
        <v>45</v>
      </c>
    </row>
    <row r="151" spans="1:23" ht="25.4" customHeight="1" x14ac:dyDescent="0.45">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46175</v>
      </c>
      <c r="N151" s="13"/>
      <c r="O151" s="13"/>
      <c r="P151" s="13"/>
      <c r="Q151" s="12"/>
      <c r="R151" s="12">
        <f t="shared" si="26"/>
        <v>54</v>
      </c>
      <c r="S151" s="25">
        <v>42978</v>
      </c>
      <c r="T151" s="12" t="s">
        <v>38</v>
      </c>
      <c r="U151" s="56">
        <f t="shared" si="29"/>
        <v>54</v>
      </c>
      <c r="V151" s="49" t="str">
        <f t="shared" si="30"/>
        <v>Completed:Delayed</v>
      </c>
      <c r="W151" s="52">
        <f t="shared" si="31"/>
        <v>65</v>
      </c>
    </row>
    <row r="152" spans="1:23" ht="25.4" customHeight="1" x14ac:dyDescent="0.45">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46175</v>
      </c>
      <c r="N152" s="14"/>
      <c r="O152" s="25"/>
      <c r="P152" s="25"/>
      <c r="Q152" s="14"/>
      <c r="R152" s="12">
        <f t="shared" si="26"/>
        <v>54</v>
      </c>
      <c r="S152" s="25">
        <v>44410</v>
      </c>
      <c r="T152" s="12" t="s">
        <v>38</v>
      </c>
      <c r="U152" s="56">
        <f t="shared" si="29"/>
        <v>54</v>
      </c>
      <c r="V152" s="49" t="str">
        <f t="shared" si="30"/>
        <v>Completed:Delayed</v>
      </c>
      <c r="W152" s="52">
        <f t="shared" si="31"/>
        <v>52</v>
      </c>
    </row>
    <row r="153" spans="1:23" ht="25.4" customHeight="1" x14ac:dyDescent="0.45">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46175</v>
      </c>
      <c r="N153" s="14">
        <f ca="1">DATEDIF(L153,M153,"M") +1</f>
        <v>100</v>
      </c>
      <c r="O153" s="39"/>
      <c r="P153" s="14"/>
      <c r="Q153" s="14"/>
      <c r="R153" s="12">
        <f t="shared" ca="1" si="26"/>
        <v>100</v>
      </c>
      <c r="S153" s="25">
        <v>45776</v>
      </c>
      <c r="T153" s="12" t="s">
        <v>38</v>
      </c>
      <c r="U153" s="56">
        <f t="shared" si="29"/>
        <v>86</v>
      </c>
      <c r="V153" s="49" t="str">
        <f t="shared" si="30"/>
        <v>Completed:Delayed</v>
      </c>
      <c r="W153" s="52">
        <f t="shared" si="31"/>
        <v>76</v>
      </c>
    </row>
    <row r="154" spans="1:23" ht="25.4" customHeight="1" x14ac:dyDescent="0.45">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46175</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4" customHeight="1" x14ac:dyDescent="0.45">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46175</v>
      </c>
      <c r="N155" s="14">
        <f ca="1">DATEDIF(L155,M155,"M") +1</f>
        <v>100</v>
      </c>
      <c r="O155" s="39"/>
      <c r="P155" s="14"/>
      <c r="Q155" s="14"/>
      <c r="R155" s="12">
        <f t="shared" ca="1" si="26"/>
        <v>100</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4" customHeight="1" x14ac:dyDescent="0.45">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46175</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4" customHeight="1" x14ac:dyDescent="0.45">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46175</v>
      </c>
      <c r="N157" s="14"/>
      <c r="O157" s="39"/>
      <c r="P157" s="14"/>
      <c r="Q157" s="14"/>
      <c r="R157" s="12">
        <f t="shared" si="26"/>
        <v>55</v>
      </c>
      <c r="S157" s="25">
        <v>44834</v>
      </c>
      <c r="T157" s="12" t="s">
        <v>38</v>
      </c>
      <c r="U157" s="56">
        <f t="shared" si="32"/>
        <v>55</v>
      </c>
      <c r="V157" s="49" t="str">
        <f t="shared" si="33"/>
        <v>Completed:Delayed</v>
      </c>
      <c r="W157" s="52">
        <f t="shared" si="34"/>
        <v>53</v>
      </c>
    </row>
    <row r="158" spans="1:23" ht="25.4" customHeight="1" x14ac:dyDescent="0.45">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46175</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4" customHeight="1" x14ac:dyDescent="0.45">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46175</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4" customHeight="1" x14ac:dyDescent="0.45">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46175</v>
      </c>
      <c r="N160" s="14"/>
      <c r="O160" s="39"/>
      <c r="P160" s="14"/>
      <c r="Q160" s="14"/>
      <c r="R160" s="12">
        <f t="shared" si="26"/>
        <v>95</v>
      </c>
      <c r="S160" s="25">
        <v>44957</v>
      </c>
      <c r="T160" s="12" t="s">
        <v>38</v>
      </c>
      <c r="U160" s="56">
        <f t="shared" si="32"/>
        <v>95</v>
      </c>
      <c r="V160" s="49" t="str">
        <f t="shared" si="33"/>
        <v>Completed:Delayed</v>
      </c>
      <c r="W160" s="52">
        <f t="shared" si="34"/>
        <v>115</v>
      </c>
    </row>
    <row r="161" spans="1:23" ht="25.4" customHeight="1" x14ac:dyDescent="0.45">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46175</v>
      </c>
      <c r="N161" s="14"/>
      <c r="O161" s="39"/>
      <c r="P161" s="14"/>
      <c r="Q161" s="14"/>
      <c r="R161" s="12">
        <f t="shared" si="26"/>
        <v>52</v>
      </c>
      <c r="S161" s="25">
        <v>44741</v>
      </c>
      <c r="T161" s="12" t="s">
        <v>38</v>
      </c>
      <c r="U161" s="56">
        <f t="shared" si="32"/>
        <v>52</v>
      </c>
      <c r="V161" s="49" t="str">
        <f t="shared" si="33"/>
        <v>Completed:Delayed</v>
      </c>
      <c r="W161" s="52">
        <f t="shared" si="34"/>
        <v>47</v>
      </c>
    </row>
    <row r="162" spans="1:23" ht="25.4" customHeight="1" x14ac:dyDescent="0.45">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46175</v>
      </c>
      <c r="N162" s="14">
        <f ca="1">DATEDIF(L162,M162,"M") +1</f>
        <v>100</v>
      </c>
      <c r="O162" s="39"/>
      <c r="P162" s="14"/>
      <c r="Q162" s="14"/>
      <c r="R162" s="12">
        <f t="shared" ca="1" si="26"/>
        <v>100</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4" customHeight="1" x14ac:dyDescent="0.45">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46175</v>
      </c>
      <c r="N163" s="14">
        <f ca="1">DATEDIF(L163,M163,"M") +1</f>
        <v>100</v>
      </c>
      <c r="O163" s="39"/>
      <c r="P163" s="14"/>
      <c r="Q163" s="14"/>
      <c r="R163" s="12">
        <f t="shared" ca="1" si="26"/>
        <v>100</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4" customHeight="1" x14ac:dyDescent="0.45">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46175</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4" customHeight="1" x14ac:dyDescent="0.45">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46175</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4" customHeight="1" x14ac:dyDescent="0.45">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46175</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4" customHeight="1" x14ac:dyDescent="0.45">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46175</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4" customHeight="1" x14ac:dyDescent="0.45">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46175</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4" customHeight="1" x14ac:dyDescent="0.45">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46175</v>
      </c>
      <c r="N169" s="14">
        <f ca="1">DATEDIF(L169,M169,"M") +1</f>
        <v>100</v>
      </c>
      <c r="O169" s="39"/>
      <c r="P169" s="14"/>
      <c r="Q169" s="14"/>
      <c r="R169" s="12">
        <f t="shared" ca="1" si="26"/>
        <v>100</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4" customHeight="1" x14ac:dyDescent="0.45">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46175</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4" customHeight="1" x14ac:dyDescent="0.45">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46175</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4" customHeight="1" x14ac:dyDescent="0.45">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46175</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4" customHeight="1" x14ac:dyDescent="0.45">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46175</v>
      </c>
      <c r="N173" s="14">
        <f ca="1">DATEDIF(L173,M173,"M") +1</f>
        <v>100</v>
      </c>
      <c r="O173" s="39"/>
      <c r="P173" s="14"/>
      <c r="Q173" s="14"/>
      <c r="R173" s="12">
        <f t="shared" ca="1" si="26"/>
        <v>100</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4" customHeight="1" x14ac:dyDescent="0.45">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46175</v>
      </c>
      <c r="N174" s="14">
        <f ca="1">DATEDIF(L174,M174,"M") +1</f>
        <v>100</v>
      </c>
      <c r="O174" s="39"/>
      <c r="P174" s="14"/>
      <c r="Q174" s="14"/>
      <c r="R174" s="12">
        <f t="shared" ca="1" si="26"/>
        <v>100</v>
      </c>
      <c r="S174" s="25">
        <v>45701</v>
      </c>
      <c r="T174" s="12" t="s">
        <v>38</v>
      </c>
      <c r="U174" s="56">
        <f>DATEDIF(L174,S174,"M")+1-Q174</f>
        <v>84</v>
      </c>
      <c r="V174" s="49" t="str">
        <f>IF(U174&gt;51,"Completed:Delayed"," Completed:On time")</f>
        <v>Completed:Delayed</v>
      </c>
      <c r="W174" s="52">
        <f>DATEDIF(K174,S174,"M")+1-Q174</f>
        <v>78</v>
      </c>
    </row>
    <row r="175" spans="1:23" ht="25.4" customHeight="1" x14ac:dyDescent="0.45">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46175</v>
      </c>
      <c r="N175" s="14">
        <f ca="1">DATEDIF(L175,M175,"M") +1</f>
        <v>100</v>
      </c>
      <c r="O175" s="39"/>
      <c r="P175" s="14"/>
      <c r="Q175" s="14"/>
      <c r="R175" s="12">
        <f t="shared" ca="1" si="26"/>
        <v>100</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4" customHeight="1" x14ac:dyDescent="0.45">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46175</v>
      </c>
      <c r="N176" s="13"/>
      <c r="O176" s="13"/>
      <c r="P176" s="13"/>
      <c r="Q176" s="12"/>
      <c r="R176" s="12">
        <f t="shared" si="26"/>
        <v>74</v>
      </c>
      <c r="S176" s="25">
        <v>43568</v>
      </c>
      <c r="T176" s="12" t="s">
        <v>38</v>
      </c>
      <c r="U176" s="56">
        <f t="shared" ref="U176:U181" si="35">DATEDIF(L176,S176,"M")+1-Q176</f>
        <v>74</v>
      </c>
      <c r="V176" s="49" t="str">
        <f t="shared" ref="V176:V181" si="36">IF(U176&gt;51,"Completed:Delayed"," Completed:On time")</f>
        <v>Completed:Delayed</v>
      </c>
      <c r="W176" s="52">
        <f>DATEDIF(K176,S176,"M")+1-Q176</f>
        <v>66</v>
      </c>
    </row>
    <row r="177" spans="1:23" ht="25.4" customHeight="1" x14ac:dyDescent="0.45">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46175</v>
      </c>
      <c r="N177" s="14">
        <f ca="1">DATEDIF(L177,M177,"M") +1</f>
        <v>76</v>
      </c>
      <c r="O177" s="25">
        <v>45413</v>
      </c>
      <c r="P177" s="25">
        <v>45535</v>
      </c>
      <c r="Q177" s="14">
        <v>4</v>
      </c>
      <c r="R177" s="12">
        <f t="shared" ca="1" si="26"/>
        <v>76</v>
      </c>
      <c r="S177" s="25">
        <v>45568</v>
      </c>
      <c r="T177" s="12" t="s">
        <v>38</v>
      </c>
      <c r="U177" s="56">
        <f t="shared" si="35"/>
        <v>52</v>
      </c>
      <c r="V177" s="49" t="str">
        <f t="shared" si="36"/>
        <v>Completed:Delayed</v>
      </c>
      <c r="W177" s="52">
        <f>DATEDIF(K177,S177,"M")+1-Q177</f>
        <v>42</v>
      </c>
    </row>
    <row r="178" spans="1:23" ht="25.4" customHeight="1" x14ac:dyDescent="0.45">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46175</v>
      </c>
      <c r="N178" s="14">
        <f ca="1">DATEDIF(L178,M178,"M") +1</f>
        <v>100</v>
      </c>
      <c r="O178" s="39"/>
      <c r="P178" s="14"/>
      <c r="Q178" s="14"/>
      <c r="R178" s="12">
        <f t="shared" ca="1" si="26"/>
        <v>100</v>
      </c>
      <c r="S178" s="25">
        <v>45610</v>
      </c>
      <c r="T178" s="12" t="s">
        <v>38</v>
      </c>
      <c r="U178" s="56">
        <f t="shared" si="35"/>
        <v>81</v>
      </c>
      <c r="V178" s="49" t="str">
        <f t="shared" si="36"/>
        <v>Completed:Delayed</v>
      </c>
      <c r="W178" s="52">
        <f>DATEDIF(K178,S178,"M")+1-Q178</f>
        <v>71</v>
      </c>
    </row>
    <row r="179" spans="1:23" ht="25.4" customHeight="1" x14ac:dyDescent="0.45">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46175</v>
      </c>
      <c r="N179" s="14">
        <f ca="1">DATEDIF(L179,M179,"M") +1</f>
        <v>88</v>
      </c>
      <c r="O179" s="39"/>
      <c r="P179" s="14"/>
      <c r="Q179" s="14"/>
      <c r="R179" s="12">
        <f t="shared" ca="1" si="26"/>
        <v>88</v>
      </c>
      <c r="S179" s="25">
        <v>45889</v>
      </c>
      <c r="T179" s="12" t="s">
        <v>38</v>
      </c>
      <c r="U179" s="56">
        <f t="shared" si="35"/>
        <v>78</v>
      </c>
      <c r="V179" s="49" t="str">
        <f t="shared" si="36"/>
        <v>Completed:Delayed</v>
      </c>
      <c r="W179" s="52">
        <f>DATEDIF(K179,S179,"M")+1-Q179</f>
        <v>72</v>
      </c>
    </row>
    <row r="180" spans="1:23" ht="25.4" customHeight="1" x14ac:dyDescent="0.45">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46175</v>
      </c>
      <c r="N180" s="14"/>
      <c r="O180" s="39"/>
      <c r="P180" s="14"/>
      <c r="Q180" s="14"/>
      <c r="R180" s="12">
        <f t="shared" si="26"/>
        <v>44</v>
      </c>
      <c r="S180" s="25">
        <v>44851</v>
      </c>
      <c r="T180" s="12" t="s">
        <v>38</v>
      </c>
      <c r="U180" s="56">
        <f t="shared" si="35"/>
        <v>44</v>
      </c>
      <c r="V180" s="49" t="str">
        <f t="shared" si="36"/>
        <v xml:space="preserve"> Completed:On time</v>
      </c>
      <c r="W180" s="52">
        <f>DATEDIF(K180,S180,"M")+1-Q180</f>
        <v>53</v>
      </c>
    </row>
    <row r="181" spans="1:23" ht="25.4" customHeight="1" x14ac:dyDescent="0.45">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46175</v>
      </c>
      <c r="N181" s="14">
        <f ca="1">DATEDIF(L181,M181,"M") +1</f>
        <v>88</v>
      </c>
      <c r="O181" s="25">
        <v>45170</v>
      </c>
      <c r="P181" s="25">
        <v>45473</v>
      </c>
      <c r="Q181" s="14">
        <v>10</v>
      </c>
      <c r="R181" s="12">
        <f t="shared" ca="1" si="26"/>
        <v>88</v>
      </c>
      <c r="S181" s="25">
        <v>45640</v>
      </c>
      <c r="T181" s="12" t="s">
        <v>38</v>
      </c>
      <c r="U181" s="56">
        <f t="shared" si="35"/>
        <v>60</v>
      </c>
      <c r="V181" s="49" t="str">
        <f t="shared" si="36"/>
        <v>Completed:Delayed</v>
      </c>
      <c r="W181" s="52"/>
    </row>
    <row r="182" spans="1:23" ht="25.4" customHeight="1" x14ac:dyDescent="0.45">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46175</v>
      </c>
      <c r="N182" s="14">
        <f ca="1">DATEDIF(L182,M182,"M") +1</f>
        <v>88</v>
      </c>
      <c r="O182" s="39"/>
      <c r="P182" s="14"/>
      <c r="Q182" s="14"/>
      <c r="R182" s="12">
        <f t="shared" ca="1" si="26"/>
        <v>88</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4" customHeight="1" x14ac:dyDescent="0.45">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46175</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4" customHeight="1" x14ac:dyDescent="0.45">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46175</v>
      </c>
      <c r="N184" s="14">
        <f ca="1">DATEDIF(L184,M184,"M") +1</f>
        <v>88</v>
      </c>
      <c r="O184" s="39"/>
      <c r="P184" s="14"/>
      <c r="Q184" s="14"/>
      <c r="R184" s="12">
        <f t="shared" ca="1" si="26"/>
        <v>88</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4" customHeight="1" x14ac:dyDescent="0.45">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46175</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4" customHeight="1" x14ac:dyDescent="0.45">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46175</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4" customHeight="1" x14ac:dyDescent="0.45">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46175</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4" customHeight="1" x14ac:dyDescent="0.45">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46175</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4" customHeight="1" x14ac:dyDescent="0.45">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46175</v>
      </c>
      <c r="N189" s="14">
        <f ca="1">DATEDIF(L189,M189,"M") +1</f>
        <v>88</v>
      </c>
      <c r="O189" s="39"/>
      <c r="P189" s="14"/>
      <c r="Q189" s="14"/>
      <c r="R189" s="12">
        <f t="shared" ca="1" si="26"/>
        <v>88</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4" customHeight="1" x14ac:dyDescent="0.45">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7">TODAY()</f>
        <v>46175</v>
      </c>
      <c r="N190" s="13"/>
      <c r="O190" s="13"/>
      <c r="P190" s="13"/>
      <c r="Q190" s="12"/>
      <c r="R190" s="12">
        <f t="shared" ref="R190:R240" si="38">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4" customHeight="1" x14ac:dyDescent="0.45">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7"/>
        <v>46175</v>
      </c>
      <c r="N191" s="13"/>
      <c r="O191" s="13"/>
      <c r="P191" s="13"/>
      <c r="Q191" s="12"/>
      <c r="R191" s="12">
        <f t="shared" si="38"/>
        <v>57</v>
      </c>
      <c r="S191" s="25">
        <v>43433</v>
      </c>
      <c r="T191" s="12" t="s">
        <v>38</v>
      </c>
      <c r="U191" s="56">
        <f>DATEDIF(L191,S191,"M")+1-Q191</f>
        <v>57</v>
      </c>
      <c r="V191" s="49" t="str">
        <f>IF(U191&gt;51,"Completed:Delayed"," Completed:On time")</f>
        <v>Completed:Delayed</v>
      </c>
      <c r="W191" s="52">
        <f>DATEDIF(K191,S191,"M")+1-Q191</f>
        <v>52</v>
      </c>
    </row>
    <row r="192" spans="1:23" ht="25.4" customHeight="1" x14ac:dyDescent="0.45">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7"/>
        <v>46175</v>
      </c>
      <c r="N192" s="14"/>
      <c r="O192" s="39"/>
      <c r="P192" s="14"/>
      <c r="Q192" s="14"/>
      <c r="R192" s="12">
        <f t="shared" si="38"/>
        <v>81</v>
      </c>
      <c r="S192" s="25">
        <v>44529</v>
      </c>
      <c r="T192" s="12" t="s">
        <v>38</v>
      </c>
      <c r="U192" s="56">
        <f>DATEDIF(L192,S192,"M")+1-Q192</f>
        <v>81</v>
      </c>
      <c r="V192" s="49" t="str">
        <f>IF(U192&gt;51,"Completed:Delayed"," Completed:On time")</f>
        <v>Completed:Delayed</v>
      </c>
      <c r="W192" s="52">
        <f>DATEDIF(K192,S192,"M")+1-Q192</f>
        <v>65</v>
      </c>
    </row>
    <row r="193" spans="1:25" ht="25.4" customHeight="1" x14ac:dyDescent="0.45">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7"/>
        <v>46175</v>
      </c>
      <c r="N193" s="14">
        <f ca="1">DATEDIF(L193,M193,"M") +1</f>
        <v>88</v>
      </c>
      <c r="O193" s="39"/>
      <c r="P193" s="14"/>
      <c r="Q193" s="14"/>
      <c r="R193" s="12">
        <f t="shared" ca="1" si="38"/>
        <v>88</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4" customHeight="1" x14ac:dyDescent="0.45">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7"/>
        <v>46175</v>
      </c>
      <c r="N194" s="13"/>
      <c r="O194" s="13"/>
      <c r="P194" s="13"/>
      <c r="Q194" s="12"/>
      <c r="R194" s="12">
        <f t="shared" si="38"/>
        <v>56</v>
      </c>
      <c r="S194" s="25">
        <v>42325</v>
      </c>
      <c r="T194" s="12" t="s">
        <v>38</v>
      </c>
      <c r="U194" s="56">
        <f>DATEDIF(L194,S194,"M")+1-Q194</f>
        <v>56</v>
      </c>
      <c r="V194" s="49" t="str">
        <f>IF(U194&gt;51,"Completed:Delayed"," Completed:On time")</f>
        <v>Completed:Delayed</v>
      </c>
      <c r="W194" s="52">
        <f>DATEDIF(K194,S194,"M")+1-Q194</f>
        <v>53</v>
      </c>
      <c r="X194" s="21"/>
      <c r="Y194" t="s">
        <v>754</v>
      </c>
    </row>
    <row r="195" spans="1:25" ht="25.4" customHeight="1" x14ac:dyDescent="0.45">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7"/>
        <v>46175</v>
      </c>
      <c r="N195" s="13"/>
      <c r="O195" s="13"/>
      <c r="P195" s="13"/>
      <c r="Q195" s="12"/>
      <c r="R195" s="12">
        <f t="shared" si="38"/>
        <v>42</v>
      </c>
      <c r="S195" s="25">
        <v>43678</v>
      </c>
      <c r="T195" s="12" t="s">
        <v>38</v>
      </c>
      <c r="U195" s="56">
        <f>DATEDIF(L195,S195,"M")+1-Q195</f>
        <v>42</v>
      </c>
      <c r="V195" s="49" t="str">
        <f>IF(U195&gt;51,"Completed:Delayed"," Completed:On time")</f>
        <v xml:space="preserve"> Completed:On time</v>
      </c>
      <c r="W195" s="52">
        <f>DATEDIF(K195,S195,"M")+1-Q195</f>
        <v>32</v>
      </c>
    </row>
    <row r="196" spans="1:25" ht="25.4" customHeight="1" x14ac:dyDescent="0.45">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7"/>
        <v>46175</v>
      </c>
      <c r="N196" s="14">
        <f ca="1">DATEDIF(L196,M196,"M") +1</f>
        <v>88</v>
      </c>
      <c r="O196" s="25">
        <v>45078</v>
      </c>
      <c r="P196" s="25">
        <v>45443</v>
      </c>
      <c r="Q196" s="14">
        <v>12</v>
      </c>
      <c r="R196" s="12">
        <f t="shared" ca="1" si="38"/>
        <v>88</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4" customHeight="1" x14ac:dyDescent="0.45">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7"/>
        <v>46175</v>
      </c>
      <c r="N197" s="14">
        <f ca="1">DATEDIF(L197,M197,"M") +1</f>
        <v>88</v>
      </c>
      <c r="O197" s="39"/>
      <c r="P197" s="14"/>
      <c r="Q197" s="14"/>
      <c r="R197" s="12">
        <f t="shared" ca="1" si="38"/>
        <v>88</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4" customHeight="1" x14ac:dyDescent="0.45">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7"/>
        <v>46175</v>
      </c>
      <c r="N198" s="13"/>
      <c r="O198" s="13"/>
      <c r="P198" s="13"/>
      <c r="Q198" s="12"/>
      <c r="R198" s="12">
        <f t="shared" si="38"/>
        <v>28</v>
      </c>
      <c r="S198" s="25">
        <v>42173</v>
      </c>
      <c r="T198" s="12" t="s">
        <v>38</v>
      </c>
      <c r="U198" s="56">
        <f>DATEDIF(L198,S198,"M")+1-Q198</f>
        <v>28</v>
      </c>
      <c r="V198" s="49" t="str">
        <f>IF(U198&gt;51,"Completed:Delayed"," Completed:On time")</f>
        <v xml:space="preserve"> Completed:On time</v>
      </c>
      <c r="W198" s="52">
        <f>DATEDIF(K198,S198,"M")+1-Q198</f>
        <v>44</v>
      </c>
    </row>
    <row r="199" spans="1:25" ht="25.4" customHeight="1" x14ac:dyDescent="0.45">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7"/>
        <v>46175</v>
      </c>
      <c r="N199" s="14">
        <f ca="1">DATEDIF(L199,M199,"M") +1</f>
        <v>76</v>
      </c>
      <c r="O199" s="39"/>
      <c r="P199" s="14"/>
      <c r="Q199" s="14"/>
      <c r="R199" s="12">
        <f t="shared" ca="1" si="38"/>
        <v>76</v>
      </c>
      <c r="S199" s="25">
        <v>45936</v>
      </c>
      <c r="T199" s="12" t="s">
        <v>38</v>
      </c>
      <c r="U199" s="56">
        <f>DATEDIF(L199,S199,"M")+1-Q199</f>
        <v>68</v>
      </c>
      <c r="V199" s="49" t="str">
        <f>IF(U199&gt;51,"Completed:Delayed"," Completed:On time")</f>
        <v>Completed:Delayed</v>
      </c>
      <c r="W199" s="52">
        <f>DATEDIF(K199,S199,"M")+1-Q199</f>
        <v>70</v>
      </c>
    </row>
    <row r="200" spans="1:25" ht="25.4" customHeight="1" x14ac:dyDescent="0.45">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7"/>
        <v>46175</v>
      </c>
      <c r="N200" s="14"/>
      <c r="O200" s="39"/>
      <c r="P200" s="14"/>
      <c r="Q200" s="14"/>
      <c r="R200" s="12">
        <f t="shared" si="38"/>
        <v>94</v>
      </c>
      <c r="S200" s="25">
        <v>44539</v>
      </c>
      <c r="T200" s="12" t="s">
        <v>38</v>
      </c>
      <c r="U200" s="56">
        <f>DATEDIF(L200,S200,"M")+1-Q200</f>
        <v>94</v>
      </c>
      <c r="V200" s="49" t="str">
        <f>IF(U200&gt;51,"Completed:Delayed"," Completed:On time")</f>
        <v>Completed:Delayed</v>
      </c>
      <c r="W200" s="52">
        <f>DATEDIF(K200,S200,"M")+1-Q200</f>
        <v>93</v>
      </c>
    </row>
    <row r="201" spans="1:25" ht="25.4" customHeight="1" x14ac:dyDescent="0.45">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7"/>
        <v>46175</v>
      </c>
      <c r="N201" s="14">
        <f ca="1">DATEDIF(L201,M201,"M") +1</f>
        <v>76</v>
      </c>
      <c r="O201" s="39"/>
      <c r="P201" s="14"/>
      <c r="Q201" s="14"/>
      <c r="R201" s="12">
        <f t="shared" ca="1" si="38"/>
        <v>76</v>
      </c>
      <c r="S201" s="25">
        <v>45929</v>
      </c>
      <c r="T201" s="12" t="s">
        <v>38</v>
      </c>
      <c r="U201" s="56">
        <f>DATEDIF(L201,S201,"M")+1-Q201</f>
        <v>67</v>
      </c>
      <c r="V201" s="49" t="str">
        <f>IF(U201&gt;51,"Completed:Delayed"," Completed:On time")</f>
        <v>Completed:Delayed</v>
      </c>
      <c r="W201" s="52">
        <f>DATEDIF(K201,S201,"M")+1-Q201</f>
        <v>61</v>
      </c>
    </row>
    <row r="202" spans="1:25" ht="25.4" customHeight="1" x14ac:dyDescent="0.45">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7"/>
        <v>46175</v>
      </c>
      <c r="N202" s="14">
        <f ca="1">DATEDIF(L202,M202,"M") +1</f>
        <v>76</v>
      </c>
      <c r="O202" s="39"/>
      <c r="P202" s="14"/>
      <c r="Q202" s="14"/>
      <c r="R202" s="12">
        <f t="shared" ca="1" si="38"/>
        <v>76</v>
      </c>
      <c r="S202" s="25">
        <v>45950</v>
      </c>
      <c r="T202" s="12" t="s">
        <v>38</v>
      </c>
      <c r="U202" s="56">
        <f>DATEDIF(L202,S202,"M")+1-Q202</f>
        <v>68</v>
      </c>
      <c r="V202" s="49" t="str">
        <f>IF(U202&gt;51,"Completed:Delayed"," Completed:On time")</f>
        <v>Completed:Delayed</v>
      </c>
      <c r="W202" s="52">
        <f>DATEDIF(K202,S202,"M")+1-Q202</f>
        <v>51</v>
      </c>
    </row>
    <row r="203" spans="1:25" ht="25.4" customHeight="1" x14ac:dyDescent="0.45">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7"/>
        <v>46175</v>
      </c>
      <c r="N203" s="14"/>
      <c r="O203" s="39"/>
      <c r="P203" s="14"/>
      <c r="Q203" s="14"/>
      <c r="R203" s="12">
        <f t="shared" si="38"/>
        <v>99</v>
      </c>
      <c r="S203" s="25">
        <v>45443</v>
      </c>
      <c r="T203" s="12" t="s">
        <v>38</v>
      </c>
      <c r="U203" s="56">
        <f t="shared" ref="U203:U210" si="39">DATEDIF(L203,S203,"M")+1-Q203</f>
        <v>99</v>
      </c>
      <c r="V203" s="49" t="str">
        <f t="shared" ref="V203:V210" si="40">IF(U203&gt;51,"Completed:Delayed"," Completed:On time")</f>
        <v>Completed:Delayed</v>
      </c>
      <c r="W203" s="52">
        <f t="shared" ref="W203:W210" si="41">DATEDIF(K203,S203,"M")+1-Q203</f>
        <v>92</v>
      </c>
    </row>
    <row r="204" spans="1:25" ht="25.4" customHeight="1" x14ac:dyDescent="0.45">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7"/>
        <v>46175</v>
      </c>
      <c r="N204" s="14">
        <f ca="1">DATEDIF(L204,M204,"M") +1</f>
        <v>124</v>
      </c>
      <c r="O204" s="39"/>
      <c r="P204" s="14"/>
      <c r="Q204" s="14"/>
      <c r="R204" s="12">
        <f t="shared" ca="1" si="38"/>
        <v>124</v>
      </c>
      <c r="S204" s="25">
        <v>45591</v>
      </c>
      <c r="T204" s="12" t="s">
        <v>38</v>
      </c>
      <c r="U204" s="56">
        <f t="shared" si="39"/>
        <v>104</v>
      </c>
      <c r="V204" s="49" t="str">
        <f t="shared" si="40"/>
        <v>Completed:Delayed</v>
      </c>
      <c r="W204" s="52">
        <f t="shared" si="41"/>
        <v>92</v>
      </c>
    </row>
    <row r="205" spans="1:25" ht="25.4" customHeight="1" x14ac:dyDescent="0.45">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7"/>
        <v>46175</v>
      </c>
      <c r="N205" s="14">
        <f ca="1">DATEDIF(L205,M205,"M") +1</f>
        <v>76</v>
      </c>
      <c r="O205" s="39"/>
      <c r="P205" s="14"/>
      <c r="Q205" s="14"/>
      <c r="R205" s="12">
        <f t="shared" ca="1" si="38"/>
        <v>76</v>
      </c>
      <c r="S205" s="25">
        <v>45648</v>
      </c>
      <c r="T205" s="12" t="s">
        <v>38</v>
      </c>
      <c r="U205" s="56">
        <f t="shared" si="39"/>
        <v>58</v>
      </c>
      <c r="V205" s="49" t="str">
        <f t="shared" si="40"/>
        <v>Completed:Delayed</v>
      </c>
      <c r="W205" s="52">
        <f t="shared" si="41"/>
        <v>55</v>
      </c>
    </row>
    <row r="206" spans="1:25" ht="25.4" customHeight="1" x14ac:dyDescent="0.45">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7"/>
        <v>46175</v>
      </c>
      <c r="N206" s="13"/>
      <c r="O206" s="13"/>
      <c r="P206" s="13"/>
      <c r="Q206" s="12"/>
      <c r="R206" s="12">
        <f t="shared" si="38"/>
        <v>81</v>
      </c>
      <c r="S206" s="25">
        <v>43073</v>
      </c>
      <c r="T206" s="12" t="s">
        <v>38</v>
      </c>
      <c r="U206" s="56">
        <f t="shared" si="39"/>
        <v>81</v>
      </c>
      <c r="V206" s="49" t="str">
        <f t="shared" si="40"/>
        <v>Completed:Delayed</v>
      </c>
      <c r="W206" s="52">
        <f t="shared" si="41"/>
        <v>81</v>
      </c>
      <c r="X206" s="20"/>
      <c r="Y206" t="s">
        <v>4</v>
      </c>
    </row>
    <row r="207" spans="1:25" ht="25.4" customHeight="1" x14ac:dyDescent="0.45">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7"/>
        <v>46175</v>
      </c>
      <c r="N207" s="14"/>
      <c r="O207" s="39"/>
      <c r="P207" s="14"/>
      <c r="Q207" s="14"/>
      <c r="R207" s="12">
        <f t="shared" si="38"/>
        <v>81</v>
      </c>
      <c r="S207" s="25">
        <v>45248</v>
      </c>
      <c r="T207" s="12" t="s">
        <v>38</v>
      </c>
      <c r="U207" s="56">
        <f t="shared" si="39"/>
        <v>81</v>
      </c>
      <c r="V207" s="49" t="str">
        <f t="shared" si="40"/>
        <v>Completed:Delayed</v>
      </c>
      <c r="W207" s="52">
        <f t="shared" si="41"/>
        <v>74</v>
      </c>
    </row>
    <row r="208" spans="1:25" ht="25.4" customHeight="1" x14ac:dyDescent="0.45">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7"/>
        <v>46175</v>
      </c>
      <c r="N208" s="13"/>
      <c r="O208" s="13"/>
      <c r="P208" s="13"/>
      <c r="Q208" s="12"/>
      <c r="R208" s="12">
        <f t="shared" si="38"/>
        <v>63</v>
      </c>
      <c r="S208" s="25">
        <v>42551</v>
      </c>
      <c r="T208" s="12" t="s">
        <v>38</v>
      </c>
      <c r="U208" s="56">
        <f t="shared" si="39"/>
        <v>63</v>
      </c>
      <c r="V208" s="49" t="str">
        <f t="shared" si="40"/>
        <v>Completed:Delayed</v>
      </c>
      <c r="W208" s="52">
        <f t="shared" si="41"/>
        <v>63</v>
      </c>
    </row>
    <row r="209" spans="1:23" ht="25.4" customHeight="1" x14ac:dyDescent="0.45">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7"/>
        <v>46175</v>
      </c>
      <c r="N209" s="14">
        <f ca="1">DATEDIF(L209,M209,"M") +1</f>
        <v>88</v>
      </c>
      <c r="O209" s="39"/>
      <c r="P209" s="14"/>
      <c r="Q209" s="14"/>
      <c r="R209" s="12">
        <f t="shared" ca="1" si="38"/>
        <v>88</v>
      </c>
      <c r="S209" s="25">
        <v>45483</v>
      </c>
      <c r="T209" s="12" t="s">
        <v>38</v>
      </c>
      <c r="U209" s="56">
        <f t="shared" si="39"/>
        <v>65</v>
      </c>
      <c r="V209" s="49" t="str">
        <f t="shared" si="40"/>
        <v>Completed:Delayed</v>
      </c>
      <c r="W209" s="52">
        <f t="shared" si="41"/>
        <v>64</v>
      </c>
    </row>
    <row r="210" spans="1:23" ht="25.4" customHeight="1" x14ac:dyDescent="0.45">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7"/>
        <v>46175</v>
      </c>
      <c r="N210" s="14"/>
      <c r="O210" s="39"/>
      <c r="P210" s="14"/>
      <c r="Q210" s="14"/>
      <c r="R210" s="12">
        <f t="shared" si="38"/>
        <v>115</v>
      </c>
      <c r="S210" s="25">
        <v>45191</v>
      </c>
      <c r="T210" s="12" t="s">
        <v>38</v>
      </c>
      <c r="U210" s="56">
        <f t="shared" si="39"/>
        <v>115</v>
      </c>
      <c r="V210" s="49" t="str">
        <f t="shared" si="40"/>
        <v>Completed:Delayed</v>
      </c>
      <c r="W210" s="52">
        <f t="shared" si="41"/>
        <v>103</v>
      </c>
    </row>
    <row r="211" spans="1:23" ht="25.4" customHeight="1" x14ac:dyDescent="0.45">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7"/>
        <v>46175</v>
      </c>
      <c r="N211" s="14">
        <f t="shared" ref="N211:N216" ca="1" si="42">DATEDIF(L211,M211,"M") +1</f>
        <v>76</v>
      </c>
      <c r="O211" s="39"/>
      <c r="P211" s="14"/>
      <c r="Q211" s="14"/>
      <c r="R211" s="12">
        <f t="shared" ca="1" si="38"/>
        <v>76</v>
      </c>
      <c r="S211" s="25">
        <v>45717</v>
      </c>
      <c r="T211" s="12" t="s">
        <v>38</v>
      </c>
      <c r="U211" s="56">
        <f t="shared" ref="U211:U213" si="43">DATEDIF(L211,S211,"M")+1-Q211</f>
        <v>61</v>
      </c>
      <c r="V211" s="49" t="str">
        <f t="shared" ref="V211:V213" si="44">IF(U211&gt;51,"Completed:Delayed"," Completed:On time")</f>
        <v>Completed:Delayed</v>
      </c>
      <c r="W211" s="52">
        <f t="shared" ref="W211:W214" si="45">DATEDIF(K211,S211,"M")+1-Q211</f>
        <v>58</v>
      </c>
    </row>
    <row r="212" spans="1:23" ht="25.4" customHeight="1" x14ac:dyDescent="0.45">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7"/>
        <v>46175</v>
      </c>
      <c r="N212" s="14">
        <f t="shared" ca="1" si="42"/>
        <v>76</v>
      </c>
      <c r="O212" s="39"/>
      <c r="P212" s="14"/>
      <c r="Q212" s="14"/>
      <c r="R212" s="12">
        <f t="shared" ca="1" si="38"/>
        <v>76</v>
      </c>
      <c r="S212" s="25"/>
      <c r="T212" s="12" t="s">
        <v>44</v>
      </c>
      <c r="U212" s="49" t="str">
        <f t="shared" ref="U212:U215" ca="1" si="46">IF(N212&gt;60,"In progress: Above 60 months","In progress: Below 60 Months")</f>
        <v>In progress: Above 60 months</v>
      </c>
      <c r="V212" s="49" t="str">
        <f t="shared" ref="V212:V215" ca="1" si="47">IF(N212&gt;60,"In progress: Above 60 months","In progress: Below 60 Months")</f>
        <v>In progress: Above 60 months</v>
      </c>
      <c r="W212" s="52"/>
    </row>
    <row r="213" spans="1:23" ht="25.4" customHeight="1" x14ac:dyDescent="0.45">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7"/>
        <v>46175</v>
      </c>
      <c r="N213" s="14">
        <f t="shared" ca="1" si="42"/>
        <v>76</v>
      </c>
      <c r="O213" s="39"/>
      <c r="P213" s="14"/>
      <c r="Q213" s="14"/>
      <c r="R213" s="12">
        <f t="shared" ca="1" si="38"/>
        <v>76</v>
      </c>
      <c r="S213" s="25">
        <v>45889</v>
      </c>
      <c r="T213" s="12" t="s">
        <v>38</v>
      </c>
      <c r="U213" s="56">
        <f t="shared" si="43"/>
        <v>66</v>
      </c>
      <c r="V213" s="49" t="str">
        <f t="shared" si="44"/>
        <v>Completed:Delayed</v>
      </c>
      <c r="W213" s="52">
        <f t="shared" si="45"/>
        <v>54</v>
      </c>
    </row>
    <row r="214" spans="1:23" ht="25.4" customHeight="1" x14ac:dyDescent="0.45">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7"/>
        <v>46175</v>
      </c>
      <c r="N214" s="14">
        <f t="shared" ca="1" si="42"/>
        <v>76</v>
      </c>
      <c r="O214" s="39"/>
      <c r="P214" s="14"/>
      <c r="Q214" s="14"/>
      <c r="R214" s="12">
        <f t="shared" ca="1" si="38"/>
        <v>76</v>
      </c>
      <c r="S214" s="25">
        <v>45747</v>
      </c>
      <c r="T214" s="12" t="s">
        <v>38</v>
      </c>
      <c r="U214" s="56">
        <f>DATEDIF(L214,S214,"M")+1-Q214</f>
        <v>61</v>
      </c>
      <c r="V214" s="49" t="str">
        <f t="shared" ref="V214" si="48">IF(U214&gt;51,"Completed:Delayed"," Completed:On time")</f>
        <v>Completed:Delayed</v>
      </c>
      <c r="W214" s="52">
        <f t="shared" si="45"/>
        <v>48</v>
      </c>
    </row>
    <row r="215" spans="1:23" ht="25.4" customHeight="1" x14ac:dyDescent="0.45">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7"/>
        <v>46175</v>
      </c>
      <c r="N215" s="14">
        <f t="shared" ca="1" si="42"/>
        <v>76</v>
      </c>
      <c r="O215" s="39"/>
      <c r="P215" s="14"/>
      <c r="Q215" s="14"/>
      <c r="R215" s="12">
        <f t="shared" ca="1" si="38"/>
        <v>76</v>
      </c>
      <c r="S215" s="25"/>
      <c r="T215" s="12" t="s">
        <v>44</v>
      </c>
      <c r="U215" s="49" t="str">
        <f t="shared" ca="1" si="46"/>
        <v>In progress: Above 60 months</v>
      </c>
      <c r="V215" s="49" t="str">
        <f t="shared" ca="1" si="47"/>
        <v>In progress: Above 60 months</v>
      </c>
      <c r="W215" s="52"/>
    </row>
    <row r="216" spans="1:23" ht="25.4" customHeight="1" x14ac:dyDescent="0.45">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7"/>
        <v>46175</v>
      </c>
      <c r="N216" s="14">
        <f t="shared" ca="1" si="42"/>
        <v>76</v>
      </c>
      <c r="O216" s="39"/>
      <c r="P216" s="14"/>
      <c r="Q216" s="14"/>
      <c r="R216" s="12">
        <f t="shared" ca="1" si="38"/>
        <v>76</v>
      </c>
      <c r="S216" s="25">
        <v>45937</v>
      </c>
      <c r="T216" s="12" t="s">
        <v>38</v>
      </c>
      <c r="U216" s="56">
        <f>DATEDIF(L216,S216,"M")+1-Q216</f>
        <v>68</v>
      </c>
      <c r="V216" s="49" t="str">
        <f t="shared" ref="V216" si="49">IF(U216&gt;51,"Completed:Delayed"," Completed:On time")</f>
        <v>Completed:Delayed</v>
      </c>
      <c r="W216" s="52">
        <f t="shared" ref="W216" si="50">DATEDIF(K216,S216,"M")+1-Q216</f>
        <v>55</v>
      </c>
    </row>
    <row r="217" spans="1:23" ht="25.4" customHeight="1" x14ac:dyDescent="0.45">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7"/>
        <v>46175</v>
      </c>
      <c r="N217" s="13"/>
      <c r="O217" s="13"/>
      <c r="P217" s="13"/>
      <c r="Q217" s="12"/>
      <c r="R217" s="12">
        <f t="shared" si="38"/>
        <v>75</v>
      </c>
      <c r="S217" s="25">
        <v>44334</v>
      </c>
      <c r="T217" s="12" t="s">
        <v>38</v>
      </c>
      <c r="U217" s="56">
        <f>DATEDIF(L217,S217,"M")+1-Q217</f>
        <v>75</v>
      </c>
      <c r="V217" s="49" t="str">
        <f>IF(U217&gt;51,"Completed:Delayed"," Completed:On time")</f>
        <v>Completed:Delayed</v>
      </c>
      <c r="W217" s="52">
        <f>DATEDIF(K217,S217,"M")+1-Q217</f>
        <v>63</v>
      </c>
    </row>
    <row r="218" spans="1:23" ht="25.4" customHeight="1" x14ac:dyDescent="0.45">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7"/>
        <v>46175</v>
      </c>
      <c r="N218" s="14">
        <f ca="1">DATEDIF(L218,M218,"M") +1</f>
        <v>76</v>
      </c>
      <c r="O218" s="39"/>
      <c r="P218" s="14"/>
      <c r="Q218" s="14"/>
      <c r="R218" s="12">
        <f t="shared" ca="1" si="38"/>
        <v>76</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4" customHeight="1" x14ac:dyDescent="0.45">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7"/>
        <v>46175</v>
      </c>
      <c r="N219" s="14">
        <f ca="1">DATEDIF(L219,M219,"M") +1</f>
        <v>76</v>
      </c>
      <c r="O219" s="39"/>
      <c r="P219" s="14"/>
      <c r="Q219" s="14"/>
      <c r="R219" s="12">
        <f t="shared" ca="1" si="38"/>
        <v>76</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4" customHeight="1" x14ac:dyDescent="0.45">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7"/>
        <v>46175</v>
      </c>
      <c r="N220" s="14">
        <f ca="1">DATEDIF(L220,M220,"M") +1</f>
        <v>76</v>
      </c>
      <c r="O220" s="39"/>
      <c r="P220" s="14"/>
      <c r="Q220" s="14"/>
      <c r="R220" s="12">
        <f t="shared" ca="1" si="38"/>
        <v>76</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4" customHeight="1" x14ac:dyDescent="0.45">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7"/>
        <v>46175</v>
      </c>
      <c r="N221" s="14">
        <f ca="1">DATEDIF(L221,M221,"M") +1</f>
        <v>76</v>
      </c>
      <c r="O221" s="39"/>
      <c r="P221" s="14"/>
      <c r="Q221" s="14"/>
      <c r="R221" s="12">
        <f t="shared" ca="1" si="38"/>
        <v>76</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6" x14ac:dyDescent="0.4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7"/>
        <v>46175</v>
      </c>
      <c r="N222" s="14">
        <f ca="1">DATEDIF(L222,M222,"M") +1</f>
        <v>16</v>
      </c>
      <c r="O222" s="39"/>
      <c r="P222" s="14"/>
      <c r="Q222" s="14"/>
      <c r="R222" s="12">
        <f t="shared" ca="1" si="38"/>
        <v>16</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6" x14ac:dyDescent="0.45">
      <c r="A223" s="59">
        <v>222</v>
      </c>
      <c r="B223" s="59" t="s">
        <v>852</v>
      </c>
      <c r="C223" s="59" t="s">
        <v>853</v>
      </c>
      <c r="D223" s="59" t="s">
        <v>854</v>
      </c>
      <c r="E223" s="59" t="s">
        <v>855</v>
      </c>
      <c r="F223" s="59" t="s">
        <v>41</v>
      </c>
      <c r="G223" s="59">
        <v>11</v>
      </c>
      <c r="H223" s="59" t="s">
        <v>856</v>
      </c>
      <c r="I223" s="59" t="s">
        <v>857</v>
      </c>
      <c r="J223" s="59"/>
      <c r="K223" s="61"/>
      <c r="L223" s="61">
        <v>45717</v>
      </c>
      <c r="M223" s="15">
        <f t="shared" ca="1" si="37"/>
        <v>46175</v>
      </c>
      <c r="N223" s="14">
        <f t="shared" ref="N223:N240" ca="1" si="51">DATEDIF(L223,M223,"M") +1</f>
        <v>16</v>
      </c>
      <c r="O223" s="61"/>
      <c r="P223" s="61"/>
      <c r="Q223" s="59"/>
      <c r="R223" s="12">
        <f t="shared" ca="1" si="38"/>
        <v>16</v>
      </c>
      <c r="S223" s="61"/>
      <c r="T223" s="59" t="s">
        <v>44</v>
      </c>
      <c r="U223" s="60" t="str">
        <f t="shared" ref="U223:U240" ca="1" si="52">IF(N223&gt;60,"In progress: Above 60 months","In progress: Below 60 Months")</f>
        <v>In progress: Below 60 Months</v>
      </c>
      <c r="V223" s="60" t="str">
        <f t="shared" ref="V223:V240" ca="1" si="53">IF(N223&gt;60,"In progress: Above 60 months","In progress: Below 60 Months")</f>
        <v>In progress: Below 60 Months</v>
      </c>
      <c r="W223" s="50"/>
    </row>
    <row r="224" spans="1:23" ht="16" x14ac:dyDescent="0.45">
      <c r="A224" s="59">
        <v>223</v>
      </c>
      <c r="B224" s="59" t="s">
        <v>858</v>
      </c>
      <c r="C224" s="59" t="s">
        <v>859</v>
      </c>
      <c r="D224" s="59"/>
      <c r="E224" s="59" t="s">
        <v>860</v>
      </c>
      <c r="F224" s="59" t="s">
        <v>41</v>
      </c>
      <c r="G224" s="59">
        <v>11</v>
      </c>
      <c r="H224" s="59" t="s">
        <v>117</v>
      </c>
      <c r="I224" s="59" t="s">
        <v>11</v>
      </c>
      <c r="J224" s="59" t="s">
        <v>11</v>
      </c>
      <c r="K224" s="61"/>
      <c r="L224" s="61">
        <v>45717</v>
      </c>
      <c r="M224" s="15">
        <f t="shared" ca="1" si="37"/>
        <v>46175</v>
      </c>
      <c r="N224" s="14">
        <f t="shared" ca="1" si="51"/>
        <v>16</v>
      </c>
      <c r="O224" s="61"/>
      <c r="P224" s="61"/>
      <c r="Q224" s="59"/>
      <c r="R224" s="12">
        <f t="shared" ca="1" si="38"/>
        <v>16</v>
      </c>
      <c r="S224" s="61"/>
      <c r="T224" s="59" t="s">
        <v>44</v>
      </c>
      <c r="U224" s="60" t="str">
        <f t="shared" ca="1" si="52"/>
        <v>In progress: Below 60 Months</v>
      </c>
      <c r="V224" s="60" t="str">
        <f t="shared" ca="1" si="53"/>
        <v>In progress: Below 60 Months</v>
      </c>
      <c r="W224" s="53"/>
    </row>
    <row r="225" spans="1:22" ht="16" x14ac:dyDescent="0.4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7"/>
        <v>46175</v>
      </c>
      <c r="N225" s="14">
        <f t="shared" ca="1" si="51"/>
        <v>16</v>
      </c>
      <c r="O225" s="61"/>
      <c r="P225" s="61"/>
      <c r="Q225" s="59"/>
      <c r="R225" s="12">
        <f t="shared" ca="1" si="38"/>
        <v>16</v>
      </c>
      <c r="S225" s="61"/>
      <c r="T225" s="59" t="s">
        <v>44</v>
      </c>
      <c r="U225" s="60" t="str">
        <f t="shared" ca="1" si="52"/>
        <v>In progress: Below 60 Months</v>
      </c>
      <c r="V225" s="60" t="str">
        <f t="shared" ca="1" si="53"/>
        <v>In progress: Below 60 Months</v>
      </c>
    </row>
    <row r="226" spans="1:22" ht="16" x14ac:dyDescent="0.4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7"/>
        <v>46175</v>
      </c>
      <c r="N226" s="14">
        <f t="shared" ca="1" si="51"/>
        <v>16</v>
      </c>
      <c r="O226" s="61"/>
      <c r="P226" s="61"/>
      <c r="Q226" s="59"/>
      <c r="R226" s="12">
        <f t="shared" ca="1" si="38"/>
        <v>16</v>
      </c>
      <c r="S226" s="61"/>
      <c r="T226" s="59" t="s">
        <v>44</v>
      </c>
      <c r="U226" s="60" t="str">
        <f t="shared" ca="1" si="52"/>
        <v>In progress: Below 60 Months</v>
      </c>
      <c r="V226" s="60" t="str">
        <f t="shared" ca="1" si="53"/>
        <v>In progress: Below 60 Months</v>
      </c>
    </row>
    <row r="227" spans="1:22" ht="16" x14ac:dyDescent="0.45">
      <c r="A227" s="59">
        <v>226</v>
      </c>
      <c r="B227" s="59" t="s">
        <v>866</v>
      </c>
      <c r="C227" s="59" t="s">
        <v>867</v>
      </c>
      <c r="D227" s="59" t="s">
        <v>868</v>
      </c>
      <c r="E227" s="59" t="s">
        <v>869</v>
      </c>
      <c r="F227" s="59" t="s">
        <v>42</v>
      </c>
      <c r="G227" s="59">
        <v>11</v>
      </c>
      <c r="H227" s="59" t="s">
        <v>125</v>
      </c>
      <c r="I227" s="59" t="s">
        <v>16</v>
      </c>
      <c r="J227" s="59"/>
      <c r="K227" s="61"/>
      <c r="L227" s="61">
        <v>45717</v>
      </c>
      <c r="M227" s="15">
        <f t="shared" ca="1" si="37"/>
        <v>46175</v>
      </c>
      <c r="N227" s="14">
        <f t="shared" ca="1" si="51"/>
        <v>16</v>
      </c>
      <c r="O227" s="61"/>
      <c r="P227" s="61"/>
      <c r="Q227" s="59"/>
      <c r="R227" s="12">
        <f t="shared" ca="1" si="38"/>
        <v>16</v>
      </c>
      <c r="S227" s="61"/>
      <c r="T227" s="59" t="s">
        <v>44</v>
      </c>
      <c r="U227" s="60" t="str">
        <f t="shared" ca="1" si="52"/>
        <v>In progress: Below 60 Months</v>
      </c>
      <c r="V227" s="60" t="str">
        <f t="shared" ca="1" si="53"/>
        <v>In progress: Below 60 Months</v>
      </c>
    </row>
    <row r="228" spans="1:22" ht="16" x14ac:dyDescent="0.45">
      <c r="A228" s="59">
        <v>227</v>
      </c>
      <c r="B228" s="59" t="s">
        <v>870</v>
      </c>
      <c r="C228" s="59" t="s">
        <v>325</v>
      </c>
      <c r="D228" s="59" t="s">
        <v>871</v>
      </c>
      <c r="E228" s="59" t="s">
        <v>872</v>
      </c>
      <c r="F228" s="59" t="s">
        <v>41</v>
      </c>
      <c r="G228" s="59">
        <v>11</v>
      </c>
      <c r="H228" s="59" t="s">
        <v>68</v>
      </c>
      <c r="I228" s="59" t="s">
        <v>13</v>
      </c>
      <c r="J228" s="59"/>
      <c r="K228" s="61"/>
      <c r="L228" s="61">
        <v>45717</v>
      </c>
      <c r="M228" s="15">
        <f t="shared" ca="1" si="37"/>
        <v>46175</v>
      </c>
      <c r="N228" s="14">
        <f t="shared" ca="1" si="51"/>
        <v>16</v>
      </c>
      <c r="O228" s="61"/>
      <c r="P228" s="61"/>
      <c r="Q228" s="59"/>
      <c r="R228" s="12">
        <f t="shared" ca="1" si="38"/>
        <v>16</v>
      </c>
      <c r="S228" s="61"/>
      <c r="T228" s="59" t="s">
        <v>44</v>
      </c>
      <c r="U228" s="60" t="str">
        <f t="shared" ca="1" si="52"/>
        <v>In progress: Below 60 Months</v>
      </c>
      <c r="V228" s="60" t="str">
        <f t="shared" ca="1" si="53"/>
        <v>In progress: Below 60 Months</v>
      </c>
    </row>
    <row r="229" spans="1:22" ht="16" x14ac:dyDescent="0.45">
      <c r="A229" s="59">
        <v>228</v>
      </c>
      <c r="B229" s="59" t="s">
        <v>873</v>
      </c>
      <c r="C229" s="59" t="s">
        <v>874</v>
      </c>
      <c r="D229" s="59" t="s">
        <v>875</v>
      </c>
      <c r="E229" s="59" t="s">
        <v>854</v>
      </c>
      <c r="F229" s="59" t="s">
        <v>42</v>
      </c>
      <c r="G229" s="59">
        <v>11</v>
      </c>
      <c r="H229" s="59" t="s">
        <v>856</v>
      </c>
      <c r="I229" s="59" t="s">
        <v>857</v>
      </c>
      <c r="J229" s="59"/>
      <c r="K229" s="61"/>
      <c r="L229" s="61">
        <v>45717</v>
      </c>
      <c r="M229" s="15">
        <f t="shared" ca="1" si="37"/>
        <v>46175</v>
      </c>
      <c r="N229" s="14">
        <f t="shared" ca="1" si="51"/>
        <v>16</v>
      </c>
      <c r="O229" s="61"/>
      <c r="P229" s="61"/>
      <c r="Q229" s="59"/>
      <c r="R229" s="12">
        <f t="shared" ca="1" si="38"/>
        <v>16</v>
      </c>
      <c r="S229" s="61"/>
      <c r="T229" s="59" t="s">
        <v>44</v>
      </c>
      <c r="U229" s="60" t="str">
        <f t="shared" ca="1" si="52"/>
        <v>In progress: Below 60 Months</v>
      </c>
      <c r="V229" s="60" t="str">
        <f t="shared" ca="1" si="53"/>
        <v>In progress: Below 60 Months</v>
      </c>
    </row>
    <row r="230" spans="1:22" ht="16" x14ac:dyDescent="0.45">
      <c r="A230" s="59">
        <v>229</v>
      </c>
      <c r="B230" s="59" t="s">
        <v>876</v>
      </c>
      <c r="C230" s="59" t="s">
        <v>877</v>
      </c>
      <c r="D230" s="59"/>
      <c r="E230" s="59" t="s">
        <v>878</v>
      </c>
      <c r="F230" s="59" t="s">
        <v>42</v>
      </c>
      <c r="G230" s="59">
        <v>11</v>
      </c>
      <c r="H230" s="59" t="s">
        <v>117</v>
      </c>
      <c r="I230" s="59" t="s">
        <v>11</v>
      </c>
      <c r="J230" s="59" t="s">
        <v>11</v>
      </c>
      <c r="K230" s="61"/>
      <c r="L230" s="61">
        <v>45717</v>
      </c>
      <c r="M230" s="15">
        <f t="shared" ca="1" si="37"/>
        <v>46175</v>
      </c>
      <c r="N230" s="14">
        <f t="shared" ca="1" si="51"/>
        <v>16</v>
      </c>
      <c r="O230" s="61"/>
      <c r="P230" s="61"/>
      <c r="Q230" s="59"/>
      <c r="R230" s="12">
        <f t="shared" ca="1" si="38"/>
        <v>16</v>
      </c>
      <c r="S230" s="61"/>
      <c r="T230" s="59" t="s">
        <v>44</v>
      </c>
      <c r="U230" s="60" t="str">
        <f t="shared" ca="1" si="52"/>
        <v>In progress: Below 60 Months</v>
      </c>
      <c r="V230" s="60" t="str">
        <f t="shared" ca="1" si="53"/>
        <v>In progress: Below 60 Months</v>
      </c>
    </row>
    <row r="231" spans="1:22" ht="16" x14ac:dyDescent="0.4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7"/>
        <v>46175</v>
      </c>
      <c r="N231" s="14">
        <f t="shared" ca="1" si="51"/>
        <v>16</v>
      </c>
      <c r="O231" s="61"/>
      <c r="P231" s="61"/>
      <c r="Q231" s="59"/>
      <c r="R231" s="12">
        <f t="shared" ca="1" si="38"/>
        <v>16</v>
      </c>
      <c r="S231" s="61"/>
      <c r="T231" s="59" t="s">
        <v>44</v>
      </c>
      <c r="U231" s="60" t="str">
        <f t="shared" ca="1" si="52"/>
        <v>In progress: Below 60 Months</v>
      </c>
      <c r="V231" s="60" t="str">
        <f t="shared" ca="1" si="53"/>
        <v>In progress: Below 60 Months</v>
      </c>
    </row>
    <row r="232" spans="1:22" ht="16" x14ac:dyDescent="0.45">
      <c r="A232" s="59">
        <v>231</v>
      </c>
      <c r="B232" s="59" t="s">
        <v>883</v>
      </c>
      <c r="C232" s="59" t="s">
        <v>508</v>
      </c>
      <c r="D232" s="59" t="s">
        <v>884</v>
      </c>
      <c r="E232" s="59" t="s">
        <v>885</v>
      </c>
      <c r="F232" s="59" t="s">
        <v>41</v>
      </c>
      <c r="G232" s="59">
        <v>11</v>
      </c>
      <c r="H232" s="59" t="s">
        <v>132</v>
      </c>
      <c r="I232" s="59" t="s">
        <v>17</v>
      </c>
      <c r="J232" s="59"/>
      <c r="K232" s="61"/>
      <c r="L232" s="61">
        <v>45717</v>
      </c>
      <c r="M232" s="15">
        <f t="shared" ca="1" si="37"/>
        <v>46175</v>
      </c>
      <c r="N232" s="14">
        <f t="shared" ca="1" si="51"/>
        <v>16</v>
      </c>
      <c r="O232" s="61"/>
      <c r="P232" s="61"/>
      <c r="Q232" s="59"/>
      <c r="R232" s="12">
        <f t="shared" ca="1" si="38"/>
        <v>16</v>
      </c>
      <c r="S232" s="61"/>
      <c r="T232" s="59" t="s">
        <v>44</v>
      </c>
      <c r="U232" s="60" t="str">
        <f t="shared" ca="1" si="52"/>
        <v>In progress: Below 60 Months</v>
      </c>
      <c r="V232" s="60" t="str">
        <f t="shared" ca="1" si="53"/>
        <v>In progress: Below 60 Months</v>
      </c>
    </row>
    <row r="233" spans="1:22" ht="16" x14ac:dyDescent="0.4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7"/>
        <v>46175</v>
      </c>
      <c r="N233" s="14">
        <f t="shared" ca="1" si="51"/>
        <v>16</v>
      </c>
      <c r="O233" s="61"/>
      <c r="P233" s="61"/>
      <c r="Q233" s="59"/>
      <c r="R233" s="12">
        <f t="shared" ca="1" si="38"/>
        <v>16</v>
      </c>
      <c r="S233" s="61"/>
      <c r="T233" s="59" t="s">
        <v>44</v>
      </c>
      <c r="U233" s="60" t="str">
        <f t="shared" ca="1" si="52"/>
        <v>In progress: Below 60 Months</v>
      </c>
      <c r="V233" s="60" t="str">
        <f t="shared" ca="1" si="53"/>
        <v>In progress: Below 60 Months</v>
      </c>
    </row>
    <row r="234" spans="1:22" ht="16" x14ac:dyDescent="0.4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7"/>
        <v>46175</v>
      </c>
      <c r="N234" s="14">
        <f t="shared" ca="1" si="51"/>
        <v>16</v>
      </c>
      <c r="O234" s="61"/>
      <c r="P234" s="61"/>
      <c r="Q234" s="59"/>
      <c r="R234" s="12">
        <f t="shared" ca="1" si="38"/>
        <v>16</v>
      </c>
      <c r="S234" s="61"/>
      <c r="T234" s="59" t="s">
        <v>44</v>
      </c>
      <c r="U234" s="60" t="str">
        <f t="shared" ca="1" si="52"/>
        <v>In progress: Below 60 Months</v>
      </c>
      <c r="V234" s="60" t="str">
        <f t="shared" ca="1" si="53"/>
        <v>In progress: Below 60 Months</v>
      </c>
    </row>
    <row r="235" spans="1:22" ht="16" x14ac:dyDescent="0.4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7"/>
        <v>46175</v>
      </c>
      <c r="N235" s="14">
        <f t="shared" ca="1" si="51"/>
        <v>16</v>
      </c>
      <c r="O235" s="61"/>
      <c r="P235" s="61"/>
      <c r="Q235" s="59"/>
      <c r="R235" s="12">
        <f t="shared" ca="1" si="38"/>
        <v>16</v>
      </c>
      <c r="S235" s="61"/>
      <c r="T235" s="59" t="s">
        <v>44</v>
      </c>
      <c r="U235" s="60" t="str">
        <f t="shared" ca="1" si="52"/>
        <v>In progress: Below 60 Months</v>
      </c>
      <c r="V235" s="60" t="str">
        <f t="shared" ca="1" si="53"/>
        <v>In progress: Below 60 Months</v>
      </c>
    </row>
    <row r="236" spans="1:22" ht="16" x14ac:dyDescent="0.4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7"/>
        <v>46175</v>
      </c>
      <c r="N236" s="14">
        <f t="shared" ca="1" si="51"/>
        <v>16</v>
      </c>
      <c r="O236" s="61"/>
      <c r="P236" s="61"/>
      <c r="Q236" s="59"/>
      <c r="R236" s="12">
        <f t="shared" ca="1" si="38"/>
        <v>16</v>
      </c>
      <c r="S236" s="61"/>
      <c r="T236" s="59" t="s">
        <v>44</v>
      </c>
      <c r="U236" s="60" t="str">
        <f t="shared" ca="1" si="52"/>
        <v>In progress: Below 60 Months</v>
      </c>
      <c r="V236" s="60" t="str">
        <f t="shared" ca="1" si="53"/>
        <v>In progress: Below 60 Months</v>
      </c>
    </row>
    <row r="237" spans="1:22" ht="16" x14ac:dyDescent="0.4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7"/>
        <v>46175</v>
      </c>
      <c r="N237" s="14">
        <f t="shared" ca="1" si="51"/>
        <v>16</v>
      </c>
      <c r="O237" s="61"/>
      <c r="P237" s="61"/>
      <c r="Q237" s="59"/>
      <c r="R237" s="12">
        <f t="shared" ca="1" si="38"/>
        <v>16</v>
      </c>
      <c r="S237" s="61"/>
      <c r="T237" s="59" t="s">
        <v>44</v>
      </c>
      <c r="U237" s="60" t="str">
        <f t="shared" ca="1" si="52"/>
        <v>In progress: Below 60 Months</v>
      </c>
      <c r="V237" s="60" t="str">
        <f t="shared" ca="1" si="53"/>
        <v>In progress: Below 60 Months</v>
      </c>
    </row>
    <row r="238" spans="1:22" ht="16" x14ac:dyDescent="0.45">
      <c r="A238" s="59">
        <v>237</v>
      </c>
      <c r="B238" s="59" t="s">
        <v>906</v>
      </c>
      <c r="C238" s="59" t="s">
        <v>907</v>
      </c>
      <c r="D238" s="59" t="s">
        <v>908</v>
      </c>
      <c r="E238" s="59" t="s">
        <v>909</v>
      </c>
      <c r="F238" s="59" t="s">
        <v>42</v>
      </c>
      <c r="G238" s="59">
        <v>11</v>
      </c>
      <c r="H238" s="59" t="s">
        <v>125</v>
      </c>
      <c r="I238" s="59" t="s">
        <v>16</v>
      </c>
      <c r="J238" s="59"/>
      <c r="K238" s="61"/>
      <c r="L238" s="61">
        <v>45717</v>
      </c>
      <c r="M238" s="15">
        <f t="shared" ca="1" si="37"/>
        <v>46175</v>
      </c>
      <c r="N238" s="14">
        <f t="shared" ca="1" si="51"/>
        <v>16</v>
      </c>
      <c r="O238" s="61"/>
      <c r="P238" s="61"/>
      <c r="Q238" s="59"/>
      <c r="R238" s="12">
        <f t="shared" ca="1" si="38"/>
        <v>16</v>
      </c>
      <c r="S238" s="61"/>
      <c r="T238" s="59" t="s">
        <v>44</v>
      </c>
      <c r="U238" s="60" t="str">
        <f t="shared" ca="1" si="52"/>
        <v>In progress: Below 60 Months</v>
      </c>
      <c r="V238" s="60" t="str">
        <f t="shared" ca="1" si="53"/>
        <v>In progress: Below 60 Months</v>
      </c>
    </row>
    <row r="239" spans="1:22" ht="16" x14ac:dyDescent="0.45">
      <c r="A239" s="59">
        <v>239</v>
      </c>
      <c r="B239" s="59" t="s">
        <v>910</v>
      </c>
      <c r="C239" s="59" t="s">
        <v>911</v>
      </c>
      <c r="D239" s="59"/>
      <c r="E239" s="59" t="s">
        <v>912</v>
      </c>
      <c r="F239" s="59" t="s">
        <v>41</v>
      </c>
      <c r="G239" s="59">
        <v>11</v>
      </c>
      <c r="H239" s="59" t="s">
        <v>121</v>
      </c>
      <c r="I239" s="59" t="s">
        <v>18</v>
      </c>
      <c r="J239" s="59"/>
      <c r="K239" s="61"/>
      <c r="L239" s="61">
        <v>45717</v>
      </c>
      <c r="M239" s="15">
        <f t="shared" ca="1" si="37"/>
        <v>46175</v>
      </c>
      <c r="N239" s="14">
        <f t="shared" ca="1" si="51"/>
        <v>16</v>
      </c>
      <c r="O239" s="61"/>
      <c r="P239" s="61"/>
      <c r="Q239" s="59"/>
      <c r="R239" s="12">
        <f t="shared" ca="1" si="38"/>
        <v>16</v>
      </c>
      <c r="S239" s="61"/>
      <c r="T239" s="59" t="s">
        <v>44</v>
      </c>
      <c r="U239" s="60" t="str">
        <f t="shared" ca="1" si="52"/>
        <v>In progress: Below 60 Months</v>
      </c>
      <c r="V239" s="60" t="str">
        <f t="shared" ca="1" si="53"/>
        <v>In progress: Below 60 Months</v>
      </c>
    </row>
    <row r="240" spans="1:22" ht="16" x14ac:dyDescent="0.45">
      <c r="A240" s="59">
        <v>240</v>
      </c>
      <c r="B240" s="59" t="s">
        <v>913</v>
      </c>
      <c r="C240" s="59" t="s">
        <v>914</v>
      </c>
      <c r="D240" s="59" t="s">
        <v>915</v>
      </c>
      <c r="E240" s="59" t="s">
        <v>916</v>
      </c>
      <c r="F240" s="59" t="s">
        <v>41</v>
      </c>
      <c r="G240" s="59">
        <v>11</v>
      </c>
      <c r="H240" s="59" t="s">
        <v>112</v>
      </c>
      <c r="I240" s="59" t="s">
        <v>10</v>
      </c>
      <c r="J240" s="59"/>
      <c r="K240" s="61"/>
      <c r="L240" s="61">
        <v>45717</v>
      </c>
      <c r="M240" s="15">
        <f t="shared" ca="1" si="37"/>
        <v>46175</v>
      </c>
      <c r="N240" s="14">
        <f t="shared" ca="1" si="51"/>
        <v>16</v>
      </c>
      <c r="O240" s="61"/>
      <c r="P240" s="61"/>
      <c r="Q240" s="59"/>
      <c r="R240" s="12">
        <f t="shared" ca="1" si="38"/>
        <v>16</v>
      </c>
      <c r="S240" s="61"/>
      <c r="T240" s="59" t="s">
        <v>44</v>
      </c>
      <c r="U240" s="60" t="str">
        <f t="shared" ca="1" si="52"/>
        <v>In progress: Below 60 Months</v>
      </c>
      <c r="V240" s="60" t="str">
        <f t="shared" ca="1" si="53"/>
        <v>In progress: Below 60 Months</v>
      </c>
    </row>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5" x14ac:dyDescent="0.35"/>
  <cols>
    <col min="1" max="1" width="40.54296875" bestFit="1" customWidth="1"/>
    <col min="2" max="2" width="13.81640625" bestFit="1" customWidth="1"/>
    <col min="3" max="11" width="3.26953125" bestFit="1" customWidth="1"/>
    <col min="12" max="12" width="11.7265625" bestFit="1" customWidth="1"/>
    <col min="13" max="21" width="9.26953125" bestFit="1" customWidth="1"/>
    <col min="22" max="22" width="10.7265625" bestFit="1" customWidth="1"/>
    <col min="23" max="23" width="6.81640625" bestFit="1" customWidth="1"/>
    <col min="24" max="24" width="5" bestFit="1" customWidth="1"/>
    <col min="25" max="25" width="6.54296875" bestFit="1" customWidth="1"/>
    <col min="26" max="26" width="6.81640625" bestFit="1" customWidth="1"/>
    <col min="27" max="27" width="5" bestFit="1" customWidth="1"/>
    <col min="28" max="28" width="6.54296875" bestFit="1" customWidth="1"/>
    <col min="29" max="29" width="6.81640625" bestFit="1" customWidth="1"/>
    <col min="30" max="30" width="5" bestFit="1" customWidth="1"/>
    <col min="31" max="31" width="7.54296875" bestFit="1" customWidth="1"/>
    <col min="32" max="32" width="10.7265625" bestFit="1" customWidth="1"/>
  </cols>
  <sheetData>
    <row r="1" spans="1:12" x14ac:dyDescent="0.35">
      <c r="A1" s="2" t="s">
        <v>37</v>
      </c>
      <c r="B1" t="s">
        <v>38</v>
      </c>
    </row>
    <row r="3" spans="1:12" x14ac:dyDescent="0.35">
      <c r="A3" s="2" t="s">
        <v>1</v>
      </c>
      <c r="B3" s="2" t="s">
        <v>51</v>
      </c>
    </row>
    <row r="4" spans="1:12" x14ac:dyDescent="0.35">
      <c r="A4" s="2" t="s">
        <v>2</v>
      </c>
      <c r="B4">
        <v>1</v>
      </c>
      <c r="C4">
        <v>2</v>
      </c>
      <c r="D4">
        <v>3</v>
      </c>
      <c r="E4">
        <v>4</v>
      </c>
      <c r="F4">
        <v>5</v>
      </c>
      <c r="G4">
        <v>6</v>
      </c>
      <c r="H4">
        <v>7</v>
      </c>
      <c r="I4">
        <v>8</v>
      </c>
      <c r="J4">
        <v>9</v>
      </c>
      <c r="K4">
        <v>10</v>
      </c>
      <c r="L4" t="s">
        <v>7</v>
      </c>
    </row>
    <row r="5" spans="1:12" x14ac:dyDescent="0.35">
      <c r="A5" t="s">
        <v>6</v>
      </c>
      <c r="B5">
        <v>6</v>
      </c>
      <c r="C5">
        <v>6</v>
      </c>
      <c r="D5">
        <v>10</v>
      </c>
      <c r="E5">
        <v>6</v>
      </c>
      <c r="F5">
        <v>3</v>
      </c>
      <c r="G5">
        <v>12</v>
      </c>
      <c r="H5">
        <v>11</v>
      </c>
      <c r="I5">
        <v>6</v>
      </c>
      <c r="J5">
        <v>3</v>
      </c>
      <c r="K5">
        <v>5</v>
      </c>
      <c r="L5">
        <v>68</v>
      </c>
    </row>
    <row r="6" spans="1:12" x14ac:dyDescent="0.35">
      <c r="A6" t="s">
        <v>5</v>
      </c>
      <c r="B6">
        <v>14</v>
      </c>
      <c r="C6">
        <v>9</v>
      </c>
      <c r="D6">
        <v>8</v>
      </c>
      <c r="E6">
        <v>19</v>
      </c>
      <c r="F6">
        <v>15</v>
      </c>
      <c r="G6">
        <v>12</v>
      </c>
      <c r="H6">
        <v>13</v>
      </c>
      <c r="I6">
        <v>11</v>
      </c>
      <c r="J6">
        <v>13</v>
      </c>
      <c r="K6">
        <v>13</v>
      </c>
      <c r="L6">
        <v>127</v>
      </c>
    </row>
    <row r="7" spans="1:12" x14ac:dyDescent="0.35">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5" x14ac:dyDescent="0.35"/>
  <cols>
    <col min="1" max="1" width="43.453125" bestFit="1" customWidth="1"/>
    <col min="2" max="2" width="10.81640625" bestFit="1" customWidth="1"/>
    <col min="3" max="3" width="5.7265625" bestFit="1" customWidth="1"/>
    <col min="4" max="4" width="11.7265625" bestFit="1" customWidth="1"/>
    <col min="5" max="5" width="10.7265625" bestFit="1" customWidth="1"/>
    <col min="10" max="10" width="20.54296875" customWidth="1"/>
    <col min="11" max="11" width="13" bestFit="1" customWidth="1"/>
  </cols>
  <sheetData>
    <row r="4" spans="1:4" x14ac:dyDescent="0.35">
      <c r="A4" s="2" t="s">
        <v>37</v>
      </c>
      <c r="B4" t="s">
        <v>917</v>
      </c>
    </row>
    <row r="6" spans="1:4" x14ac:dyDescent="0.35">
      <c r="A6" s="2" t="s">
        <v>1</v>
      </c>
      <c r="B6" s="2" t="s">
        <v>50</v>
      </c>
    </row>
    <row r="7" spans="1:4" x14ac:dyDescent="0.35">
      <c r="A7" s="2" t="s">
        <v>61</v>
      </c>
      <c r="B7" t="s">
        <v>41</v>
      </c>
      <c r="C7" t="s">
        <v>42</v>
      </c>
      <c r="D7" t="s">
        <v>7</v>
      </c>
    </row>
    <row r="8" spans="1:4" x14ac:dyDescent="0.35">
      <c r="A8" t="s">
        <v>918</v>
      </c>
      <c r="B8">
        <v>26</v>
      </c>
      <c r="C8">
        <v>19</v>
      </c>
      <c r="D8">
        <v>45</v>
      </c>
    </row>
    <row r="9" spans="1:4" x14ac:dyDescent="0.35">
      <c r="A9" t="s">
        <v>919</v>
      </c>
      <c r="B9">
        <v>1</v>
      </c>
      <c r="C9">
        <v>2</v>
      </c>
      <c r="D9">
        <v>3</v>
      </c>
    </row>
    <row r="10" spans="1:4" x14ac:dyDescent="0.35">
      <c r="A10" t="s">
        <v>920</v>
      </c>
      <c r="B10">
        <v>2</v>
      </c>
      <c r="C10">
        <v>3</v>
      </c>
      <c r="D10">
        <v>5</v>
      </c>
    </row>
    <row r="11" spans="1:4" x14ac:dyDescent="0.35">
      <c r="A11" t="s">
        <v>921</v>
      </c>
      <c r="B11">
        <v>2</v>
      </c>
      <c r="C11">
        <v>6</v>
      </c>
      <c r="D11">
        <v>8</v>
      </c>
    </row>
    <row r="12" spans="1:4" x14ac:dyDescent="0.35">
      <c r="A12" t="s">
        <v>922</v>
      </c>
      <c r="B12">
        <v>7</v>
      </c>
      <c r="C12">
        <v>9</v>
      </c>
      <c r="D12">
        <v>16</v>
      </c>
    </row>
    <row r="13" spans="1:4" x14ac:dyDescent="0.35">
      <c r="A13" t="s">
        <v>923</v>
      </c>
      <c r="B13">
        <v>8</v>
      </c>
      <c r="C13">
        <v>7</v>
      </c>
      <c r="D13">
        <v>15</v>
      </c>
    </row>
    <row r="14" spans="1:4" x14ac:dyDescent="0.35">
      <c r="A14" t="s">
        <v>924</v>
      </c>
      <c r="B14">
        <v>7</v>
      </c>
      <c r="C14">
        <v>9</v>
      </c>
      <c r="D14">
        <v>16</v>
      </c>
    </row>
    <row r="15" spans="1:4" x14ac:dyDescent="0.35">
      <c r="A15" t="s">
        <v>925</v>
      </c>
      <c r="B15">
        <v>13</v>
      </c>
      <c r="C15">
        <v>11</v>
      </c>
      <c r="D15">
        <v>24</v>
      </c>
    </row>
    <row r="16" spans="1:4" x14ac:dyDescent="0.35">
      <c r="A16" t="s">
        <v>926</v>
      </c>
      <c r="B16">
        <v>6</v>
      </c>
      <c r="C16">
        <v>4</v>
      </c>
      <c r="D16">
        <v>10</v>
      </c>
    </row>
    <row r="17" spans="1:4" x14ac:dyDescent="0.35">
      <c r="A17" t="s">
        <v>927</v>
      </c>
      <c r="B17">
        <v>20</v>
      </c>
      <c r="C17">
        <v>10</v>
      </c>
      <c r="D17">
        <v>30</v>
      </c>
    </row>
    <row r="18" spans="1:4" x14ac:dyDescent="0.35">
      <c r="A18" t="s">
        <v>928</v>
      </c>
      <c r="B18">
        <v>11</v>
      </c>
      <c r="C18">
        <v>3</v>
      </c>
      <c r="D18">
        <v>14</v>
      </c>
    </row>
    <row r="19" spans="1:4" x14ac:dyDescent="0.35">
      <c r="A19" t="s">
        <v>929</v>
      </c>
      <c r="B19">
        <v>13</v>
      </c>
      <c r="C19">
        <v>9</v>
      </c>
      <c r="D19">
        <v>22</v>
      </c>
    </row>
    <row r="20" spans="1:4" x14ac:dyDescent="0.35">
      <c r="A20" t="s">
        <v>930</v>
      </c>
      <c r="B20">
        <v>10</v>
      </c>
      <c r="C20">
        <v>10</v>
      </c>
      <c r="D20">
        <v>20</v>
      </c>
    </row>
    <row r="21" spans="1:4" x14ac:dyDescent="0.35">
      <c r="A21" t="s">
        <v>931</v>
      </c>
      <c r="B21">
        <v>9</v>
      </c>
      <c r="C21">
        <v>3</v>
      </c>
      <c r="D21">
        <v>12</v>
      </c>
    </row>
    <row r="22" spans="1:4" x14ac:dyDescent="0.35">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5" x14ac:dyDescent="0.35"/>
  <cols>
    <col min="1" max="1" width="40.1796875" bestFit="1" customWidth="1"/>
    <col min="2" max="7" width="10.453125" customWidth="1"/>
    <col min="8" max="8" width="11" customWidth="1"/>
    <col min="9" max="9" width="10.7265625" bestFit="1" customWidth="1"/>
    <col min="10" max="10" width="41.81640625" bestFit="1" customWidth="1"/>
    <col min="11" max="12" width="28.26953125" bestFit="1" customWidth="1"/>
    <col min="13" max="13" width="19" customWidth="1"/>
    <col min="14" max="14" width="19.453125" customWidth="1"/>
    <col min="15" max="15" width="11.7265625" bestFit="1" customWidth="1"/>
    <col min="16" max="16" width="6" bestFit="1" customWidth="1"/>
    <col min="17" max="17" width="19.453125" bestFit="1" customWidth="1"/>
    <col min="18" max="18" width="4.81640625" bestFit="1" customWidth="1"/>
    <col min="19" max="19" width="9.26953125" bestFit="1" customWidth="1"/>
    <col min="20" max="20" width="7.7265625" bestFit="1" customWidth="1"/>
  </cols>
  <sheetData>
    <row r="2" spans="1:15" x14ac:dyDescent="0.35">
      <c r="A2" s="2" t="s">
        <v>2</v>
      </c>
      <c r="B2" t="s">
        <v>917</v>
      </c>
    </row>
    <row r="3" spans="1:15" x14ac:dyDescent="0.35">
      <c r="J3" s="2" t="s">
        <v>37</v>
      </c>
      <c r="K3" t="s">
        <v>917</v>
      </c>
    </row>
    <row r="4" spans="1:15" x14ac:dyDescent="0.35">
      <c r="B4" s="2" t="s">
        <v>37</v>
      </c>
      <c r="C4" s="2" t="s">
        <v>932</v>
      </c>
    </row>
    <row r="5" spans="1:15" x14ac:dyDescent="0.35">
      <c r="B5" t="s">
        <v>38</v>
      </c>
      <c r="D5" t="s">
        <v>44</v>
      </c>
      <c r="F5" t="s">
        <v>933</v>
      </c>
      <c r="G5" t="s">
        <v>934</v>
      </c>
      <c r="J5" s="2" t="s">
        <v>45</v>
      </c>
      <c r="K5" s="2" t="s">
        <v>2</v>
      </c>
    </row>
    <row r="6" spans="1:15" x14ac:dyDescent="0.35">
      <c r="A6" s="2" t="s">
        <v>3</v>
      </c>
      <c r="B6" t="s">
        <v>45</v>
      </c>
      <c r="C6" t="s">
        <v>935</v>
      </c>
      <c r="D6" t="s">
        <v>45</v>
      </c>
      <c r="E6" t="s">
        <v>935</v>
      </c>
      <c r="H6" s="8"/>
      <c r="J6" s="38" t="s">
        <v>3</v>
      </c>
      <c r="K6" s="74" t="s">
        <v>4</v>
      </c>
      <c r="L6" s="37" t="s">
        <v>936</v>
      </c>
      <c r="M6" s="37" t="s">
        <v>5</v>
      </c>
      <c r="N6" s="37" t="s">
        <v>6</v>
      </c>
      <c r="O6" s="37" t="s">
        <v>7</v>
      </c>
    </row>
    <row r="7" spans="1:15" x14ac:dyDescent="0.35">
      <c r="A7" t="s">
        <v>8</v>
      </c>
      <c r="B7">
        <v>1</v>
      </c>
      <c r="C7" s="8">
        <v>0.5</v>
      </c>
      <c r="D7">
        <v>1</v>
      </c>
      <c r="E7" s="8">
        <v>0.5</v>
      </c>
      <c r="F7">
        <v>2</v>
      </c>
      <c r="G7" s="8">
        <v>1</v>
      </c>
      <c r="H7" s="8"/>
      <c r="J7" s="32" t="s">
        <v>8</v>
      </c>
      <c r="K7" s="71"/>
      <c r="L7" s="33">
        <v>1</v>
      </c>
      <c r="M7" s="33">
        <v>1</v>
      </c>
      <c r="N7" s="33"/>
      <c r="O7" s="33">
        <v>2</v>
      </c>
    </row>
    <row r="8" spans="1:15" x14ac:dyDescent="0.35">
      <c r="A8" t="s">
        <v>9</v>
      </c>
      <c r="B8">
        <v>4</v>
      </c>
      <c r="C8" s="8">
        <v>1</v>
      </c>
      <c r="E8" s="8">
        <v>0</v>
      </c>
      <c r="F8">
        <v>4</v>
      </c>
      <c r="G8" s="8">
        <v>1</v>
      </c>
      <c r="H8" s="8"/>
      <c r="J8" s="34" t="s">
        <v>9</v>
      </c>
      <c r="K8" s="72"/>
      <c r="L8" s="75"/>
      <c r="M8" s="75">
        <v>4</v>
      </c>
      <c r="N8" s="75"/>
      <c r="O8" s="75">
        <v>4</v>
      </c>
    </row>
    <row r="9" spans="1:15" x14ac:dyDescent="0.35">
      <c r="A9" t="s">
        <v>10</v>
      </c>
      <c r="B9">
        <v>7</v>
      </c>
      <c r="C9" s="8">
        <v>0.875</v>
      </c>
      <c r="D9">
        <v>1</v>
      </c>
      <c r="E9" s="8">
        <v>0.125</v>
      </c>
      <c r="F9">
        <v>8</v>
      </c>
      <c r="G9" s="8">
        <v>1</v>
      </c>
      <c r="H9" s="8"/>
      <c r="J9" s="34" t="s">
        <v>10</v>
      </c>
      <c r="K9" s="72"/>
      <c r="L9" s="75">
        <v>1</v>
      </c>
      <c r="M9" s="75">
        <v>7</v>
      </c>
      <c r="N9" s="75"/>
      <c r="O9" s="75">
        <v>8</v>
      </c>
    </row>
    <row r="10" spans="1:15" x14ac:dyDescent="0.3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x14ac:dyDescent="0.35">
      <c r="A11" t="s">
        <v>12</v>
      </c>
      <c r="B11">
        <v>13</v>
      </c>
      <c r="C11" s="8">
        <v>0.65</v>
      </c>
      <c r="D11">
        <v>7</v>
      </c>
      <c r="E11" s="8">
        <v>0.35</v>
      </c>
      <c r="F11">
        <v>20</v>
      </c>
      <c r="G11" s="8">
        <v>1</v>
      </c>
      <c r="H11" s="8"/>
      <c r="J11" s="34" t="s">
        <v>12</v>
      </c>
      <c r="K11" s="72">
        <v>6</v>
      </c>
      <c r="L11" s="75">
        <v>1</v>
      </c>
      <c r="M11" s="75">
        <v>8</v>
      </c>
      <c r="N11" s="75">
        <v>5</v>
      </c>
      <c r="O11" s="75">
        <v>20</v>
      </c>
    </row>
    <row r="12" spans="1:15" x14ac:dyDescent="0.3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x14ac:dyDescent="0.35">
      <c r="A13" t="s">
        <v>14</v>
      </c>
      <c r="B13">
        <v>4</v>
      </c>
      <c r="C13" s="8">
        <v>1</v>
      </c>
      <c r="E13" s="8">
        <v>0</v>
      </c>
      <c r="F13">
        <v>4</v>
      </c>
      <c r="G13" s="8">
        <v>1</v>
      </c>
      <c r="H13" s="8"/>
      <c r="J13" s="34" t="s">
        <v>14</v>
      </c>
      <c r="K13" s="72"/>
      <c r="L13" s="75"/>
      <c r="M13" s="75">
        <v>2</v>
      </c>
      <c r="N13" s="75">
        <v>2</v>
      </c>
      <c r="O13" s="75">
        <v>4</v>
      </c>
    </row>
    <row r="14" spans="1:15" x14ac:dyDescent="0.3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x14ac:dyDescent="0.35">
      <c r="A15" t="s">
        <v>16</v>
      </c>
      <c r="B15">
        <v>24</v>
      </c>
      <c r="C15" s="8">
        <v>0.8</v>
      </c>
      <c r="D15">
        <v>6</v>
      </c>
      <c r="E15" s="8">
        <v>0.2</v>
      </c>
      <c r="F15">
        <v>30</v>
      </c>
      <c r="G15" s="8">
        <v>1</v>
      </c>
      <c r="H15" s="8"/>
      <c r="J15" s="34" t="s">
        <v>16</v>
      </c>
      <c r="K15" s="72">
        <v>3</v>
      </c>
      <c r="L15" s="75">
        <v>3</v>
      </c>
      <c r="M15" s="75">
        <v>16</v>
      </c>
      <c r="N15" s="75">
        <v>8</v>
      </c>
      <c r="O15" s="75">
        <v>30</v>
      </c>
    </row>
    <row r="16" spans="1:15" x14ac:dyDescent="0.3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x14ac:dyDescent="0.3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x14ac:dyDescent="0.35">
      <c r="A18" t="s">
        <v>19</v>
      </c>
      <c r="B18">
        <v>25</v>
      </c>
      <c r="C18" s="8">
        <v>0.96153846153846156</v>
      </c>
      <c r="D18">
        <v>1</v>
      </c>
      <c r="E18" s="8">
        <v>3.8461538461538464E-2</v>
      </c>
      <c r="F18">
        <v>26</v>
      </c>
      <c r="G18" s="8">
        <v>1</v>
      </c>
      <c r="H18" s="8"/>
      <c r="J18" s="34" t="s">
        <v>19</v>
      </c>
      <c r="K18" s="72">
        <v>1</v>
      </c>
      <c r="L18" s="75"/>
      <c r="M18" s="75">
        <v>19</v>
      </c>
      <c r="N18" s="75">
        <v>6</v>
      </c>
      <c r="O18" s="75">
        <v>26</v>
      </c>
    </row>
    <row r="19" spans="1:15" x14ac:dyDescent="0.35">
      <c r="A19" t="s">
        <v>857</v>
      </c>
      <c r="C19" s="8">
        <v>0</v>
      </c>
      <c r="D19">
        <v>2</v>
      </c>
      <c r="E19" s="8">
        <v>1</v>
      </c>
      <c r="F19">
        <v>2</v>
      </c>
      <c r="G19" s="8">
        <v>1</v>
      </c>
      <c r="J19" s="35" t="s">
        <v>857</v>
      </c>
      <c r="K19" s="72"/>
      <c r="L19" s="75">
        <v>2</v>
      </c>
      <c r="M19" s="75"/>
      <c r="N19" s="75"/>
      <c r="O19" s="75">
        <v>2</v>
      </c>
    </row>
    <row r="20" spans="1:15" x14ac:dyDescent="0.35">
      <c r="A20" t="s">
        <v>7</v>
      </c>
      <c r="B20">
        <v>195</v>
      </c>
      <c r="C20" s="8">
        <v>0.8125</v>
      </c>
      <c r="D20">
        <v>45</v>
      </c>
      <c r="E20" s="8">
        <v>0.1875</v>
      </c>
      <c r="F20">
        <v>240</v>
      </c>
      <c r="G20" s="8">
        <v>1</v>
      </c>
      <c r="J20" s="36" t="s">
        <v>7</v>
      </c>
      <c r="K20" s="73">
        <v>25</v>
      </c>
      <c r="L20" s="27">
        <v>20</v>
      </c>
      <c r="M20" s="27">
        <v>127</v>
      </c>
      <c r="N20" s="27">
        <v>68</v>
      </c>
      <c r="O20" s="27">
        <v>240</v>
      </c>
    </row>
    <row r="23" spans="1:15" x14ac:dyDescent="0.35">
      <c r="A23" s="2" t="s">
        <v>2</v>
      </c>
      <c r="B23" t="s">
        <v>39</v>
      </c>
    </row>
    <row r="25" spans="1:15" x14ac:dyDescent="0.35">
      <c r="A25" s="2" t="s">
        <v>45</v>
      </c>
      <c r="B25" s="2" t="s">
        <v>50</v>
      </c>
    </row>
    <row r="26" spans="1:15" x14ac:dyDescent="0.35">
      <c r="A26" s="2" t="s">
        <v>3</v>
      </c>
      <c r="B26" t="s">
        <v>41</v>
      </c>
      <c r="C26" t="s">
        <v>42</v>
      </c>
      <c r="D26" t="s">
        <v>7</v>
      </c>
    </row>
    <row r="27" spans="1:15" x14ac:dyDescent="0.35">
      <c r="A27" t="s">
        <v>8</v>
      </c>
      <c r="C27">
        <v>1</v>
      </c>
      <c r="D27">
        <v>1</v>
      </c>
      <c r="J27" s="2" t="s">
        <v>1</v>
      </c>
      <c r="K27" s="2" t="s">
        <v>2</v>
      </c>
    </row>
    <row r="28" spans="1:15" x14ac:dyDescent="0.35">
      <c r="A28" t="s">
        <v>9</v>
      </c>
      <c r="B28">
        <v>1</v>
      </c>
      <c r="C28">
        <v>3</v>
      </c>
      <c r="D28">
        <v>4</v>
      </c>
      <c r="J28" s="2" t="s">
        <v>3</v>
      </c>
      <c r="K28" t="s">
        <v>4</v>
      </c>
      <c r="L28" t="s">
        <v>936</v>
      </c>
      <c r="M28" t="s">
        <v>5</v>
      </c>
      <c r="N28" t="s">
        <v>6</v>
      </c>
      <c r="O28" t="s">
        <v>7</v>
      </c>
    </row>
    <row r="29" spans="1:15" x14ac:dyDescent="0.35">
      <c r="A29" t="s">
        <v>10</v>
      </c>
      <c r="B29">
        <v>5</v>
      </c>
      <c r="C29">
        <v>2</v>
      </c>
      <c r="D29">
        <v>7</v>
      </c>
      <c r="J29" t="s">
        <v>8</v>
      </c>
      <c r="L29">
        <v>1</v>
      </c>
      <c r="M29">
        <v>1</v>
      </c>
      <c r="O29">
        <v>2</v>
      </c>
    </row>
    <row r="30" spans="1:15" x14ac:dyDescent="0.35">
      <c r="A30" t="s">
        <v>11</v>
      </c>
      <c r="B30">
        <v>6</v>
      </c>
      <c r="C30">
        <v>13</v>
      </c>
      <c r="D30">
        <v>19</v>
      </c>
      <c r="J30" t="s">
        <v>9</v>
      </c>
      <c r="M30">
        <v>4</v>
      </c>
      <c r="O30">
        <v>4</v>
      </c>
    </row>
    <row r="31" spans="1:15" x14ac:dyDescent="0.35">
      <c r="A31" t="s">
        <v>12</v>
      </c>
      <c r="B31">
        <v>11</v>
      </c>
      <c r="C31">
        <v>2</v>
      </c>
      <c r="D31">
        <v>13</v>
      </c>
      <c r="J31" t="s">
        <v>10</v>
      </c>
      <c r="L31">
        <v>1</v>
      </c>
      <c r="M31">
        <v>7</v>
      </c>
      <c r="O31">
        <v>8</v>
      </c>
    </row>
    <row r="32" spans="1:15" x14ac:dyDescent="0.35">
      <c r="A32" t="s">
        <v>13</v>
      </c>
      <c r="B32">
        <v>15</v>
      </c>
      <c r="C32">
        <v>14</v>
      </c>
      <c r="D32">
        <v>29</v>
      </c>
      <c r="J32" t="s">
        <v>11</v>
      </c>
      <c r="K32">
        <v>2</v>
      </c>
      <c r="L32">
        <v>2</v>
      </c>
      <c r="M32">
        <v>13</v>
      </c>
      <c r="N32">
        <v>6</v>
      </c>
      <c r="O32">
        <v>23</v>
      </c>
    </row>
    <row r="33" spans="1:15" x14ac:dyDescent="0.35">
      <c r="A33" t="s">
        <v>14</v>
      </c>
      <c r="B33">
        <v>2</v>
      </c>
      <c r="C33">
        <v>2</v>
      </c>
      <c r="D33">
        <v>4</v>
      </c>
      <c r="J33" t="s">
        <v>12</v>
      </c>
      <c r="K33">
        <v>6</v>
      </c>
      <c r="L33">
        <v>1</v>
      </c>
      <c r="M33">
        <v>8</v>
      </c>
      <c r="N33">
        <v>5</v>
      </c>
      <c r="O33">
        <v>20</v>
      </c>
    </row>
    <row r="34" spans="1:15" x14ac:dyDescent="0.35">
      <c r="A34" t="s">
        <v>15</v>
      </c>
      <c r="B34">
        <v>18</v>
      </c>
      <c r="C34">
        <v>14</v>
      </c>
      <c r="D34">
        <v>32</v>
      </c>
      <c r="J34" t="s">
        <v>13</v>
      </c>
      <c r="K34">
        <v>2</v>
      </c>
      <c r="L34">
        <v>2</v>
      </c>
      <c r="M34">
        <v>8</v>
      </c>
      <c r="N34">
        <v>21</v>
      </c>
      <c r="O34">
        <v>33</v>
      </c>
    </row>
    <row r="35" spans="1:15" x14ac:dyDescent="0.35">
      <c r="A35" t="s">
        <v>16</v>
      </c>
      <c r="B35">
        <v>9</v>
      </c>
      <c r="C35">
        <v>15</v>
      </c>
      <c r="D35">
        <v>24</v>
      </c>
      <c r="J35" t="s">
        <v>14</v>
      </c>
      <c r="M35">
        <v>2</v>
      </c>
      <c r="N35">
        <v>2</v>
      </c>
      <c r="O35">
        <v>4</v>
      </c>
    </row>
    <row r="36" spans="1:15" x14ac:dyDescent="0.35">
      <c r="A36" t="s">
        <v>17</v>
      </c>
      <c r="B36">
        <v>14</v>
      </c>
      <c r="C36">
        <v>3</v>
      </c>
      <c r="D36">
        <v>17</v>
      </c>
      <c r="J36" t="s">
        <v>15</v>
      </c>
      <c r="K36">
        <v>4</v>
      </c>
      <c r="L36">
        <v>3</v>
      </c>
      <c r="M36">
        <v>19</v>
      </c>
      <c r="N36">
        <v>13</v>
      </c>
      <c r="O36">
        <v>39</v>
      </c>
    </row>
    <row r="37" spans="1:15" x14ac:dyDescent="0.35">
      <c r="A37" t="s">
        <v>18</v>
      </c>
      <c r="B37">
        <v>10</v>
      </c>
      <c r="C37">
        <v>10</v>
      </c>
      <c r="D37">
        <v>20</v>
      </c>
      <c r="J37" t="s">
        <v>16</v>
      </c>
      <c r="K37">
        <v>3</v>
      </c>
      <c r="L37">
        <v>3</v>
      </c>
      <c r="M37">
        <v>16</v>
      </c>
      <c r="N37">
        <v>8</v>
      </c>
      <c r="O37">
        <v>30</v>
      </c>
    </row>
    <row r="38" spans="1:15" x14ac:dyDescent="0.35">
      <c r="A38" t="s">
        <v>19</v>
      </c>
      <c r="B38">
        <v>18</v>
      </c>
      <c r="C38">
        <v>7</v>
      </c>
      <c r="D38">
        <v>25</v>
      </c>
      <c r="J38" t="s">
        <v>17</v>
      </c>
      <c r="K38">
        <v>3</v>
      </c>
      <c r="L38">
        <v>3</v>
      </c>
      <c r="M38">
        <v>12</v>
      </c>
      <c r="N38">
        <v>5</v>
      </c>
      <c r="O38">
        <v>23</v>
      </c>
    </row>
    <row r="39" spans="1:15" x14ac:dyDescent="0.35">
      <c r="A39" t="s">
        <v>7</v>
      </c>
      <c r="B39">
        <v>109</v>
      </c>
      <c r="C39">
        <v>86</v>
      </c>
      <c r="D39">
        <v>195</v>
      </c>
      <c r="J39" t="s">
        <v>18</v>
      </c>
      <c r="K39">
        <v>4</v>
      </c>
      <c r="L39">
        <v>2</v>
      </c>
      <c r="M39">
        <v>18</v>
      </c>
      <c r="N39">
        <v>2</v>
      </c>
      <c r="O39">
        <v>26</v>
      </c>
    </row>
    <row r="40" spans="1:15" x14ac:dyDescent="0.35">
      <c r="J40" t="s">
        <v>19</v>
      </c>
      <c r="K40">
        <v>1</v>
      </c>
      <c r="M40">
        <v>19</v>
      </c>
      <c r="N40">
        <v>6</v>
      </c>
      <c r="O40">
        <v>26</v>
      </c>
    </row>
    <row r="41" spans="1:15" x14ac:dyDescent="0.35">
      <c r="J41" t="s">
        <v>857</v>
      </c>
      <c r="L41">
        <v>2</v>
      </c>
      <c r="O41">
        <v>2</v>
      </c>
    </row>
    <row r="42" spans="1:15" x14ac:dyDescent="0.3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5" x14ac:dyDescent="0.35"/>
  <cols>
    <col min="1" max="1" width="14.1796875" bestFit="1" customWidth="1"/>
    <col min="2" max="2" width="44.54296875" customWidth="1"/>
    <col min="3" max="3" width="11" customWidth="1"/>
    <col min="4" max="4" width="11.7265625" customWidth="1"/>
    <col min="5" max="5" width="28.26953125" customWidth="1"/>
    <col min="6" max="6" width="11.7265625" bestFit="1" customWidth="1"/>
    <col min="7" max="7" width="30.81640625" bestFit="1" customWidth="1"/>
    <col min="8" max="8" width="27.7265625" bestFit="1" customWidth="1"/>
    <col min="9" max="9" width="10.81640625" bestFit="1" customWidth="1"/>
    <col min="10" max="10" width="5.7265625" bestFit="1" customWidth="1"/>
    <col min="11" max="11" width="11.7265625" bestFit="1" customWidth="1"/>
    <col min="12" max="14" width="27.81640625" bestFit="1" customWidth="1"/>
    <col min="15" max="15" width="10.7265625" bestFit="1" customWidth="1"/>
    <col min="16" max="28" width="9.26953125" bestFit="1" customWidth="1"/>
    <col min="29" max="29" width="10.7265625" bestFit="1" customWidth="1"/>
    <col min="30" max="31" width="6.81640625" bestFit="1" customWidth="1"/>
    <col min="32" max="32" width="6.54296875" bestFit="1" customWidth="1"/>
    <col min="33" max="34" width="6.81640625" bestFit="1" customWidth="1"/>
    <col min="35" max="35" width="6.54296875" bestFit="1" customWidth="1"/>
    <col min="36" max="37" width="6.81640625" bestFit="1" customWidth="1"/>
    <col min="38" max="38" width="7.54296875" bestFit="1" customWidth="1"/>
    <col min="39" max="39" width="10.7265625" bestFit="1" customWidth="1"/>
  </cols>
  <sheetData>
    <row r="3" spans="1:11" x14ac:dyDescent="0.35">
      <c r="A3" s="2" t="s">
        <v>1</v>
      </c>
      <c r="B3" s="2" t="s">
        <v>2</v>
      </c>
      <c r="H3" s="2" t="s">
        <v>1</v>
      </c>
      <c r="I3" s="2" t="s">
        <v>50</v>
      </c>
    </row>
    <row r="4" spans="1:11" x14ac:dyDescent="0.35">
      <c r="A4" s="2" t="s">
        <v>51</v>
      </c>
      <c r="B4" t="s">
        <v>6</v>
      </c>
      <c r="C4" t="s">
        <v>5</v>
      </c>
      <c r="D4" t="s">
        <v>4</v>
      </c>
      <c r="E4" t="s">
        <v>936</v>
      </c>
      <c r="F4" t="s">
        <v>7</v>
      </c>
      <c r="H4" s="2" t="s">
        <v>2</v>
      </c>
      <c r="I4" t="s">
        <v>41</v>
      </c>
      <c r="J4" t="s">
        <v>42</v>
      </c>
      <c r="K4" t="s">
        <v>7</v>
      </c>
    </row>
    <row r="5" spans="1:11" x14ac:dyDescent="0.35">
      <c r="A5">
        <v>1</v>
      </c>
      <c r="B5">
        <v>6</v>
      </c>
      <c r="C5">
        <v>14</v>
      </c>
      <c r="F5">
        <v>20</v>
      </c>
      <c r="H5" t="s">
        <v>6</v>
      </c>
      <c r="I5">
        <v>38</v>
      </c>
      <c r="J5">
        <v>30</v>
      </c>
      <c r="K5">
        <v>68</v>
      </c>
    </row>
    <row r="6" spans="1:11" x14ac:dyDescent="0.35">
      <c r="A6">
        <v>2</v>
      </c>
      <c r="B6">
        <v>6</v>
      </c>
      <c r="C6">
        <v>9</v>
      </c>
      <c r="D6">
        <v>1</v>
      </c>
      <c r="F6">
        <v>16</v>
      </c>
      <c r="H6" t="s">
        <v>5</v>
      </c>
      <c r="I6">
        <v>70</v>
      </c>
      <c r="J6">
        <v>57</v>
      </c>
      <c r="K6">
        <v>127</v>
      </c>
    </row>
    <row r="7" spans="1:11" x14ac:dyDescent="0.35">
      <c r="A7">
        <v>3</v>
      </c>
      <c r="B7">
        <v>10</v>
      </c>
      <c r="C7">
        <v>8</v>
      </c>
      <c r="D7">
        <v>3</v>
      </c>
      <c r="F7">
        <v>21</v>
      </c>
      <c r="H7" t="s">
        <v>4</v>
      </c>
      <c r="I7">
        <v>15</v>
      </c>
      <c r="J7">
        <v>10</v>
      </c>
      <c r="K7">
        <v>25</v>
      </c>
    </row>
    <row r="8" spans="1:11" x14ac:dyDescent="0.35">
      <c r="A8">
        <v>4</v>
      </c>
      <c r="B8">
        <v>6</v>
      </c>
      <c r="C8">
        <v>19</v>
      </c>
      <c r="D8">
        <v>1</v>
      </c>
      <c r="F8">
        <v>26</v>
      </c>
      <c r="H8" t="s">
        <v>7</v>
      </c>
      <c r="I8">
        <v>123</v>
      </c>
      <c r="J8">
        <v>97</v>
      </c>
      <c r="K8">
        <v>220</v>
      </c>
    </row>
    <row r="9" spans="1:11" x14ac:dyDescent="0.35">
      <c r="A9">
        <v>5</v>
      </c>
      <c r="B9">
        <v>3</v>
      </c>
      <c r="C9">
        <v>15</v>
      </c>
      <c r="D9">
        <v>2</v>
      </c>
      <c r="F9">
        <v>20</v>
      </c>
    </row>
    <row r="10" spans="1:11" x14ac:dyDescent="0.35">
      <c r="A10">
        <v>6</v>
      </c>
      <c r="B10">
        <v>12</v>
      </c>
      <c r="C10">
        <v>12</v>
      </c>
      <c r="F10">
        <v>24</v>
      </c>
    </row>
    <row r="11" spans="1:11" x14ac:dyDescent="0.35">
      <c r="A11">
        <v>7</v>
      </c>
      <c r="B11">
        <v>11</v>
      </c>
      <c r="C11">
        <v>13</v>
      </c>
      <c r="F11">
        <v>24</v>
      </c>
    </row>
    <row r="12" spans="1:11" x14ac:dyDescent="0.35">
      <c r="A12">
        <v>8</v>
      </c>
      <c r="B12">
        <v>6</v>
      </c>
      <c r="C12">
        <v>11</v>
      </c>
      <c r="D12">
        <v>6</v>
      </c>
      <c r="F12">
        <v>23</v>
      </c>
    </row>
    <row r="13" spans="1:11" x14ac:dyDescent="0.35">
      <c r="A13">
        <v>9</v>
      </c>
      <c r="B13">
        <v>3</v>
      </c>
      <c r="C13">
        <v>13</v>
      </c>
      <c r="D13">
        <v>6</v>
      </c>
      <c r="F13">
        <v>22</v>
      </c>
    </row>
    <row r="14" spans="1:11" x14ac:dyDescent="0.35">
      <c r="A14">
        <v>10</v>
      </c>
      <c r="B14">
        <v>5</v>
      </c>
      <c r="C14">
        <v>13</v>
      </c>
      <c r="D14">
        <v>6</v>
      </c>
      <c r="F14">
        <v>24</v>
      </c>
    </row>
    <row r="15" spans="1:11" x14ac:dyDescent="0.35">
      <c r="A15">
        <v>11</v>
      </c>
      <c r="E15">
        <v>20</v>
      </c>
      <c r="F15">
        <v>20</v>
      </c>
    </row>
    <row r="16" spans="1:11" x14ac:dyDescent="0.35">
      <c r="A16" t="s">
        <v>7</v>
      </c>
      <c r="B16">
        <v>68</v>
      </c>
      <c r="C16">
        <v>127</v>
      </c>
      <c r="D16">
        <v>25</v>
      </c>
      <c r="E16">
        <v>20</v>
      </c>
      <c r="F16">
        <v>240</v>
      </c>
    </row>
    <row r="27" spans="1:4" x14ac:dyDescent="0.35">
      <c r="A27" s="2" t="s">
        <v>1</v>
      </c>
      <c r="B27" s="2" t="s">
        <v>37</v>
      </c>
    </row>
    <row r="28" spans="1:4" x14ac:dyDescent="0.35">
      <c r="A28" s="2" t="s">
        <v>51</v>
      </c>
      <c r="B28" t="s">
        <v>38</v>
      </c>
      <c r="C28" t="s">
        <v>44</v>
      </c>
      <c r="D28" t="s">
        <v>7</v>
      </c>
    </row>
    <row r="29" spans="1:4" x14ac:dyDescent="0.35">
      <c r="A29">
        <v>1</v>
      </c>
      <c r="B29">
        <v>20</v>
      </c>
      <c r="D29">
        <v>20</v>
      </c>
    </row>
    <row r="30" spans="1:4" x14ac:dyDescent="0.35">
      <c r="A30">
        <v>2</v>
      </c>
      <c r="B30">
        <v>15</v>
      </c>
      <c r="C30">
        <v>1</v>
      </c>
      <c r="D30">
        <v>16</v>
      </c>
    </row>
    <row r="31" spans="1:4" x14ac:dyDescent="0.35">
      <c r="A31">
        <v>3</v>
      </c>
      <c r="B31">
        <v>18</v>
      </c>
      <c r="C31">
        <v>3</v>
      </c>
      <c r="D31">
        <v>21</v>
      </c>
    </row>
    <row r="32" spans="1:4" x14ac:dyDescent="0.35">
      <c r="A32">
        <v>4</v>
      </c>
      <c r="B32">
        <v>25</v>
      </c>
      <c r="C32">
        <v>1</v>
      </c>
      <c r="D32">
        <v>26</v>
      </c>
    </row>
    <row r="33" spans="1:4" x14ac:dyDescent="0.35">
      <c r="A33">
        <v>5</v>
      </c>
      <c r="B33">
        <v>18</v>
      </c>
      <c r="C33">
        <v>2</v>
      </c>
      <c r="D33">
        <v>20</v>
      </c>
    </row>
    <row r="34" spans="1:4" x14ac:dyDescent="0.35">
      <c r="A34">
        <v>6</v>
      </c>
      <c r="B34">
        <v>24</v>
      </c>
      <c r="D34">
        <v>24</v>
      </c>
    </row>
    <row r="35" spans="1:4" x14ac:dyDescent="0.35">
      <c r="A35">
        <v>7</v>
      </c>
      <c r="B35">
        <v>24</v>
      </c>
      <c r="D35">
        <v>24</v>
      </c>
    </row>
    <row r="36" spans="1:4" x14ac:dyDescent="0.35">
      <c r="A36">
        <v>8</v>
      </c>
      <c r="B36">
        <v>17</v>
      </c>
      <c r="C36">
        <v>6</v>
      </c>
      <c r="D36">
        <v>23</v>
      </c>
    </row>
    <row r="37" spans="1:4" x14ac:dyDescent="0.35">
      <c r="A37">
        <v>9</v>
      </c>
      <c r="B37">
        <v>16</v>
      </c>
      <c r="C37">
        <v>6</v>
      </c>
      <c r="D37">
        <v>22</v>
      </c>
    </row>
    <row r="38" spans="1:4" x14ac:dyDescent="0.35">
      <c r="A38">
        <v>10</v>
      </c>
      <c r="B38">
        <v>18</v>
      </c>
      <c r="C38">
        <v>6</v>
      </c>
      <c r="D38">
        <v>24</v>
      </c>
    </row>
    <row r="39" spans="1:4" x14ac:dyDescent="0.35">
      <c r="A39">
        <v>11</v>
      </c>
      <c r="C39">
        <v>20</v>
      </c>
      <c r="D39">
        <v>20</v>
      </c>
    </row>
    <row r="40" spans="1:4" x14ac:dyDescent="0.35">
      <c r="A40" t="s">
        <v>7</v>
      </c>
      <c r="B40">
        <v>195</v>
      </c>
      <c r="C40">
        <v>45</v>
      </c>
      <c r="D40">
        <v>240</v>
      </c>
    </row>
    <row r="68" spans="1:4" x14ac:dyDescent="0.35">
      <c r="A68" s="2" t="s">
        <v>61</v>
      </c>
      <c r="B68" t="s">
        <v>917</v>
      </c>
    </row>
    <row r="69" spans="1:4" x14ac:dyDescent="0.35">
      <c r="A69" s="2" t="s">
        <v>2</v>
      </c>
      <c r="B69" t="s">
        <v>917</v>
      </c>
    </row>
    <row r="71" spans="1:4" x14ac:dyDescent="0.35">
      <c r="A71" s="2" t="s">
        <v>1</v>
      </c>
      <c r="B71" s="2" t="s">
        <v>50</v>
      </c>
    </row>
    <row r="72" spans="1:4" x14ac:dyDescent="0.35">
      <c r="A72" s="2" t="s">
        <v>51</v>
      </c>
      <c r="B72" t="s">
        <v>41</v>
      </c>
      <c r="C72" t="s">
        <v>42</v>
      </c>
      <c r="D72" t="s">
        <v>7</v>
      </c>
    </row>
    <row r="73" spans="1:4" x14ac:dyDescent="0.35">
      <c r="A73">
        <v>1</v>
      </c>
      <c r="B73">
        <v>7</v>
      </c>
      <c r="C73">
        <v>13</v>
      </c>
      <c r="D73">
        <v>20</v>
      </c>
    </row>
    <row r="74" spans="1:4" x14ac:dyDescent="0.35">
      <c r="A74">
        <v>2</v>
      </c>
      <c r="B74">
        <v>7</v>
      </c>
      <c r="C74">
        <v>9</v>
      </c>
      <c r="D74">
        <v>16</v>
      </c>
    </row>
    <row r="75" spans="1:4" x14ac:dyDescent="0.35">
      <c r="A75">
        <v>3</v>
      </c>
      <c r="B75">
        <v>12</v>
      </c>
      <c r="C75">
        <v>9</v>
      </c>
      <c r="D75">
        <v>21</v>
      </c>
    </row>
    <row r="76" spans="1:4" x14ac:dyDescent="0.35">
      <c r="A76">
        <v>4</v>
      </c>
      <c r="B76">
        <v>12</v>
      </c>
      <c r="C76">
        <v>14</v>
      </c>
      <c r="D76">
        <v>26</v>
      </c>
    </row>
    <row r="77" spans="1:4" x14ac:dyDescent="0.35">
      <c r="A77">
        <v>5</v>
      </c>
      <c r="B77">
        <v>11</v>
      </c>
      <c r="C77">
        <v>9</v>
      </c>
      <c r="D77">
        <v>20</v>
      </c>
    </row>
    <row r="78" spans="1:4" x14ac:dyDescent="0.35">
      <c r="A78">
        <v>6</v>
      </c>
      <c r="B78">
        <v>15</v>
      </c>
      <c r="C78">
        <v>9</v>
      </c>
      <c r="D78">
        <v>24</v>
      </c>
    </row>
    <row r="79" spans="1:4" x14ac:dyDescent="0.35">
      <c r="A79">
        <v>7</v>
      </c>
      <c r="B79">
        <v>18</v>
      </c>
      <c r="C79">
        <v>6</v>
      </c>
      <c r="D79">
        <v>24</v>
      </c>
    </row>
    <row r="80" spans="1:4" x14ac:dyDescent="0.35">
      <c r="A80">
        <v>8</v>
      </c>
      <c r="B80">
        <v>14</v>
      </c>
      <c r="C80">
        <v>9</v>
      </c>
      <c r="D80">
        <v>23</v>
      </c>
    </row>
    <row r="81" spans="1:4" x14ac:dyDescent="0.35">
      <c r="A81">
        <v>9</v>
      </c>
      <c r="B81">
        <v>13</v>
      </c>
      <c r="C81">
        <v>9</v>
      </c>
      <c r="D81">
        <v>22</v>
      </c>
    </row>
    <row r="82" spans="1:4" x14ac:dyDescent="0.35">
      <c r="A82">
        <v>10</v>
      </c>
      <c r="B82">
        <v>15</v>
      </c>
      <c r="C82">
        <v>9</v>
      </c>
      <c r="D82">
        <v>24</v>
      </c>
    </row>
    <row r="83" spans="1:4" x14ac:dyDescent="0.35">
      <c r="A83">
        <v>11</v>
      </c>
      <c r="B83">
        <v>11</v>
      </c>
      <c r="C83">
        <v>9</v>
      </c>
      <c r="D83">
        <v>20</v>
      </c>
    </row>
    <row r="84" spans="1:4" x14ac:dyDescent="0.35">
      <c r="A84" t="s">
        <v>7</v>
      </c>
      <c r="B84">
        <v>135</v>
      </c>
      <c r="C84">
        <v>105</v>
      </c>
      <c r="D84">
        <v>240</v>
      </c>
    </row>
    <row r="91" spans="1:4" x14ac:dyDescent="0.35">
      <c r="A91" s="2" t="s">
        <v>61</v>
      </c>
      <c r="B91" t="s">
        <v>917</v>
      </c>
    </row>
    <row r="92" spans="1:4" x14ac:dyDescent="0.35">
      <c r="A92" s="2" t="s">
        <v>2</v>
      </c>
      <c r="B92" t="s">
        <v>39</v>
      </c>
    </row>
    <row r="94" spans="1:4" x14ac:dyDescent="0.35">
      <c r="A94" s="2" t="s">
        <v>1</v>
      </c>
      <c r="B94" s="2" t="s">
        <v>50</v>
      </c>
    </row>
    <row r="95" spans="1:4" x14ac:dyDescent="0.35">
      <c r="A95" s="2" t="s">
        <v>3</v>
      </c>
      <c r="B95" t="s">
        <v>41</v>
      </c>
      <c r="C95" t="s">
        <v>42</v>
      </c>
      <c r="D95" t="s">
        <v>7</v>
      </c>
    </row>
    <row r="96" spans="1:4" x14ac:dyDescent="0.35">
      <c r="A96" t="s">
        <v>8</v>
      </c>
      <c r="C96">
        <v>1</v>
      </c>
      <c r="D96">
        <v>1</v>
      </c>
    </row>
    <row r="97" spans="1:4" x14ac:dyDescent="0.35">
      <c r="A97" t="s">
        <v>9</v>
      </c>
      <c r="B97">
        <v>1</v>
      </c>
      <c r="C97">
        <v>3</v>
      </c>
      <c r="D97">
        <v>4</v>
      </c>
    </row>
    <row r="98" spans="1:4" x14ac:dyDescent="0.35">
      <c r="A98" t="s">
        <v>10</v>
      </c>
      <c r="B98">
        <v>5</v>
      </c>
      <c r="C98">
        <v>2</v>
      </c>
      <c r="D98">
        <v>7</v>
      </c>
    </row>
    <row r="99" spans="1:4" x14ac:dyDescent="0.35">
      <c r="A99" t="s">
        <v>11</v>
      </c>
      <c r="B99">
        <v>6</v>
      </c>
      <c r="C99">
        <v>13</v>
      </c>
      <c r="D99">
        <v>19</v>
      </c>
    </row>
    <row r="100" spans="1:4" x14ac:dyDescent="0.35">
      <c r="A100" t="s">
        <v>12</v>
      </c>
      <c r="B100">
        <v>11</v>
      </c>
      <c r="C100">
        <v>2</v>
      </c>
      <c r="D100">
        <v>13</v>
      </c>
    </row>
    <row r="101" spans="1:4" x14ac:dyDescent="0.35">
      <c r="A101" t="s">
        <v>13</v>
      </c>
      <c r="B101">
        <v>15</v>
      </c>
      <c r="C101">
        <v>14</v>
      </c>
      <c r="D101">
        <v>29</v>
      </c>
    </row>
    <row r="102" spans="1:4" x14ac:dyDescent="0.35">
      <c r="A102" t="s">
        <v>14</v>
      </c>
      <c r="B102">
        <v>2</v>
      </c>
      <c r="C102">
        <v>2</v>
      </c>
      <c r="D102">
        <v>4</v>
      </c>
    </row>
    <row r="103" spans="1:4" x14ac:dyDescent="0.35">
      <c r="A103" t="s">
        <v>15</v>
      </c>
      <c r="B103">
        <v>18</v>
      </c>
      <c r="C103">
        <v>14</v>
      </c>
      <c r="D103">
        <v>32</v>
      </c>
    </row>
    <row r="104" spans="1:4" x14ac:dyDescent="0.35">
      <c r="A104" t="s">
        <v>16</v>
      </c>
      <c r="B104">
        <v>9</v>
      </c>
      <c r="C104">
        <v>15</v>
      </c>
      <c r="D104">
        <v>24</v>
      </c>
    </row>
    <row r="105" spans="1:4" x14ac:dyDescent="0.35">
      <c r="A105" t="s">
        <v>17</v>
      </c>
      <c r="B105">
        <v>14</v>
      </c>
      <c r="C105">
        <v>3</v>
      </c>
      <c r="D105">
        <v>17</v>
      </c>
    </row>
    <row r="106" spans="1:4" x14ac:dyDescent="0.35">
      <c r="A106" t="s">
        <v>18</v>
      </c>
      <c r="B106">
        <v>10</v>
      </c>
      <c r="C106">
        <v>10</v>
      </c>
      <c r="D106">
        <v>20</v>
      </c>
    </row>
    <row r="107" spans="1:4" x14ac:dyDescent="0.35">
      <c r="A107" t="s">
        <v>19</v>
      </c>
      <c r="B107">
        <v>18</v>
      </c>
      <c r="C107">
        <v>7</v>
      </c>
      <c r="D107">
        <v>25</v>
      </c>
    </row>
    <row r="108" spans="1:4" x14ac:dyDescent="0.35">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5" x14ac:dyDescent="0.35"/>
  <cols>
    <col min="1" max="1" width="24.81640625" customWidth="1"/>
    <col min="2" max="2" width="13.26953125" customWidth="1"/>
    <col min="3" max="3" width="11.1796875" customWidth="1"/>
    <col min="4" max="4" width="17" customWidth="1"/>
    <col min="5" max="5" width="15.26953125" customWidth="1"/>
    <col min="6" max="6" width="12.54296875" customWidth="1"/>
    <col min="7" max="7" width="9.81640625" customWidth="1"/>
    <col min="8" max="65" width="26.1796875" bestFit="1" customWidth="1"/>
    <col min="66" max="66" width="10.7265625" bestFit="1" customWidth="1"/>
  </cols>
  <sheetData>
    <row r="3" spans="1:7" x14ac:dyDescent="0.35">
      <c r="A3" s="2" t="s">
        <v>3</v>
      </c>
      <c r="B3" t="s">
        <v>937</v>
      </c>
      <c r="C3" t="s">
        <v>33</v>
      </c>
      <c r="D3" t="s">
        <v>34</v>
      </c>
      <c r="E3" t="s">
        <v>35</v>
      </c>
      <c r="F3" t="s">
        <v>36</v>
      </c>
      <c r="G3" t="s">
        <v>938</v>
      </c>
    </row>
    <row r="4" spans="1:7" x14ac:dyDescent="0.35">
      <c r="A4" t="s">
        <v>8</v>
      </c>
      <c r="B4" s="29">
        <v>1</v>
      </c>
      <c r="C4" s="28">
        <v>81</v>
      </c>
      <c r="D4" s="29" t="e">
        <v>#DIV/0!</v>
      </c>
      <c r="E4" s="29">
        <v>81</v>
      </c>
      <c r="F4" s="29">
        <v>81</v>
      </c>
    </row>
    <row r="5" spans="1:7" x14ac:dyDescent="0.35">
      <c r="A5" t="s">
        <v>9</v>
      </c>
      <c r="B5" s="29">
        <v>4</v>
      </c>
      <c r="C5" s="28">
        <v>66.5</v>
      </c>
      <c r="D5" s="29">
        <v>12.288205727444508</v>
      </c>
      <c r="E5" s="29">
        <v>82</v>
      </c>
      <c r="F5" s="29">
        <v>52</v>
      </c>
    </row>
    <row r="6" spans="1:7" x14ac:dyDescent="0.35">
      <c r="A6" t="s">
        <v>10</v>
      </c>
      <c r="B6" s="29">
        <v>7</v>
      </c>
      <c r="C6" s="28">
        <v>69.857142857142861</v>
      </c>
      <c r="D6" s="29">
        <v>15.603723609324501</v>
      </c>
      <c r="E6" s="29">
        <v>99</v>
      </c>
      <c r="F6" s="29">
        <v>55</v>
      </c>
    </row>
    <row r="7" spans="1:7" x14ac:dyDescent="0.35">
      <c r="A7" t="s">
        <v>11</v>
      </c>
      <c r="B7" s="29">
        <v>21</v>
      </c>
      <c r="C7" s="28">
        <v>63.10526315789474</v>
      </c>
      <c r="D7" s="29">
        <v>18.961641797300228</v>
      </c>
      <c r="E7" s="29">
        <v>107</v>
      </c>
      <c r="F7" s="29">
        <v>37</v>
      </c>
    </row>
    <row r="8" spans="1:7" x14ac:dyDescent="0.35">
      <c r="A8" t="s">
        <v>12</v>
      </c>
      <c r="B8" s="29">
        <v>19</v>
      </c>
      <c r="C8" s="28">
        <v>61.846153846153847</v>
      </c>
      <c r="D8" s="29">
        <v>19.527101482495862</v>
      </c>
      <c r="E8" s="29">
        <v>101</v>
      </c>
      <c r="F8" s="29">
        <v>36</v>
      </c>
    </row>
    <row r="9" spans="1:7" x14ac:dyDescent="0.35">
      <c r="A9" t="s">
        <v>13</v>
      </c>
      <c r="B9" s="29">
        <v>31</v>
      </c>
      <c r="C9" s="28">
        <v>42.310344827586206</v>
      </c>
      <c r="D9" s="29">
        <v>12.015179233773605</v>
      </c>
      <c r="E9" s="29">
        <v>66</v>
      </c>
      <c r="F9" s="29">
        <v>24</v>
      </c>
    </row>
    <row r="10" spans="1:7" x14ac:dyDescent="0.35">
      <c r="A10" t="s">
        <v>14</v>
      </c>
      <c r="B10" s="29">
        <v>4</v>
      </c>
      <c r="C10" s="28">
        <v>51.75</v>
      </c>
      <c r="D10" s="29">
        <v>7.4105780251385696</v>
      </c>
      <c r="E10" s="29">
        <v>58</v>
      </c>
      <c r="F10" s="29">
        <v>42</v>
      </c>
    </row>
    <row r="11" spans="1:7" x14ac:dyDescent="0.35">
      <c r="A11" t="s">
        <v>15</v>
      </c>
      <c r="B11" s="29">
        <v>36</v>
      </c>
      <c r="C11" s="28">
        <v>60.40625</v>
      </c>
      <c r="D11" s="29">
        <v>23.305626310870419</v>
      </c>
      <c r="E11" s="29">
        <v>139</v>
      </c>
      <c r="F11" s="29">
        <v>22</v>
      </c>
    </row>
    <row r="12" spans="1:7" x14ac:dyDescent="0.35">
      <c r="A12" t="s">
        <v>16</v>
      </c>
      <c r="B12" s="29">
        <v>27</v>
      </c>
      <c r="C12" s="28">
        <v>63.458333333333336</v>
      </c>
      <c r="D12" s="29">
        <v>21.149528038041034</v>
      </c>
      <c r="E12" s="29">
        <v>114</v>
      </c>
      <c r="F12" s="29">
        <v>28</v>
      </c>
    </row>
    <row r="13" spans="1:7" x14ac:dyDescent="0.35">
      <c r="A13" t="s">
        <v>17</v>
      </c>
      <c r="B13" s="29">
        <v>20</v>
      </c>
      <c r="C13" s="28">
        <v>62.823529411764703</v>
      </c>
      <c r="D13" s="29">
        <v>21.307965922741342</v>
      </c>
      <c r="E13" s="29">
        <v>115</v>
      </c>
      <c r="F13" s="29">
        <v>33</v>
      </c>
    </row>
    <row r="14" spans="1:7" x14ac:dyDescent="0.35">
      <c r="A14" t="s">
        <v>18</v>
      </c>
      <c r="B14" s="29">
        <v>24</v>
      </c>
      <c r="C14" s="28">
        <v>66.849999999999994</v>
      </c>
      <c r="D14" s="29">
        <v>14.113356868770211</v>
      </c>
      <c r="E14" s="29">
        <v>104</v>
      </c>
      <c r="F14" s="29">
        <v>50</v>
      </c>
    </row>
    <row r="15" spans="1:7" x14ac:dyDescent="0.35">
      <c r="A15" t="s">
        <v>19</v>
      </c>
      <c r="B15" s="29">
        <v>26</v>
      </c>
      <c r="C15" s="28">
        <v>64.760000000000005</v>
      </c>
      <c r="D15" s="29">
        <v>19.201302039184736</v>
      </c>
      <c r="E15" s="29">
        <v>101</v>
      </c>
      <c r="F15" s="29">
        <v>32</v>
      </c>
    </row>
    <row r="16" spans="1:7" x14ac:dyDescent="0.35">
      <c r="A16" t="s">
        <v>7</v>
      </c>
      <c r="B16" s="29">
        <v>220</v>
      </c>
      <c r="C16" s="28">
        <v>60.271794871794874</v>
      </c>
      <c r="D16" s="29">
        <v>19.919243515398545</v>
      </c>
      <c r="E16" s="29">
        <v>139</v>
      </c>
      <c r="F16" s="29">
        <v>22</v>
      </c>
    </row>
    <row r="17" spans="2:2" x14ac:dyDescent="0.35">
      <c r="B17" s="28"/>
    </row>
    <row r="18" spans="2:2" x14ac:dyDescent="0.35">
      <c r="B18" s="28"/>
    </row>
    <row r="19" spans="2:2" x14ac:dyDescent="0.35">
      <c r="B19" s="28"/>
    </row>
    <row r="20" spans="2:2" x14ac:dyDescent="0.35">
      <c r="B20" s="28"/>
    </row>
    <row r="21" spans="2:2" x14ac:dyDescent="0.35">
      <c r="B21" s="28"/>
    </row>
    <row r="22" spans="2:2" x14ac:dyDescent="0.35">
      <c r="B22" s="28"/>
    </row>
    <row r="23" spans="2:2" x14ac:dyDescent="0.35">
      <c r="B23" s="28"/>
    </row>
    <row r="24" spans="2:2" x14ac:dyDescent="0.35">
      <c r="B24" s="28"/>
    </row>
    <row r="25" spans="2:2" x14ac:dyDescent="0.35">
      <c r="B25" s="28"/>
    </row>
    <row r="26" spans="2:2" x14ac:dyDescent="0.35">
      <c r="B26" s="28"/>
    </row>
    <row r="27" spans="2:2" x14ac:dyDescent="0.35">
      <c r="B27" s="28"/>
    </row>
    <row r="28" spans="2:2" x14ac:dyDescent="0.35">
      <c r="B28" s="28"/>
    </row>
    <row r="29" spans="2:2" x14ac:dyDescent="0.35">
      <c r="B29" s="28"/>
    </row>
    <row r="33" spans="1:3" x14ac:dyDescent="0.35">
      <c r="A33" s="2" t="s">
        <v>51</v>
      </c>
      <c r="B33" t="s">
        <v>33</v>
      </c>
      <c r="C33" t="s">
        <v>34</v>
      </c>
    </row>
    <row r="34" spans="1:3" x14ac:dyDescent="0.35">
      <c r="A34">
        <v>1</v>
      </c>
      <c r="B34" s="28">
        <v>59.6</v>
      </c>
      <c r="C34" s="29">
        <v>21.731374360103125</v>
      </c>
    </row>
    <row r="35" spans="1:3" x14ac:dyDescent="0.35">
      <c r="A35">
        <v>2</v>
      </c>
      <c r="B35" s="28">
        <v>59.93333333333333</v>
      </c>
      <c r="C35" s="29">
        <v>28.763733779750865</v>
      </c>
    </row>
    <row r="36" spans="1:3" x14ac:dyDescent="0.35">
      <c r="A36">
        <v>3</v>
      </c>
      <c r="B36" s="28">
        <v>52.666666666666664</v>
      </c>
      <c r="C36" s="29">
        <v>19.769257179058719</v>
      </c>
    </row>
    <row r="37" spans="1:3" x14ac:dyDescent="0.35">
      <c r="A37">
        <v>4</v>
      </c>
      <c r="B37" s="28">
        <v>69.36</v>
      </c>
      <c r="C37" s="29">
        <v>23.442980470352595</v>
      </c>
    </row>
    <row r="38" spans="1:3" x14ac:dyDescent="0.35">
      <c r="A38">
        <v>5</v>
      </c>
      <c r="B38" s="28">
        <v>61.444444444444443</v>
      </c>
      <c r="C38" s="29">
        <v>13.975702538259325</v>
      </c>
    </row>
    <row r="39" spans="1:3" x14ac:dyDescent="0.35">
      <c r="A39">
        <v>6</v>
      </c>
      <c r="B39" s="28">
        <v>61.875</v>
      </c>
      <c r="C39" s="29">
        <v>24.726877648843367</v>
      </c>
    </row>
    <row r="40" spans="1:3" x14ac:dyDescent="0.35">
      <c r="A40">
        <v>7</v>
      </c>
      <c r="B40" s="28">
        <v>59.458333333333336</v>
      </c>
      <c r="C40" s="29">
        <v>18.218431103804129</v>
      </c>
    </row>
    <row r="41" spans="1:3" x14ac:dyDescent="0.35">
      <c r="A41">
        <v>8</v>
      </c>
      <c r="B41" s="28">
        <v>61.470588235294116</v>
      </c>
      <c r="C41" s="29">
        <v>16.591103214745942</v>
      </c>
    </row>
    <row r="42" spans="1:3" x14ac:dyDescent="0.35">
      <c r="A42">
        <v>9</v>
      </c>
      <c r="B42" s="28">
        <v>57.8125</v>
      </c>
      <c r="C42" s="29">
        <v>7.8419279092155225</v>
      </c>
    </row>
    <row r="43" spans="1:3" x14ac:dyDescent="0.35">
      <c r="A43">
        <v>10</v>
      </c>
      <c r="B43" s="28">
        <v>55.111111111111114</v>
      </c>
      <c r="C43" s="29">
        <v>11.935556808958243</v>
      </c>
    </row>
    <row r="44" spans="1:3" x14ac:dyDescent="0.35">
      <c r="A44" t="s">
        <v>7</v>
      </c>
      <c r="B44" s="28">
        <v>60.271794871794874</v>
      </c>
      <c r="C44" s="29">
        <v>19.919243515398545</v>
      </c>
    </row>
    <row r="52" spans="1:3" x14ac:dyDescent="0.35">
      <c r="A52" t="s">
        <v>51</v>
      </c>
      <c r="B52" t="s">
        <v>33</v>
      </c>
      <c r="C52" t="s">
        <v>34</v>
      </c>
    </row>
    <row r="53" spans="1:3" x14ac:dyDescent="0.35">
      <c r="A53">
        <v>1</v>
      </c>
      <c r="B53" s="29">
        <v>59.6</v>
      </c>
      <c r="C53" s="29">
        <v>21.731374360103125</v>
      </c>
    </row>
    <row r="54" spans="1:3" x14ac:dyDescent="0.35">
      <c r="A54">
        <v>2</v>
      </c>
      <c r="B54" s="29">
        <v>59.93333333333333</v>
      </c>
      <c r="C54" s="29">
        <v>28.763733779750865</v>
      </c>
    </row>
    <row r="55" spans="1:3" x14ac:dyDescent="0.35">
      <c r="A55">
        <v>3</v>
      </c>
      <c r="B55" s="29">
        <v>52.666666666666664</v>
      </c>
      <c r="C55" s="29">
        <v>19.769257179058719</v>
      </c>
    </row>
    <row r="56" spans="1:3" x14ac:dyDescent="0.35">
      <c r="A56">
        <v>4</v>
      </c>
      <c r="B56" s="29">
        <v>69.36</v>
      </c>
      <c r="C56" s="29">
        <v>23.442980470352595</v>
      </c>
    </row>
    <row r="57" spans="1:3" x14ac:dyDescent="0.35">
      <c r="A57">
        <v>5</v>
      </c>
      <c r="B57" s="29">
        <v>62.388888888888886</v>
      </c>
      <c r="C57" s="29">
        <v>14.56885836251174</v>
      </c>
    </row>
    <row r="58" spans="1:3" x14ac:dyDescent="0.35">
      <c r="A58">
        <v>6</v>
      </c>
      <c r="B58" s="29">
        <v>56.285714285714285</v>
      </c>
      <c r="C58" s="29">
        <v>18.281528538781583</v>
      </c>
    </row>
    <row r="59" spans="1:3" x14ac:dyDescent="0.35">
      <c r="A59">
        <v>7</v>
      </c>
      <c r="B59" s="29">
        <v>57.454545454545453</v>
      </c>
      <c r="C59" s="29">
        <v>14.268604472514946</v>
      </c>
    </row>
    <row r="60" spans="1:3" x14ac:dyDescent="0.35">
      <c r="A60">
        <v>8</v>
      </c>
      <c r="B60" s="29">
        <v>51.81818181818182</v>
      </c>
      <c r="C60" s="29">
        <v>11.320937963068095</v>
      </c>
    </row>
    <row r="61" spans="1:3" x14ac:dyDescent="0.35">
      <c r="A61">
        <v>9</v>
      </c>
      <c r="B61" s="29">
        <v>56</v>
      </c>
      <c r="C61" s="29">
        <v>5.4619898693913127</v>
      </c>
    </row>
    <row r="62" spans="1:3" x14ac:dyDescent="0.35">
      <c r="A62">
        <v>10</v>
      </c>
      <c r="B62" s="29">
        <v>39.799999999999997</v>
      </c>
      <c r="C62" s="29">
        <v>9.9849887330932958</v>
      </c>
    </row>
    <row r="63" spans="1:3" x14ac:dyDescent="0.35">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5" x14ac:dyDescent="0.35"/>
  <cols>
    <col min="1" max="1" width="14.1796875" bestFit="1" customWidth="1"/>
    <col min="2" max="2" width="30.81640625" customWidth="1"/>
    <col min="3" max="3" width="5.7265625" customWidth="1"/>
    <col min="4" max="4" width="11.7265625" bestFit="1" customWidth="1"/>
    <col min="5" max="11" width="8.81640625" bestFit="1" customWidth="1"/>
    <col min="12" max="12" width="10.7265625" bestFit="1" customWidth="1"/>
  </cols>
  <sheetData>
    <row r="3" spans="1:3" x14ac:dyDescent="0.35">
      <c r="A3" s="2" t="s">
        <v>1</v>
      </c>
      <c r="B3" s="2" t="s">
        <v>37</v>
      </c>
    </row>
    <row r="4" spans="1:3" x14ac:dyDescent="0.35">
      <c r="A4" s="2" t="s">
        <v>50</v>
      </c>
      <c r="B4" t="s">
        <v>38</v>
      </c>
      <c r="C4" t="s">
        <v>7</v>
      </c>
    </row>
    <row r="5" spans="1:3" x14ac:dyDescent="0.35">
      <c r="A5" t="s">
        <v>41</v>
      </c>
      <c r="B5">
        <v>109</v>
      </c>
      <c r="C5">
        <v>109</v>
      </c>
    </row>
    <row r="6" spans="1:3" x14ac:dyDescent="0.35">
      <c r="A6" t="s">
        <v>42</v>
      </c>
      <c r="B6">
        <v>86</v>
      </c>
      <c r="C6">
        <v>86</v>
      </c>
    </row>
    <row r="7" spans="1:3" x14ac:dyDescent="0.35">
      <c r="A7" t="s">
        <v>7</v>
      </c>
      <c r="B7">
        <v>195</v>
      </c>
      <c r="C7">
        <v>195</v>
      </c>
    </row>
    <row r="11" spans="1:3" x14ac:dyDescent="0.35">
      <c r="A11" s="2" t="s">
        <v>50</v>
      </c>
      <c r="B11" t="s">
        <v>1</v>
      </c>
    </row>
    <row r="12" spans="1:3" x14ac:dyDescent="0.35">
      <c r="A12" t="s">
        <v>41</v>
      </c>
      <c r="B12">
        <v>135</v>
      </c>
    </row>
    <row r="13" spans="1:3" x14ac:dyDescent="0.35">
      <c r="A13" t="s">
        <v>42</v>
      </c>
      <c r="B13">
        <v>105</v>
      </c>
    </row>
    <row r="14" spans="1:3" x14ac:dyDescent="0.35">
      <c r="A14" t="s">
        <v>7</v>
      </c>
      <c r="B14">
        <v>240</v>
      </c>
    </row>
    <row r="19" spans="1:4" x14ac:dyDescent="0.35">
      <c r="A19" s="2" t="s">
        <v>1</v>
      </c>
      <c r="B19" s="2" t="s">
        <v>50</v>
      </c>
    </row>
    <row r="20" spans="1:4" x14ac:dyDescent="0.35">
      <c r="A20" s="2" t="s">
        <v>51</v>
      </c>
      <c r="B20" t="s">
        <v>41</v>
      </c>
      <c r="C20" t="s">
        <v>42</v>
      </c>
      <c r="D20" t="s">
        <v>7</v>
      </c>
    </row>
    <row r="21" spans="1:4" x14ac:dyDescent="0.35">
      <c r="A21">
        <v>1</v>
      </c>
      <c r="B21" s="8">
        <v>0.35</v>
      </c>
      <c r="C21" s="8">
        <v>0.65</v>
      </c>
      <c r="D21" s="8">
        <v>1</v>
      </c>
    </row>
    <row r="22" spans="1:4" x14ac:dyDescent="0.35">
      <c r="A22">
        <v>2</v>
      </c>
      <c r="B22" s="8">
        <v>0.4375</v>
      </c>
      <c r="C22" s="8">
        <v>0.5625</v>
      </c>
      <c r="D22" s="8">
        <v>1</v>
      </c>
    </row>
    <row r="23" spans="1:4" x14ac:dyDescent="0.35">
      <c r="A23">
        <v>3</v>
      </c>
      <c r="B23" s="8">
        <v>0.5714285714285714</v>
      </c>
      <c r="C23" s="8">
        <v>0.42857142857142855</v>
      </c>
      <c r="D23" s="8">
        <v>1</v>
      </c>
    </row>
    <row r="24" spans="1:4" x14ac:dyDescent="0.35">
      <c r="A24">
        <v>4</v>
      </c>
      <c r="B24" s="8">
        <v>0.46153846153846156</v>
      </c>
      <c r="C24" s="8">
        <v>0.53846153846153844</v>
      </c>
      <c r="D24" s="8">
        <v>1</v>
      </c>
    </row>
    <row r="25" spans="1:4" x14ac:dyDescent="0.35">
      <c r="A25">
        <v>5</v>
      </c>
      <c r="B25" s="8">
        <v>0.55000000000000004</v>
      </c>
      <c r="C25" s="8">
        <v>0.45</v>
      </c>
      <c r="D25" s="8">
        <v>1</v>
      </c>
    </row>
    <row r="26" spans="1:4" x14ac:dyDescent="0.35">
      <c r="A26">
        <v>6</v>
      </c>
      <c r="B26" s="8">
        <v>0.625</v>
      </c>
      <c r="C26" s="8">
        <v>0.375</v>
      </c>
      <c r="D26" s="8">
        <v>1</v>
      </c>
    </row>
    <row r="27" spans="1:4" x14ac:dyDescent="0.35">
      <c r="A27">
        <v>7</v>
      </c>
      <c r="B27" s="8">
        <v>0.75</v>
      </c>
      <c r="C27" s="8">
        <v>0.25</v>
      </c>
      <c r="D27" s="8">
        <v>1</v>
      </c>
    </row>
    <row r="28" spans="1:4" x14ac:dyDescent="0.35">
      <c r="A28">
        <v>8</v>
      </c>
      <c r="B28" s="8">
        <v>0.60869565217391308</v>
      </c>
      <c r="C28" s="8">
        <v>0.39130434782608697</v>
      </c>
      <c r="D28" s="8">
        <v>1</v>
      </c>
    </row>
    <row r="29" spans="1:4" x14ac:dyDescent="0.35">
      <c r="A29">
        <v>9</v>
      </c>
      <c r="B29" s="8">
        <v>0.59090909090909094</v>
      </c>
      <c r="C29" s="8">
        <v>0.40909090909090912</v>
      </c>
      <c r="D29" s="8">
        <v>1</v>
      </c>
    </row>
    <row r="30" spans="1:4" x14ac:dyDescent="0.35">
      <c r="A30">
        <v>10</v>
      </c>
      <c r="B30" s="8">
        <v>0.625</v>
      </c>
      <c r="C30" s="8">
        <v>0.375</v>
      </c>
      <c r="D30" s="8">
        <v>1</v>
      </c>
    </row>
    <row r="31" spans="1:4" x14ac:dyDescent="0.35">
      <c r="A31">
        <v>11</v>
      </c>
      <c r="B31" s="8">
        <v>0.55000000000000004</v>
      </c>
      <c r="C31" s="8">
        <v>0.45</v>
      </c>
      <c r="D31" s="8">
        <v>1</v>
      </c>
    </row>
    <row r="32" spans="1:4" x14ac:dyDescent="0.35">
      <c r="A32" t="s">
        <v>7</v>
      </c>
      <c r="B32" s="8">
        <v>0.5625</v>
      </c>
      <c r="C32" s="8">
        <v>0.4375</v>
      </c>
      <c r="D32" s="8">
        <v>1</v>
      </c>
    </row>
    <row r="38" spans="1:4" x14ac:dyDescent="0.35">
      <c r="A38" t="s">
        <v>51</v>
      </c>
      <c r="B38" t="s">
        <v>41</v>
      </c>
      <c r="C38" t="s">
        <v>42</v>
      </c>
      <c r="D38" t="s">
        <v>7</v>
      </c>
    </row>
    <row r="39" spans="1:4" x14ac:dyDescent="0.35">
      <c r="A39">
        <v>1</v>
      </c>
      <c r="B39" t="s">
        <v>939</v>
      </c>
      <c r="C39">
        <v>13</v>
      </c>
      <c r="D39">
        <v>20</v>
      </c>
    </row>
    <row r="40" spans="1:4" x14ac:dyDescent="0.35">
      <c r="A40">
        <v>2</v>
      </c>
      <c r="B40">
        <v>8</v>
      </c>
      <c r="C40">
        <v>10</v>
      </c>
      <c r="D40">
        <v>18</v>
      </c>
    </row>
    <row r="41" spans="1:4" x14ac:dyDescent="0.35">
      <c r="A41">
        <v>3</v>
      </c>
      <c r="B41">
        <v>13</v>
      </c>
      <c r="C41">
        <v>9</v>
      </c>
      <c r="D41">
        <v>22</v>
      </c>
    </row>
    <row r="42" spans="1:4" x14ac:dyDescent="0.35">
      <c r="A42">
        <v>4</v>
      </c>
      <c r="B42">
        <v>12</v>
      </c>
      <c r="C42">
        <v>14</v>
      </c>
      <c r="D42">
        <v>26</v>
      </c>
    </row>
    <row r="43" spans="1:4" x14ac:dyDescent="0.35">
      <c r="A43">
        <v>5</v>
      </c>
      <c r="B43">
        <v>12</v>
      </c>
      <c r="C43">
        <v>9</v>
      </c>
      <c r="D43">
        <v>21</v>
      </c>
    </row>
    <row r="44" spans="1:4" x14ac:dyDescent="0.35">
      <c r="A44">
        <v>6</v>
      </c>
      <c r="B44">
        <v>15</v>
      </c>
      <c r="C44">
        <v>9</v>
      </c>
      <c r="D44">
        <v>24</v>
      </c>
    </row>
    <row r="45" spans="1:4" x14ac:dyDescent="0.35">
      <c r="A45">
        <v>7</v>
      </c>
      <c r="B45">
        <v>18</v>
      </c>
      <c r="C45">
        <v>6</v>
      </c>
      <c r="D45">
        <v>24</v>
      </c>
    </row>
    <row r="46" spans="1:4" x14ac:dyDescent="0.35">
      <c r="A46">
        <v>8</v>
      </c>
      <c r="B46">
        <v>14</v>
      </c>
      <c r="C46">
        <v>9</v>
      </c>
      <c r="D46">
        <v>23</v>
      </c>
    </row>
    <row r="47" spans="1:4" x14ac:dyDescent="0.35">
      <c r="A47">
        <v>9</v>
      </c>
      <c r="B47">
        <v>13</v>
      </c>
      <c r="C47">
        <v>9</v>
      </c>
      <c r="D47">
        <v>22</v>
      </c>
    </row>
    <row r="48" spans="1:4" x14ac:dyDescent="0.35">
      <c r="A48">
        <v>10</v>
      </c>
      <c r="B48">
        <v>15</v>
      </c>
      <c r="C48">
        <v>9</v>
      </c>
      <c r="D48">
        <v>24</v>
      </c>
    </row>
    <row r="49" spans="1:4" x14ac:dyDescent="0.35">
      <c r="A49" t="s">
        <v>7</v>
      </c>
      <c r="B49">
        <v>127</v>
      </c>
      <c r="C49">
        <v>97</v>
      </c>
      <c r="D49">
        <v>224</v>
      </c>
    </row>
    <row r="54" spans="1:4" x14ac:dyDescent="0.35">
      <c r="A54" s="2" t="s">
        <v>2</v>
      </c>
      <c r="B54" t="s">
        <v>4</v>
      </c>
    </row>
    <row r="55" spans="1:4" x14ac:dyDescent="0.35">
      <c r="A55" s="2" t="s">
        <v>50</v>
      </c>
      <c r="B55" t="s">
        <v>917</v>
      </c>
    </row>
    <row r="57" spans="1:4" x14ac:dyDescent="0.35">
      <c r="A57" t="s">
        <v>1</v>
      </c>
    </row>
    <row r="58" spans="1:4" x14ac:dyDescent="0.35">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5" x14ac:dyDescent="0.35"/>
  <cols>
    <col min="2" max="2" width="33.81640625" customWidth="1"/>
    <col min="3" max="3" width="15.453125" customWidth="1"/>
    <col min="4" max="4" width="8.1796875" customWidth="1"/>
    <col min="5" max="5" width="8.54296875" customWidth="1"/>
    <col min="6" max="6" width="14.453125" customWidth="1"/>
  </cols>
  <sheetData>
    <row r="4" spans="2:8" x14ac:dyDescent="0.35">
      <c r="B4" s="2" t="s">
        <v>2</v>
      </c>
      <c r="C4" t="s">
        <v>39</v>
      </c>
    </row>
    <row r="6" spans="2:8" x14ac:dyDescent="0.35">
      <c r="B6" s="2" t="s">
        <v>45</v>
      </c>
      <c r="C6" s="2" t="s">
        <v>50</v>
      </c>
      <c r="H6">
        <f>35/40</f>
        <v>0.875</v>
      </c>
    </row>
    <row r="7" spans="2:8" x14ac:dyDescent="0.35">
      <c r="B7" s="2" t="s">
        <v>3</v>
      </c>
      <c r="C7" t="s">
        <v>41</v>
      </c>
      <c r="D7" t="s">
        <v>42</v>
      </c>
      <c r="E7" t="s">
        <v>7</v>
      </c>
    </row>
    <row r="8" spans="2:8" x14ac:dyDescent="0.35">
      <c r="B8" t="s">
        <v>8</v>
      </c>
      <c r="D8">
        <v>1</v>
      </c>
      <c r="E8">
        <v>1</v>
      </c>
    </row>
    <row r="9" spans="2:8" x14ac:dyDescent="0.35">
      <c r="B9" t="s">
        <v>9</v>
      </c>
      <c r="C9">
        <v>1</v>
      </c>
      <c r="D9">
        <v>3</v>
      </c>
      <c r="E9">
        <v>4</v>
      </c>
    </row>
    <row r="10" spans="2:8" x14ac:dyDescent="0.35">
      <c r="B10" t="s">
        <v>10</v>
      </c>
      <c r="C10">
        <v>5</v>
      </c>
      <c r="D10">
        <v>2</v>
      </c>
      <c r="E10">
        <v>7</v>
      </c>
    </row>
    <row r="11" spans="2:8" x14ac:dyDescent="0.35">
      <c r="B11" t="s">
        <v>11</v>
      </c>
      <c r="C11">
        <v>6</v>
      </c>
      <c r="D11">
        <v>13</v>
      </c>
      <c r="E11">
        <v>19</v>
      </c>
    </row>
    <row r="12" spans="2:8" x14ac:dyDescent="0.35">
      <c r="B12" t="s">
        <v>12</v>
      </c>
      <c r="C12">
        <v>11</v>
      </c>
      <c r="D12">
        <v>2</v>
      </c>
      <c r="E12">
        <v>13</v>
      </c>
    </row>
    <row r="13" spans="2:8" x14ac:dyDescent="0.35">
      <c r="B13" t="s">
        <v>13</v>
      </c>
      <c r="C13">
        <v>15</v>
      </c>
      <c r="D13">
        <v>14</v>
      </c>
      <c r="E13">
        <v>29</v>
      </c>
    </row>
    <row r="14" spans="2:8" x14ac:dyDescent="0.35">
      <c r="B14" t="s">
        <v>14</v>
      </c>
      <c r="C14">
        <v>2</v>
      </c>
      <c r="D14">
        <v>2</v>
      </c>
      <c r="E14">
        <v>4</v>
      </c>
    </row>
    <row r="15" spans="2:8" x14ac:dyDescent="0.35">
      <c r="B15" t="s">
        <v>15</v>
      </c>
      <c r="C15">
        <v>18</v>
      </c>
      <c r="D15">
        <v>14</v>
      </c>
      <c r="E15">
        <v>32</v>
      </c>
    </row>
    <row r="16" spans="2:8" x14ac:dyDescent="0.35">
      <c r="B16" t="s">
        <v>16</v>
      </c>
      <c r="C16">
        <v>9</v>
      </c>
      <c r="D16">
        <v>15</v>
      </c>
      <c r="E16">
        <v>24</v>
      </c>
    </row>
    <row r="17" spans="2:5" x14ac:dyDescent="0.35">
      <c r="B17" t="s">
        <v>17</v>
      </c>
      <c r="C17">
        <v>14</v>
      </c>
      <c r="D17">
        <v>3</v>
      </c>
      <c r="E17">
        <v>17</v>
      </c>
    </row>
    <row r="18" spans="2:5" x14ac:dyDescent="0.35">
      <c r="B18" t="s">
        <v>18</v>
      </c>
      <c r="C18">
        <v>10</v>
      </c>
      <c r="D18">
        <v>10</v>
      </c>
      <c r="E18">
        <v>20</v>
      </c>
    </row>
    <row r="19" spans="2:5" x14ac:dyDescent="0.35">
      <c r="B19" t="s">
        <v>19</v>
      </c>
      <c r="C19">
        <v>18</v>
      </c>
      <c r="D19">
        <v>7</v>
      </c>
      <c r="E19">
        <v>25</v>
      </c>
    </row>
    <row r="20" spans="2:5" x14ac:dyDescent="0.3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5" x14ac:dyDescent="0.35"/>
  <cols>
    <col min="1" max="1" width="14.1796875" bestFit="1" customWidth="1"/>
    <col min="2" max="2" width="13.81640625" bestFit="1" customWidth="1"/>
    <col min="3" max="3" width="7.54296875" bestFit="1" customWidth="1"/>
    <col min="4" max="4" width="11.7265625" bestFit="1" customWidth="1"/>
    <col min="5" max="5" width="8.7265625" bestFit="1" customWidth="1"/>
    <col min="6" max="6" width="10.7265625" bestFit="1" customWidth="1"/>
    <col min="7" max="7" width="6.1796875" customWidth="1"/>
    <col min="8" max="8" width="8.26953125" customWidth="1"/>
    <col min="9" max="9" width="6.81640625" customWidth="1"/>
    <col min="10" max="10" width="7.54296875" customWidth="1"/>
    <col min="11" max="11" width="14.1796875" bestFit="1" customWidth="1"/>
    <col min="12" max="12" width="11.7265625" bestFit="1" customWidth="1"/>
    <col min="13" max="13" width="15.54296875" bestFit="1" customWidth="1"/>
    <col min="14" max="14" width="11.7265625" bestFit="1" customWidth="1"/>
    <col min="15" max="15" width="10.7265625" bestFit="1" customWidth="1"/>
    <col min="16" max="16" width="6" customWidth="1"/>
    <col min="17" max="17" width="6.1796875" customWidth="1"/>
    <col min="18" max="18" width="7.54296875" customWidth="1"/>
    <col min="19" max="19" width="6.54296875" customWidth="1"/>
    <col min="20" max="21" width="7.54296875" customWidth="1"/>
    <col min="22" max="22" width="6.54296875" customWidth="1"/>
    <col min="23" max="24" width="7.54296875" customWidth="1"/>
    <col min="25" max="25" width="6.54296875" customWidth="1"/>
    <col min="26" max="27" width="7.54296875" customWidth="1"/>
    <col min="28" max="28" width="6.54296875" customWidth="1"/>
    <col min="29" max="29" width="7" customWidth="1"/>
    <col min="30" max="30" width="6.54296875" customWidth="1"/>
    <col min="31" max="31" width="7" customWidth="1"/>
    <col min="32" max="32" width="7.54296875" customWidth="1"/>
    <col min="33" max="33" width="10.54296875" bestFit="1" customWidth="1"/>
  </cols>
  <sheetData>
    <row r="2" spans="1:21" x14ac:dyDescent="0.35">
      <c r="U2" s="24">
        <f>60/123</f>
        <v>0.48780487804878048</v>
      </c>
    </row>
    <row r="3" spans="1:21" x14ac:dyDescent="0.35">
      <c r="A3" s="2" t="s">
        <v>1</v>
      </c>
      <c r="B3" s="2" t="s">
        <v>2</v>
      </c>
      <c r="K3" s="2" t="s">
        <v>1</v>
      </c>
      <c r="L3" s="2" t="s">
        <v>2</v>
      </c>
      <c r="U3" s="24">
        <f>63/123</f>
        <v>0.51219512195121952</v>
      </c>
    </row>
    <row r="4" spans="1:21" s="5" customFormat="1" ht="43.5" x14ac:dyDescent="0.35">
      <c r="A4" s="4" t="s">
        <v>51</v>
      </c>
      <c r="B4" s="6" t="s">
        <v>4</v>
      </c>
      <c r="C4" s="6" t="s">
        <v>5</v>
      </c>
      <c r="D4" s="6" t="s">
        <v>6</v>
      </c>
      <c r="E4" s="6" t="s">
        <v>7</v>
      </c>
      <c r="F4"/>
      <c r="G4"/>
      <c r="K4" s="4" t="s">
        <v>51</v>
      </c>
      <c r="L4" s="6" t="s">
        <v>4</v>
      </c>
      <c r="M4" s="6" t="s">
        <v>5</v>
      </c>
      <c r="N4" s="6" t="s">
        <v>6</v>
      </c>
      <c r="O4" s="6" t="s">
        <v>7</v>
      </c>
      <c r="P4"/>
      <c r="Q4"/>
    </row>
    <row r="5" spans="1:21" x14ac:dyDescent="0.35">
      <c r="A5">
        <v>1</v>
      </c>
      <c r="C5">
        <v>14</v>
      </c>
      <c r="D5">
        <v>6</v>
      </c>
      <c r="E5">
        <v>20</v>
      </c>
      <c r="K5">
        <v>1</v>
      </c>
      <c r="M5">
        <v>14</v>
      </c>
      <c r="N5">
        <v>6</v>
      </c>
      <c r="O5">
        <v>20</v>
      </c>
    </row>
    <row r="6" spans="1:21" x14ac:dyDescent="0.35">
      <c r="A6">
        <v>2</v>
      </c>
      <c r="B6">
        <v>1</v>
      </c>
      <c r="C6">
        <v>9</v>
      </c>
      <c r="D6">
        <v>6</v>
      </c>
      <c r="E6">
        <v>16</v>
      </c>
      <c r="K6">
        <v>2</v>
      </c>
      <c r="L6">
        <v>1</v>
      </c>
      <c r="M6">
        <v>9</v>
      </c>
      <c r="N6">
        <v>6</v>
      </c>
      <c r="O6">
        <v>16</v>
      </c>
    </row>
    <row r="7" spans="1:21" x14ac:dyDescent="0.35">
      <c r="A7">
        <v>3</v>
      </c>
      <c r="B7">
        <v>3</v>
      </c>
      <c r="C7">
        <v>8</v>
      </c>
      <c r="D7">
        <v>10</v>
      </c>
      <c r="E7">
        <v>21</v>
      </c>
      <c r="K7">
        <v>3</v>
      </c>
      <c r="L7">
        <v>3</v>
      </c>
      <c r="M7">
        <v>8</v>
      </c>
      <c r="N7">
        <v>10</v>
      </c>
      <c r="O7">
        <v>21</v>
      </c>
    </row>
    <row r="8" spans="1:21" x14ac:dyDescent="0.35">
      <c r="A8">
        <v>4</v>
      </c>
      <c r="B8">
        <v>1</v>
      </c>
      <c r="C8">
        <v>19</v>
      </c>
      <c r="D8">
        <v>6</v>
      </c>
      <c r="E8">
        <v>26</v>
      </c>
      <c r="K8">
        <v>4</v>
      </c>
      <c r="L8">
        <v>1</v>
      </c>
      <c r="M8">
        <v>19</v>
      </c>
      <c r="N8">
        <v>6</v>
      </c>
      <c r="O8">
        <v>26</v>
      </c>
    </row>
    <row r="9" spans="1:21" x14ac:dyDescent="0.35">
      <c r="A9">
        <v>5</v>
      </c>
      <c r="B9">
        <v>2</v>
      </c>
      <c r="C9">
        <v>15</v>
      </c>
      <c r="D9">
        <v>3</v>
      </c>
      <c r="E9">
        <v>20</v>
      </c>
      <c r="K9">
        <v>5</v>
      </c>
      <c r="L9">
        <v>2</v>
      </c>
      <c r="M9">
        <v>15</v>
      </c>
      <c r="N9">
        <v>3</v>
      </c>
      <c r="O9">
        <v>20</v>
      </c>
    </row>
    <row r="10" spans="1:21" x14ac:dyDescent="0.35">
      <c r="A10">
        <v>6</v>
      </c>
      <c r="C10">
        <v>12</v>
      </c>
      <c r="D10">
        <v>12</v>
      </c>
      <c r="E10">
        <v>24</v>
      </c>
      <c r="K10">
        <v>6</v>
      </c>
      <c r="M10">
        <v>12</v>
      </c>
      <c r="N10">
        <v>12</v>
      </c>
      <c r="O10">
        <v>24</v>
      </c>
    </row>
    <row r="11" spans="1:21" x14ac:dyDescent="0.35">
      <c r="A11">
        <v>7</v>
      </c>
      <c r="C11">
        <v>13</v>
      </c>
      <c r="D11">
        <v>11</v>
      </c>
      <c r="E11">
        <v>24</v>
      </c>
      <c r="K11">
        <v>7</v>
      </c>
      <c r="M11">
        <v>13</v>
      </c>
      <c r="N11">
        <v>11</v>
      </c>
      <c r="O11">
        <v>24</v>
      </c>
    </row>
    <row r="12" spans="1:21" x14ac:dyDescent="0.35">
      <c r="A12">
        <v>8</v>
      </c>
      <c r="B12">
        <v>6</v>
      </c>
      <c r="C12">
        <v>11</v>
      </c>
      <c r="D12">
        <v>6</v>
      </c>
      <c r="E12">
        <v>23</v>
      </c>
      <c r="K12">
        <v>8</v>
      </c>
      <c r="L12">
        <v>6</v>
      </c>
      <c r="M12">
        <v>11</v>
      </c>
      <c r="N12">
        <v>6</v>
      </c>
      <c r="O12">
        <v>23</v>
      </c>
    </row>
    <row r="13" spans="1:21" x14ac:dyDescent="0.35">
      <c r="A13">
        <v>9</v>
      </c>
      <c r="B13">
        <v>6</v>
      </c>
      <c r="C13">
        <v>13</v>
      </c>
      <c r="D13">
        <v>3</v>
      </c>
      <c r="E13">
        <v>22</v>
      </c>
      <c r="K13">
        <v>9</v>
      </c>
      <c r="L13">
        <v>6</v>
      </c>
      <c r="M13">
        <v>13</v>
      </c>
      <c r="N13">
        <v>3</v>
      </c>
      <c r="O13">
        <v>22</v>
      </c>
    </row>
    <row r="14" spans="1:21" x14ac:dyDescent="0.35">
      <c r="A14">
        <v>10</v>
      </c>
      <c r="B14">
        <v>6</v>
      </c>
      <c r="C14">
        <v>13</v>
      </c>
      <c r="D14">
        <v>5</v>
      </c>
      <c r="E14">
        <v>24</v>
      </c>
      <c r="K14">
        <v>10</v>
      </c>
      <c r="L14">
        <v>6</v>
      </c>
      <c r="M14">
        <v>13</v>
      </c>
      <c r="N14">
        <v>5</v>
      </c>
      <c r="O14">
        <v>24</v>
      </c>
    </row>
    <row r="15" spans="1:21" x14ac:dyDescent="0.35">
      <c r="A15" t="s">
        <v>7</v>
      </c>
      <c r="B15">
        <v>25</v>
      </c>
      <c r="C15">
        <v>127</v>
      </c>
      <c r="D15">
        <v>68</v>
      </c>
      <c r="E15">
        <v>220</v>
      </c>
      <c r="K15" t="s">
        <v>7</v>
      </c>
      <c r="L15">
        <v>25</v>
      </c>
      <c r="M15">
        <v>127</v>
      </c>
      <c r="N15">
        <v>68</v>
      </c>
      <c r="O15">
        <v>220</v>
      </c>
    </row>
    <row r="21" spans="1:5" x14ac:dyDescent="0.35">
      <c r="A21" s="2" t="s">
        <v>1</v>
      </c>
      <c r="B21" s="2" t="s">
        <v>2</v>
      </c>
    </row>
    <row r="22" spans="1:5" ht="43.5" x14ac:dyDescent="0.35">
      <c r="A22" s="4" t="s">
        <v>51</v>
      </c>
      <c r="B22" s="6" t="s">
        <v>4</v>
      </c>
      <c r="C22" s="6" t="s">
        <v>5</v>
      </c>
      <c r="D22" s="6" t="s">
        <v>6</v>
      </c>
      <c r="E22" s="7" t="s">
        <v>7</v>
      </c>
    </row>
    <row r="23" spans="1:5" x14ac:dyDescent="0.35">
      <c r="A23">
        <v>1</v>
      </c>
      <c r="B23" s="8">
        <v>0</v>
      </c>
      <c r="C23" s="8">
        <v>0.7</v>
      </c>
      <c r="D23" s="8">
        <v>0.3</v>
      </c>
      <c r="E23" s="8">
        <v>1</v>
      </c>
    </row>
    <row r="24" spans="1:5" x14ac:dyDescent="0.35">
      <c r="A24">
        <v>2</v>
      </c>
      <c r="B24" s="8">
        <v>6.25E-2</v>
      </c>
      <c r="C24" s="8">
        <v>0.5625</v>
      </c>
      <c r="D24" s="8">
        <v>0.375</v>
      </c>
      <c r="E24" s="8">
        <v>1</v>
      </c>
    </row>
    <row r="25" spans="1:5" x14ac:dyDescent="0.35">
      <c r="A25">
        <v>3</v>
      </c>
      <c r="B25" s="8">
        <v>0.14285714285714285</v>
      </c>
      <c r="C25" s="8">
        <v>0.38095238095238093</v>
      </c>
      <c r="D25" s="8">
        <v>0.47619047619047616</v>
      </c>
      <c r="E25" s="8">
        <v>1</v>
      </c>
    </row>
    <row r="26" spans="1:5" x14ac:dyDescent="0.35">
      <c r="A26">
        <v>4</v>
      </c>
      <c r="B26" s="8">
        <v>3.8461538461538464E-2</v>
      </c>
      <c r="C26" s="8">
        <v>0.73076923076923073</v>
      </c>
      <c r="D26" s="8">
        <v>0.23076923076923078</v>
      </c>
      <c r="E26" s="8">
        <v>1</v>
      </c>
    </row>
    <row r="27" spans="1:5" x14ac:dyDescent="0.35">
      <c r="A27">
        <v>5</v>
      </c>
      <c r="B27" s="8">
        <v>0.1</v>
      </c>
      <c r="C27" s="8">
        <v>0.75</v>
      </c>
      <c r="D27" s="8">
        <v>0.15</v>
      </c>
      <c r="E27" s="8">
        <v>1</v>
      </c>
    </row>
    <row r="28" spans="1:5" x14ac:dyDescent="0.35">
      <c r="A28">
        <v>6</v>
      </c>
      <c r="B28" s="8">
        <v>0</v>
      </c>
      <c r="C28" s="8">
        <v>0.5</v>
      </c>
      <c r="D28" s="8">
        <v>0.5</v>
      </c>
      <c r="E28" s="8">
        <v>1</v>
      </c>
    </row>
    <row r="29" spans="1:5" x14ac:dyDescent="0.35">
      <c r="A29">
        <v>7</v>
      </c>
      <c r="B29" s="8">
        <v>0</v>
      </c>
      <c r="C29" s="8">
        <v>0.54166666666666663</v>
      </c>
      <c r="D29" s="8">
        <v>0.45833333333333331</v>
      </c>
      <c r="E29" s="8">
        <v>1</v>
      </c>
    </row>
    <row r="30" spans="1:5" x14ac:dyDescent="0.35">
      <c r="A30">
        <v>8</v>
      </c>
      <c r="B30" s="8">
        <v>0.2608695652173913</v>
      </c>
      <c r="C30" s="8">
        <v>0.47826086956521741</v>
      </c>
      <c r="D30" s="8">
        <v>0.2608695652173913</v>
      </c>
      <c r="E30" s="8">
        <v>1</v>
      </c>
    </row>
    <row r="31" spans="1:5" x14ac:dyDescent="0.35">
      <c r="A31">
        <v>9</v>
      </c>
      <c r="B31" s="8">
        <v>0.27272727272727271</v>
      </c>
      <c r="C31" s="8">
        <v>0.59090909090909094</v>
      </c>
      <c r="D31" s="8">
        <v>0.13636363636363635</v>
      </c>
      <c r="E31" s="8">
        <v>1</v>
      </c>
    </row>
    <row r="32" spans="1:5" x14ac:dyDescent="0.35">
      <c r="A32">
        <v>10</v>
      </c>
      <c r="B32" s="8">
        <v>0.25</v>
      </c>
      <c r="C32" s="8">
        <v>0.54166666666666663</v>
      </c>
      <c r="D32" s="8">
        <v>0.20833333333333334</v>
      </c>
      <c r="E32" s="8">
        <v>1</v>
      </c>
    </row>
    <row r="33" spans="1:5" x14ac:dyDescent="0.35">
      <c r="A33" t="s">
        <v>7</v>
      </c>
      <c r="B33" s="8">
        <v>0.11363636363636363</v>
      </c>
      <c r="C33" s="8">
        <v>0.57727272727272727</v>
      </c>
      <c r="D33" s="8">
        <v>0.30909090909090908</v>
      </c>
      <c r="E33" s="8">
        <v>1</v>
      </c>
    </row>
    <row r="37" spans="1:5" x14ac:dyDescent="0.35">
      <c r="A37" s="2" t="s">
        <v>1</v>
      </c>
      <c r="B37" s="2" t="s">
        <v>2</v>
      </c>
    </row>
    <row r="38" spans="1:5" ht="43.5" x14ac:dyDescent="0.35">
      <c r="A38" s="2" t="s">
        <v>50</v>
      </c>
      <c r="B38" s="6" t="s">
        <v>4</v>
      </c>
      <c r="C38" s="6" t="s">
        <v>5</v>
      </c>
      <c r="D38" s="6" t="s">
        <v>6</v>
      </c>
      <c r="E38" s="6" t="s">
        <v>7</v>
      </c>
    </row>
    <row r="39" spans="1:5" x14ac:dyDescent="0.35">
      <c r="A39" t="s">
        <v>41</v>
      </c>
      <c r="B39">
        <v>15</v>
      </c>
      <c r="C39">
        <v>70</v>
      </c>
      <c r="D39">
        <v>38</v>
      </c>
      <c r="E39">
        <v>123</v>
      </c>
    </row>
    <row r="40" spans="1:5" x14ac:dyDescent="0.35">
      <c r="A40" t="s">
        <v>42</v>
      </c>
      <c r="B40">
        <v>10</v>
      </c>
      <c r="C40">
        <v>57</v>
      </c>
      <c r="D40">
        <v>30</v>
      </c>
      <c r="E40">
        <v>97</v>
      </c>
    </row>
    <row r="41" spans="1:5" x14ac:dyDescent="0.35">
      <c r="A41" t="s">
        <v>7</v>
      </c>
      <c r="B41">
        <v>25</v>
      </c>
      <c r="C41">
        <v>127</v>
      </c>
      <c r="D41">
        <v>68</v>
      </c>
      <c r="E41">
        <v>220</v>
      </c>
    </row>
    <row r="44" spans="1:5" x14ac:dyDescent="0.35">
      <c r="A44" s="2" t="s">
        <v>37</v>
      </c>
      <c r="B44" t="s">
        <v>38</v>
      </c>
    </row>
    <row r="46" spans="1:5" x14ac:dyDescent="0.35">
      <c r="A46" s="2" t="s">
        <v>1</v>
      </c>
      <c r="B46" s="2" t="s">
        <v>50</v>
      </c>
    </row>
    <row r="47" spans="1:5" x14ac:dyDescent="0.35">
      <c r="A47" s="2" t="s">
        <v>61</v>
      </c>
      <c r="B47" t="s">
        <v>41</v>
      </c>
      <c r="C47" t="s">
        <v>42</v>
      </c>
      <c r="D47" s="6" t="s">
        <v>7</v>
      </c>
    </row>
    <row r="48" spans="1:5" x14ac:dyDescent="0.35">
      <c r="A48" t="s">
        <v>919</v>
      </c>
      <c r="B48">
        <v>1</v>
      </c>
      <c r="C48">
        <v>2</v>
      </c>
      <c r="D48">
        <v>3</v>
      </c>
    </row>
    <row r="49" spans="1:4" x14ac:dyDescent="0.35">
      <c r="A49" t="s">
        <v>920</v>
      </c>
      <c r="B49">
        <v>2</v>
      </c>
      <c r="C49">
        <v>3</v>
      </c>
      <c r="D49">
        <v>5</v>
      </c>
    </row>
    <row r="50" spans="1:4" x14ac:dyDescent="0.35">
      <c r="A50" t="s">
        <v>921</v>
      </c>
      <c r="B50">
        <v>2</v>
      </c>
      <c r="C50">
        <v>6</v>
      </c>
      <c r="D50">
        <v>8</v>
      </c>
    </row>
    <row r="51" spans="1:4" x14ac:dyDescent="0.35">
      <c r="A51" t="s">
        <v>922</v>
      </c>
      <c r="B51">
        <v>7</v>
      </c>
      <c r="C51">
        <v>9</v>
      </c>
      <c r="D51">
        <v>16</v>
      </c>
    </row>
    <row r="52" spans="1:4" x14ac:dyDescent="0.35">
      <c r="A52" t="s">
        <v>923</v>
      </c>
      <c r="B52">
        <v>7</v>
      </c>
      <c r="C52">
        <v>8</v>
      </c>
      <c r="D52">
        <v>15</v>
      </c>
    </row>
    <row r="53" spans="1:4" x14ac:dyDescent="0.35">
      <c r="A53" t="s">
        <v>924</v>
      </c>
      <c r="B53">
        <v>7</v>
      </c>
      <c r="C53">
        <v>9</v>
      </c>
      <c r="D53">
        <v>16</v>
      </c>
    </row>
    <row r="54" spans="1:4" x14ac:dyDescent="0.35">
      <c r="A54" t="s">
        <v>925</v>
      </c>
      <c r="B54">
        <v>13</v>
      </c>
      <c r="C54">
        <v>11</v>
      </c>
      <c r="D54">
        <v>24</v>
      </c>
    </row>
    <row r="55" spans="1:4" x14ac:dyDescent="0.35">
      <c r="A55" t="s">
        <v>926</v>
      </c>
      <c r="B55">
        <v>6</v>
      </c>
      <c r="C55">
        <v>4</v>
      </c>
      <c r="D55">
        <v>10</v>
      </c>
    </row>
    <row r="56" spans="1:4" x14ac:dyDescent="0.35">
      <c r="A56" t="s">
        <v>927</v>
      </c>
      <c r="B56">
        <v>20</v>
      </c>
      <c r="C56">
        <v>10</v>
      </c>
      <c r="D56">
        <v>30</v>
      </c>
    </row>
    <row r="57" spans="1:4" x14ac:dyDescent="0.35">
      <c r="A57" t="s">
        <v>928</v>
      </c>
      <c r="B57">
        <v>11</v>
      </c>
      <c r="C57">
        <v>3</v>
      </c>
      <c r="D57">
        <v>14</v>
      </c>
    </row>
    <row r="58" spans="1:4" x14ac:dyDescent="0.35">
      <c r="A58" t="s">
        <v>929</v>
      </c>
      <c r="B58">
        <v>13</v>
      </c>
      <c r="C58">
        <v>9</v>
      </c>
      <c r="D58">
        <v>22</v>
      </c>
    </row>
    <row r="59" spans="1:4" x14ac:dyDescent="0.35">
      <c r="A59" t="s">
        <v>930</v>
      </c>
      <c r="B59">
        <v>10</v>
      </c>
      <c r="C59">
        <v>10</v>
      </c>
      <c r="D59">
        <v>20</v>
      </c>
    </row>
    <row r="60" spans="1:4" x14ac:dyDescent="0.35">
      <c r="A60" t="s">
        <v>931</v>
      </c>
      <c r="B60">
        <v>9</v>
      </c>
      <c r="C60">
        <v>3</v>
      </c>
      <c r="D60">
        <v>12</v>
      </c>
    </row>
    <row r="61" spans="1:4" x14ac:dyDescent="0.35">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5" x14ac:dyDescent="0.35"/>
  <cols>
    <col min="1" max="1" width="29.81640625" bestFit="1" customWidth="1"/>
    <col min="2" max="2" width="28.26953125" bestFit="1" customWidth="1"/>
    <col min="3" max="3" width="19" bestFit="1" customWidth="1"/>
    <col min="4" max="4" width="19.453125" bestFit="1" customWidth="1"/>
    <col min="5" max="5" width="11.7265625" bestFit="1" customWidth="1"/>
    <col min="6" max="6" width="10.7265625" bestFit="1" customWidth="1"/>
    <col min="7" max="7" width="10.54296875" bestFit="1" customWidth="1"/>
    <col min="8" max="8" width="18.453125" bestFit="1" customWidth="1"/>
    <col min="9" max="9" width="19.1796875" bestFit="1" customWidth="1"/>
    <col min="10" max="10" width="21.54296875" bestFit="1" customWidth="1"/>
    <col min="11" max="11" width="28.1796875" bestFit="1" customWidth="1"/>
    <col min="12" max="12" width="10.54296875" bestFit="1" customWidth="1"/>
  </cols>
  <sheetData>
    <row r="2" spans="1:5" x14ac:dyDescent="0.35">
      <c r="A2" s="2" t="s">
        <v>1</v>
      </c>
      <c r="B2" s="2" t="s">
        <v>2</v>
      </c>
    </row>
    <row r="3" spans="1:5" x14ac:dyDescent="0.35">
      <c r="A3" s="2" t="s">
        <v>21</v>
      </c>
      <c r="B3" t="s">
        <v>4</v>
      </c>
      <c r="C3" t="s">
        <v>5</v>
      </c>
      <c r="D3" t="s">
        <v>6</v>
      </c>
      <c r="E3" t="s">
        <v>7</v>
      </c>
    </row>
    <row r="4" spans="1:5" x14ac:dyDescent="0.35">
      <c r="A4" t="s">
        <v>11</v>
      </c>
      <c r="B4">
        <v>1</v>
      </c>
      <c r="C4">
        <v>12</v>
      </c>
      <c r="D4">
        <v>5</v>
      </c>
      <c r="E4">
        <v>18</v>
      </c>
    </row>
    <row r="5" spans="1:5" x14ac:dyDescent="0.35">
      <c r="A5" t="s">
        <v>12</v>
      </c>
      <c r="B5">
        <v>4</v>
      </c>
      <c r="C5">
        <v>5</v>
      </c>
      <c r="D5">
        <v>2</v>
      </c>
      <c r="E5">
        <v>11</v>
      </c>
    </row>
    <row r="6" spans="1:5" x14ac:dyDescent="0.35">
      <c r="A6" t="s">
        <v>13</v>
      </c>
      <c r="C6">
        <v>3</v>
      </c>
      <c r="D6">
        <v>17</v>
      </c>
      <c r="E6">
        <v>20</v>
      </c>
    </row>
    <row r="7" spans="1:5" x14ac:dyDescent="0.35">
      <c r="A7" t="s">
        <v>14</v>
      </c>
      <c r="C7">
        <v>4</v>
      </c>
      <c r="D7">
        <v>2</v>
      </c>
      <c r="E7">
        <v>6</v>
      </c>
    </row>
    <row r="8" spans="1:5" x14ac:dyDescent="0.35">
      <c r="A8" t="s">
        <v>15</v>
      </c>
      <c r="B8">
        <v>4</v>
      </c>
      <c r="C8">
        <v>16</v>
      </c>
      <c r="D8">
        <v>12</v>
      </c>
      <c r="E8">
        <v>32</v>
      </c>
    </row>
    <row r="9" spans="1:5" x14ac:dyDescent="0.35">
      <c r="A9" t="s">
        <v>17</v>
      </c>
      <c r="B9">
        <v>5</v>
      </c>
      <c r="C9">
        <v>14</v>
      </c>
      <c r="D9">
        <v>8</v>
      </c>
      <c r="E9">
        <v>27</v>
      </c>
    </row>
    <row r="10" spans="1:5" x14ac:dyDescent="0.35">
      <c r="A10" t="s">
        <v>18</v>
      </c>
      <c r="B10">
        <v>2</v>
      </c>
      <c r="C10">
        <v>6</v>
      </c>
      <c r="E10">
        <v>8</v>
      </c>
    </row>
    <row r="11" spans="1:5" x14ac:dyDescent="0.35">
      <c r="A11" t="s">
        <v>19</v>
      </c>
      <c r="B11">
        <v>7</v>
      </c>
      <c r="C11">
        <v>58</v>
      </c>
      <c r="D11">
        <v>15</v>
      </c>
      <c r="E11">
        <v>80</v>
      </c>
    </row>
    <row r="12" spans="1:5" x14ac:dyDescent="0.35">
      <c r="A12" t="s">
        <v>16</v>
      </c>
      <c r="B12">
        <v>2</v>
      </c>
      <c r="C12">
        <v>9</v>
      </c>
      <c r="D12">
        <v>7</v>
      </c>
      <c r="E12">
        <v>18</v>
      </c>
    </row>
    <row r="13" spans="1:5" x14ac:dyDescent="0.35">
      <c r="A13" t="s">
        <v>7</v>
      </c>
      <c r="B13">
        <v>25</v>
      </c>
      <c r="C13">
        <v>127</v>
      </c>
      <c r="D13">
        <v>68</v>
      </c>
      <c r="E13">
        <v>220</v>
      </c>
    </row>
    <row r="19" spans="1:5" x14ac:dyDescent="0.35">
      <c r="A19" s="2" t="s">
        <v>1</v>
      </c>
      <c r="B19" s="2" t="s">
        <v>2</v>
      </c>
    </row>
    <row r="20" spans="1:5" x14ac:dyDescent="0.35">
      <c r="A20" s="2" t="s">
        <v>21</v>
      </c>
      <c r="B20" t="s">
        <v>4</v>
      </c>
      <c r="C20" t="s">
        <v>5</v>
      </c>
      <c r="D20" t="s">
        <v>6</v>
      </c>
      <c r="E20" t="s">
        <v>7</v>
      </c>
    </row>
    <row r="21" spans="1:5" x14ac:dyDescent="0.35">
      <c r="A21" t="s">
        <v>11</v>
      </c>
      <c r="B21" s="8">
        <v>5.5555555555555552E-2</v>
      </c>
      <c r="C21" s="8">
        <v>0.66666666666666663</v>
      </c>
      <c r="D21" s="8">
        <v>0.27777777777777779</v>
      </c>
      <c r="E21" s="8">
        <v>1</v>
      </c>
    </row>
    <row r="22" spans="1:5" x14ac:dyDescent="0.35">
      <c r="A22" t="s">
        <v>12</v>
      </c>
      <c r="B22" s="8">
        <v>0.36363636363636365</v>
      </c>
      <c r="C22" s="8">
        <v>0.45454545454545453</v>
      </c>
      <c r="D22" s="8">
        <v>0.18181818181818182</v>
      </c>
      <c r="E22" s="8">
        <v>1</v>
      </c>
    </row>
    <row r="23" spans="1:5" x14ac:dyDescent="0.35">
      <c r="A23" t="s">
        <v>13</v>
      </c>
      <c r="B23" s="8">
        <v>0</v>
      </c>
      <c r="C23" s="8">
        <v>0.15</v>
      </c>
      <c r="D23" s="8">
        <v>0.85</v>
      </c>
      <c r="E23" s="8">
        <v>1</v>
      </c>
    </row>
    <row r="24" spans="1:5" x14ac:dyDescent="0.35">
      <c r="A24" t="s">
        <v>14</v>
      </c>
      <c r="B24" s="8">
        <v>0</v>
      </c>
      <c r="C24" s="8">
        <v>0.66666666666666663</v>
      </c>
      <c r="D24" s="8">
        <v>0.33333333333333331</v>
      </c>
      <c r="E24" s="8">
        <v>1</v>
      </c>
    </row>
    <row r="25" spans="1:5" x14ac:dyDescent="0.35">
      <c r="A25" t="s">
        <v>15</v>
      </c>
      <c r="B25" s="8">
        <v>0.125</v>
      </c>
      <c r="C25" s="8">
        <v>0.5</v>
      </c>
      <c r="D25" s="8">
        <v>0.375</v>
      </c>
      <c r="E25" s="8">
        <v>1</v>
      </c>
    </row>
    <row r="26" spans="1:5" x14ac:dyDescent="0.35">
      <c r="A26" t="s">
        <v>17</v>
      </c>
      <c r="B26" s="8">
        <v>0.18518518518518517</v>
      </c>
      <c r="C26" s="8">
        <v>0.51851851851851849</v>
      </c>
      <c r="D26" s="8">
        <v>0.29629629629629628</v>
      </c>
      <c r="E26" s="8">
        <v>1</v>
      </c>
    </row>
    <row r="27" spans="1:5" x14ac:dyDescent="0.35">
      <c r="A27" t="s">
        <v>18</v>
      </c>
      <c r="B27" s="8">
        <v>0.25</v>
      </c>
      <c r="C27" s="8">
        <v>0.75</v>
      </c>
      <c r="D27" s="8">
        <v>0</v>
      </c>
      <c r="E27" s="8">
        <v>1</v>
      </c>
    </row>
    <row r="28" spans="1:5" x14ac:dyDescent="0.35">
      <c r="A28" t="s">
        <v>19</v>
      </c>
      <c r="B28" s="8">
        <v>8.7499999999999994E-2</v>
      </c>
      <c r="C28" s="8">
        <v>0.72499999999999998</v>
      </c>
      <c r="D28" s="8">
        <v>0.1875</v>
      </c>
      <c r="E28" s="8">
        <v>1</v>
      </c>
    </row>
    <row r="29" spans="1:5" x14ac:dyDescent="0.35">
      <c r="A29" t="s">
        <v>16</v>
      </c>
      <c r="B29" s="8">
        <v>0.1111111111111111</v>
      </c>
      <c r="C29" s="8">
        <v>0.5</v>
      </c>
      <c r="D29" s="8">
        <v>0.3888888888888889</v>
      </c>
      <c r="E29" s="8">
        <v>1</v>
      </c>
    </row>
    <row r="30" spans="1:5" x14ac:dyDescent="0.3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5" x14ac:dyDescent="0.35"/>
  <cols>
    <col min="2" max="2" width="13.1796875" bestFit="1" customWidth="1"/>
    <col min="3" max="3" width="10.453125" bestFit="1" customWidth="1"/>
    <col min="4" max="11" width="2.26953125" bestFit="1" customWidth="1"/>
    <col min="12" max="12" width="3.26953125" bestFit="1" customWidth="1"/>
    <col min="13" max="13" width="10.81640625" bestFit="1" customWidth="1"/>
    <col min="14" max="71" width="31.54296875" bestFit="1" customWidth="1"/>
    <col min="72" max="72" width="10.81640625" bestFit="1" customWidth="1"/>
    <col min="73" max="75" width="4" bestFit="1" customWidth="1"/>
    <col min="76" max="76" width="6.7265625" bestFit="1" customWidth="1"/>
    <col min="77" max="92" width="4" bestFit="1" customWidth="1"/>
    <col min="93" max="93" width="6.7265625" bestFit="1" customWidth="1"/>
    <col min="94" max="111" width="4" bestFit="1" customWidth="1"/>
    <col min="112" max="112" width="6.7265625" bestFit="1" customWidth="1"/>
    <col min="113" max="129" width="3.54296875" bestFit="1" customWidth="1"/>
    <col min="130" max="130" width="6.7265625" bestFit="1" customWidth="1"/>
    <col min="131" max="141" width="3.54296875" bestFit="1" customWidth="1"/>
    <col min="142" max="142" width="6.7265625" bestFit="1" customWidth="1"/>
    <col min="143" max="153" width="3.54296875" bestFit="1" customWidth="1"/>
    <col min="154" max="154" width="6.7265625" bestFit="1" customWidth="1"/>
    <col min="155" max="159" width="4.54296875" bestFit="1" customWidth="1"/>
    <col min="160" max="160" width="7.7265625" bestFit="1" customWidth="1"/>
    <col min="161" max="161" width="10.81640625" bestFit="1" customWidth="1"/>
  </cols>
  <sheetData>
    <row r="1" spans="2:12" x14ac:dyDescent="0.35">
      <c r="B1" s="2" t="s">
        <v>50</v>
      </c>
      <c r="C1" t="s">
        <v>917</v>
      </c>
    </row>
    <row r="2" spans="2:12" x14ac:dyDescent="0.35">
      <c r="B2" s="2" t="s">
        <v>2</v>
      </c>
      <c r="C2" t="s">
        <v>917</v>
      </c>
    </row>
    <row r="4" spans="2:12" x14ac:dyDescent="0.35">
      <c r="C4" s="2" t="s">
        <v>51</v>
      </c>
    </row>
    <row r="5" spans="2:12" x14ac:dyDescent="0.35">
      <c r="B5" s="2" t="s">
        <v>46</v>
      </c>
      <c r="C5">
        <v>1</v>
      </c>
      <c r="D5">
        <v>2</v>
      </c>
      <c r="E5">
        <v>3</v>
      </c>
      <c r="F5">
        <v>4</v>
      </c>
      <c r="G5">
        <v>5</v>
      </c>
      <c r="H5">
        <v>6</v>
      </c>
      <c r="I5">
        <v>7</v>
      </c>
      <c r="J5">
        <v>8</v>
      </c>
      <c r="K5">
        <v>9</v>
      </c>
      <c r="L5">
        <v>10</v>
      </c>
    </row>
    <row r="6" spans="2:12" x14ac:dyDescent="0.35">
      <c r="B6" t="s">
        <v>151</v>
      </c>
    </row>
    <row r="7" spans="2:12" x14ac:dyDescent="0.35">
      <c r="B7" t="s">
        <v>200</v>
      </c>
    </row>
    <row r="8" spans="2:12" x14ac:dyDescent="0.35">
      <c r="B8" t="s">
        <v>183</v>
      </c>
    </row>
    <row r="9" spans="2:12" x14ac:dyDescent="0.35">
      <c r="B9" t="s">
        <v>237</v>
      </c>
    </row>
    <row r="10" spans="2:12" x14ac:dyDescent="0.35">
      <c r="B10" t="s">
        <v>799</v>
      </c>
    </row>
    <row r="11" spans="2:12" x14ac:dyDescent="0.35">
      <c r="B11" t="s">
        <v>791</v>
      </c>
    </row>
    <row r="12" spans="2:12" x14ac:dyDescent="0.35">
      <c r="B12" t="s">
        <v>257</v>
      </c>
    </row>
    <row r="13" spans="2:12" x14ac:dyDescent="0.35">
      <c r="B13" t="s">
        <v>750</v>
      </c>
    </row>
    <row r="14" spans="2:12" x14ac:dyDescent="0.35">
      <c r="B14" t="s">
        <v>321</v>
      </c>
    </row>
    <row r="15" spans="2:12" x14ac:dyDescent="0.35">
      <c r="B15" t="s">
        <v>308</v>
      </c>
    </row>
    <row r="16" spans="2:12" x14ac:dyDescent="0.35">
      <c r="B16" t="s">
        <v>402</v>
      </c>
    </row>
    <row r="17" spans="2:2" x14ac:dyDescent="0.35">
      <c r="B17" t="s">
        <v>529</v>
      </c>
    </row>
    <row r="18" spans="2:2" x14ac:dyDescent="0.35">
      <c r="B18" t="s">
        <v>261</v>
      </c>
    </row>
    <row r="19" spans="2:2" x14ac:dyDescent="0.35">
      <c r="B19" t="s">
        <v>551</v>
      </c>
    </row>
    <row r="20" spans="2:2" x14ac:dyDescent="0.35">
      <c r="B20" t="s">
        <v>437</v>
      </c>
    </row>
    <row r="21" spans="2:2" x14ac:dyDescent="0.35">
      <c r="B21" t="s">
        <v>648</v>
      </c>
    </row>
    <row r="22" spans="2:2" x14ac:dyDescent="0.35">
      <c r="B22" t="s">
        <v>661</v>
      </c>
    </row>
    <row r="23" spans="2:2" x14ac:dyDescent="0.35">
      <c r="B23" t="s">
        <v>737</v>
      </c>
    </row>
    <row r="24" spans="2:2" x14ac:dyDescent="0.35">
      <c r="B24" t="s">
        <v>729</v>
      </c>
    </row>
    <row r="25" spans="2:2" x14ac:dyDescent="0.35">
      <c r="B25" t="s">
        <v>731</v>
      </c>
    </row>
    <row r="26" spans="2:2" x14ac:dyDescent="0.35">
      <c r="B26" t="s">
        <v>118</v>
      </c>
    </row>
    <row r="27" spans="2:2" x14ac:dyDescent="0.35">
      <c r="B27" t="s">
        <v>768</v>
      </c>
    </row>
    <row r="28" spans="2:2" x14ac:dyDescent="0.35">
      <c r="B28" t="s">
        <v>374</v>
      </c>
    </row>
    <row r="29" spans="2:2" x14ac:dyDescent="0.35">
      <c r="B29" t="s">
        <v>775</v>
      </c>
    </row>
    <row r="30" spans="2:2" x14ac:dyDescent="0.35">
      <c r="B30" t="s">
        <v>779</v>
      </c>
    </row>
    <row r="31" spans="2:2" x14ac:dyDescent="0.35">
      <c r="B31" t="s">
        <v>160</v>
      </c>
    </row>
    <row r="32" spans="2:2" x14ac:dyDescent="0.35">
      <c r="B32" t="s">
        <v>215</v>
      </c>
    </row>
    <row r="33" spans="2:2" x14ac:dyDescent="0.35">
      <c r="B33" t="s">
        <v>789</v>
      </c>
    </row>
    <row r="34" spans="2:2" x14ac:dyDescent="0.35">
      <c r="B34" t="s">
        <v>314</v>
      </c>
    </row>
    <row r="35" spans="2:2" x14ac:dyDescent="0.35">
      <c r="B35" t="s">
        <v>368</v>
      </c>
    </row>
    <row r="36" spans="2:2" x14ac:dyDescent="0.35">
      <c r="B36" t="s">
        <v>372</v>
      </c>
    </row>
    <row r="37" spans="2:2" x14ac:dyDescent="0.35">
      <c r="B37" t="s">
        <v>441</v>
      </c>
    </row>
    <row r="38" spans="2:2" x14ac:dyDescent="0.35">
      <c r="B38" t="s">
        <v>495</v>
      </c>
    </row>
    <row r="39" spans="2:2" x14ac:dyDescent="0.35">
      <c r="B39" t="s">
        <v>809</v>
      </c>
    </row>
    <row r="40" spans="2:2" x14ac:dyDescent="0.35">
      <c r="B40" t="s">
        <v>812</v>
      </c>
    </row>
    <row r="41" spans="2:2" x14ac:dyDescent="0.35">
      <c r="B41" t="s">
        <v>816</v>
      </c>
    </row>
    <row r="42" spans="2:2" x14ac:dyDescent="0.35">
      <c r="B42" t="s">
        <v>820</v>
      </c>
    </row>
    <row r="43" spans="2:2" x14ac:dyDescent="0.35">
      <c r="B43" t="s">
        <v>824</v>
      </c>
    </row>
    <row r="44" spans="2:2" x14ac:dyDescent="0.35">
      <c r="B44" t="s">
        <v>828</v>
      </c>
    </row>
    <row r="45" spans="2:2" x14ac:dyDescent="0.35">
      <c r="B45" t="s">
        <v>692</v>
      </c>
    </row>
    <row r="46" spans="2:2" x14ac:dyDescent="0.35">
      <c r="B46" t="s">
        <v>835</v>
      </c>
    </row>
    <row r="47" spans="2:2" x14ac:dyDescent="0.35">
      <c r="B47" t="s">
        <v>838</v>
      </c>
    </row>
    <row r="48" spans="2:2" x14ac:dyDescent="0.35">
      <c r="B48" t="s">
        <v>842</v>
      </c>
    </row>
    <row r="49" spans="2:2" x14ac:dyDescent="0.35">
      <c r="B49" t="s">
        <v>845</v>
      </c>
    </row>
    <row r="50" spans="2:2" x14ac:dyDescent="0.35">
      <c r="B50" t="s">
        <v>85</v>
      </c>
    </row>
    <row r="51" spans="2:2" x14ac:dyDescent="0.35">
      <c r="B51" t="s">
        <v>122</v>
      </c>
    </row>
    <row r="52" spans="2:2" x14ac:dyDescent="0.35">
      <c r="B52" t="s">
        <v>144</v>
      </c>
    </row>
    <row r="53" spans="2:2" x14ac:dyDescent="0.35">
      <c r="B53" t="s">
        <v>227</v>
      </c>
    </row>
    <row r="54" spans="2:2" x14ac:dyDescent="0.35">
      <c r="B54" t="s">
        <v>268</v>
      </c>
    </row>
    <row r="55" spans="2:2" x14ac:dyDescent="0.35">
      <c r="B55" t="s">
        <v>721</v>
      </c>
    </row>
    <row r="56" spans="2:2" x14ac:dyDescent="0.35">
      <c r="B56" t="s">
        <v>95</v>
      </c>
    </row>
    <row r="57" spans="2:2" x14ac:dyDescent="0.35">
      <c r="B57" t="s">
        <v>176</v>
      </c>
    </row>
    <row r="58" spans="2:2" x14ac:dyDescent="0.35">
      <c r="B58" t="s">
        <v>352</v>
      </c>
    </row>
    <row r="59" spans="2:2" x14ac:dyDescent="0.35">
      <c r="B59" t="s">
        <v>398</v>
      </c>
    </row>
    <row r="60" spans="2:2" x14ac:dyDescent="0.35">
      <c r="B60" t="s">
        <v>561</v>
      </c>
    </row>
    <row r="61" spans="2:2" x14ac:dyDescent="0.35">
      <c r="B61" t="s">
        <v>507</v>
      </c>
    </row>
    <row r="62" spans="2:2" x14ac:dyDescent="0.35">
      <c r="B62" t="s">
        <v>77</v>
      </c>
    </row>
    <row r="63" spans="2:2" x14ac:dyDescent="0.35">
      <c r="B63" t="s">
        <v>651</v>
      </c>
    </row>
    <row r="64" spans="2:2" x14ac:dyDescent="0.35">
      <c r="B64" t="s">
        <v>547</v>
      </c>
    </row>
    <row r="65" spans="2:2" x14ac:dyDescent="0.35">
      <c r="B65" t="s">
        <v>544</v>
      </c>
    </row>
    <row r="66" spans="2:2" x14ac:dyDescent="0.35">
      <c r="B66" t="s">
        <v>88</v>
      </c>
    </row>
    <row r="67" spans="2:2" x14ac:dyDescent="0.35">
      <c r="B67" t="s">
        <v>129</v>
      </c>
    </row>
    <row r="68" spans="2:2" x14ac:dyDescent="0.35">
      <c r="B68" t="s">
        <v>136</v>
      </c>
    </row>
    <row r="69" spans="2:2" x14ac:dyDescent="0.35">
      <c r="B69" t="s">
        <v>99</v>
      </c>
    </row>
    <row r="70" spans="2:2" x14ac:dyDescent="0.35">
      <c r="B70" t="s">
        <v>431</v>
      </c>
    </row>
    <row r="71" spans="2:2" x14ac:dyDescent="0.35">
      <c r="B71" t="s">
        <v>204</v>
      </c>
    </row>
    <row r="72" spans="2:2" x14ac:dyDescent="0.35">
      <c r="B72" t="s">
        <v>604</v>
      </c>
    </row>
    <row r="73" spans="2:2" x14ac:dyDescent="0.35">
      <c r="B73" t="s">
        <v>764</v>
      </c>
    </row>
    <row r="74" spans="2:2" x14ac:dyDescent="0.35">
      <c r="B74" t="s">
        <v>233</v>
      </c>
    </row>
    <row r="75" spans="2:2" x14ac:dyDescent="0.35">
      <c r="B75" t="s">
        <v>667</v>
      </c>
    </row>
    <row r="76" spans="2:2" x14ac:dyDescent="0.35">
      <c r="B76" t="s">
        <v>241</v>
      </c>
    </row>
    <row r="77" spans="2:2" x14ac:dyDescent="0.35">
      <c r="B77" t="s">
        <v>317</v>
      </c>
    </row>
    <row r="78" spans="2:2" x14ac:dyDescent="0.35">
      <c r="B78" t="s">
        <v>388</v>
      </c>
    </row>
    <row r="79" spans="2:2" x14ac:dyDescent="0.35">
      <c r="B79" t="s">
        <v>406</v>
      </c>
    </row>
    <row r="80" spans="2:2" x14ac:dyDescent="0.35">
      <c r="B80" t="s">
        <v>575</v>
      </c>
    </row>
    <row r="81" spans="2:2" x14ac:dyDescent="0.35">
      <c r="B81" t="s">
        <v>499</v>
      </c>
    </row>
    <row r="82" spans="2:2" x14ac:dyDescent="0.35">
      <c r="B82" t="s">
        <v>593</v>
      </c>
    </row>
    <row r="83" spans="2:2" x14ac:dyDescent="0.35">
      <c r="B83" t="s">
        <v>571</v>
      </c>
    </row>
    <row r="84" spans="2:2" x14ac:dyDescent="0.35">
      <c r="B84" t="s">
        <v>133</v>
      </c>
    </row>
    <row r="85" spans="2:2" x14ac:dyDescent="0.35">
      <c r="B85" t="s">
        <v>271</v>
      </c>
    </row>
    <row r="86" spans="2:2" x14ac:dyDescent="0.35">
      <c r="B86" t="s">
        <v>689</v>
      </c>
    </row>
    <row r="87" spans="2:2" x14ac:dyDescent="0.35">
      <c r="B87" t="s">
        <v>148</v>
      </c>
    </row>
    <row r="88" spans="2:2" x14ac:dyDescent="0.35">
      <c r="B88" t="s">
        <v>103</v>
      </c>
    </row>
    <row r="89" spans="2:2" x14ac:dyDescent="0.35">
      <c r="B89" t="s">
        <v>126</v>
      </c>
    </row>
    <row r="90" spans="2:2" x14ac:dyDescent="0.35">
      <c r="B90" t="s">
        <v>172</v>
      </c>
    </row>
    <row r="91" spans="2:2" x14ac:dyDescent="0.35">
      <c r="B91" t="s">
        <v>179</v>
      </c>
    </row>
    <row r="92" spans="2:2" x14ac:dyDescent="0.35">
      <c r="B92" t="s">
        <v>220</v>
      </c>
    </row>
    <row r="93" spans="2:2" x14ac:dyDescent="0.35">
      <c r="B93" t="s">
        <v>188</v>
      </c>
    </row>
    <row r="94" spans="2:2" x14ac:dyDescent="0.35">
      <c r="B94" t="s">
        <v>230</v>
      </c>
    </row>
    <row r="95" spans="2:2" x14ac:dyDescent="0.35">
      <c r="B95" t="s">
        <v>805</v>
      </c>
    </row>
    <row r="96" spans="2:2" x14ac:dyDescent="0.35">
      <c r="B96" t="s">
        <v>771</v>
      </c>
    </row>
    <row r="97" spans="2:2" x14ac:dyDescent="0.35">
      <c r="B97" t="s">
        <v>288</v>
      </c>
    </row>
    <row r="98" spans="2:2" x14ac:dyDescent="0.35">
      <c r="B98" t="s">
        <v>342</v>
      </c>
    </row>
    <row r="99" spans="2:2" x14ac:dyDescent="0.35">
      <c r="B99" t="s">
        <v>349</v>
      </c>
    </row>
    <row r="100" spans="2:2" x14ac:dyDescent="0.35">
      <c r="B100" t="s">
        <v>360</v>
      </c>
    </row>
    <row r="101" spans="2:2" x14ac:dyDescent="0.35">
      <c r="B101" t="s">
        <v>472</v>
      </c>
    </row>
    <row r="102" spans="2:2" x14ac:dyDescent="0.35">
      <c r="B102" t="s">
        <v>328</v>
      </c>
    </row>
    <row r="103" spans="2:2" x14ac:dyDescent="0.35">
      <c r="B103" t="s">
        <v>427</v>
      </c>
    </row>
    <row r="104" spans="2:2" x14ac:dyDescent="0.35">
      <c r="B104" t="s">
        <v>525</v>
      </c>
    </row>
    <row r="105" spans="2:2" x14ac:dyDescent="0.35">
      <c r="B105" t="s">
        <v>514</v>
      </c>
    </row>
    <row r="106" spans="2:2" x14ac:dyDescent="0.35">
      <c r="B106" t="s">
        <v>521</v>
      </c>
    </row>
    <row r="107" spans="2:2" x14ac:dyDescent="0.35">
      <c r="B107" t="s">
        <v>564</v>
      </c>
    </row>
    <row r="108" spans="2:2" x14ac:dyDescent="0.35">
      <c r="B108" t="s">
        <v>554</v>
      </c>
    </row>
    <row r="109" spans="2:2" x14ac:dyDescent="0.35">
      <c r="B109" t="s">
        <v>657</v>
      </c>
    </row>
    <row r="110" spans="2:2" x14ac:dyDescent="0.35">
      <c r="B110" t="s">
        <v>741</v>
      </c>
    </row>
    <row r="111" spans="2:2" x14ac:dyDescent="0.35">
      <c r="B111" t="s">
        <v>579</v>
      </c>
    </row>
    <row r="112" spans="2:2" x14ac:dyDescent="0.35">
      <c r="B112" t="s">
        <v>675</v>
      </c>
    </row>
    <row r="113" spans="2:2" x14ac:dyDescent="0.35">
      <c r="B113" t="s">
        <v>211</v>
      </c>
    </row>
    <row r="114" spans="2:2" x14ac:dyDescent="0.35">
      <c r="B114" t="s">
        <v>195</v>
      </c>
    </row>
    <row r="115" spans="2:2" x14ac:dyDescent="0.35">
      <c r="B115" t="s">
        <v>265</v>
      </c>
    </row>
    <row r="116" spans="2:2" x14ac:dyDescent="0.35">
      <c r="B116" t="s">
        <v>831</v>
      </c>
    </row>
    <row r="117" spans="2:2" x14ac:dyDescent="0.35">
      <c r="B117" t="s">
        <v>743</v>
      </c>
    </row>
    <row r="118" spans="2:2" x14ac:dyDescent="0.35">
      <c r="B118" t="s">
        <v>244</v>
      </c>
    </row>
    <row r="119" spans="2:2" x14ac:dyDescent="0.35">
      <c r="B119" t="s">
        <v>395</v>
      </c>
    </row>
    <row r="120" spans="2:2" x14ac:dyDescent="0.35">
      <c r="B120" t="s">
        <v>300</v>
      </c>
    </row>
    <row r="121" spans="2:2" x14ac:dyDescent="0.35">
      <c r="B121" t="s">
        <v>285</v>
      </c>
    </row>
    <row r="122" spans="2:2" x14ac:dyDescent="0.35">
      <c r="B122" t="s">
        <v>311</v>
      </c>
    </row>
    <row r="123" spans="2:2" x14ac:dyDescent="0.35">
      <c r="B123" t="s">
        <v>346</v>
      </c>
    </row>
    <row r="124" spans="2:2" x14ac:dyDescent="0.35">
      <c r="B124" t="s">
        <v>410</v>
      </c>
    </row>
    <row r="125" spans="2:2" x14ac:dyDescent="0.35">
      <c r="B125" t="s">
        <v>356</v>
      </c>
    </row>
    <row r="126" spans="2:2" x14ac:dyDescent="0.35">
      <c r="B126" t="s">
        <v>423</v>
      </c>
    </row>
    <row r="127" spans="2:2" x14ac:dyDescent="0.35">
      <c r="B127" t="s">
        <v>378</v>
      </c>
    </row>
    <row r="128" spans="2:2" x14ac:dyDescent="0.35">
      <c r="B128" t="s">
        <v>381</v>
      </c>
    </row>
    <row r="129" spans="2:2" x14ac:dyDescent="0.35">
      <c r="B129" t="s">
        <v>448</v>
      </c>
    </row>
    <row r="130" spans="2:2" x14ac:dyDescent="0.35">
      <c r="B130" t="s">
        <v>461</v>
      </c>
    </row>
    <row r="131" spans="2:2" x14ac:dyDescent="0.35">
      <c r="B131" t="s">
        <v>485</v>
      </c>
    </row>
    <row r="132" spans="2:2" x14ac:dyDescent="0.35">
      <c r="B132" t="s">
        <v>635</v>
      </c>
    </row>
    <row r="133" spans="2:2" x14ac:dyDescent="0.35">
      <c r="B133" t="s">
        <v>156</v>
      </c>
    </row>
    <row r="134" spans="2:2" x14ac:dyDescent="0.35">
      <c r="B134" t="s">
        <v>164</v>
      </c>
    </row>
    <row r="135" spans="2:2" x14ac:dyDescent="0.35">
      <c r="B135" t="s">
        <v>517</v>
      </c>
    </row>
    <row r="136" spans="2:2" x14ac:dyDescent="0.35">
      <c r="B136" t="s">
        <v>627</v>
      </c>
    </row>
    <row r="137" spans="2:2" x14ac:dyDescent="0.35">
      <c r="B137" t="s">
        <v>786</v>
      </c>
    </row>
    <row r="138" spans="2:2" x14ac:dyDescent="0.35">
      <c r="B138" t="s">
        <v>247</v>
      </c>
    </row>
    <row r="139" spans="2:2" x14ac:dyDescent="0.35">
      <c r="B139" t="s">
        <v>567</v>
      </c>
    </row>
    <row r="140" spans="2:2" x14ac:dyDescent="0.35">
      <c r="B140" t="s">
        <v>339</v>
      </c>
    </row>
    <row r="141" spans="2:2" x14ac:dyDescent="0.35">
      <c r="B141" t="s">
        <v>392</v>
      </c>
    </row>
    <row r="142" spans="2:2" x14ac:dyDescent="0.35">
      <c r="B142" t="s">
        <v>420</v>
      </c>
    </row>
    <row r="143" spans="2:2" x14ac:dyDescent="0.35">
      <c r="B143" t="s">
        <v>384</v>
      </c>
    </row>
    <row r="144" spans="2:2" x14ac:dyDescent="0.35">
      <c r="B144" t="s">
        <v>454</v>
      </c>
    </row>
    <row r="145" spans="2:2" x14ac:dyDescent="0.35">
      <c r="B145" t="s">
        <v>755</v>
      </c>
    </row>
    <row r="146" spans="2:2" x14ac:dyDescent="0.35">
      <c r="B146" t="s">
        <v>444</v>
      </c>
    </row>
    <row r="147" spans="2:2" x14ac:dyDescent="0.35">
      <c r="B147" t="s">
        <v>541</v>
      </c>
    </row>
    <row r="148" spans="2:2" x14ac:dyDescent="0.35">
      <c r="B148" t="s">
        <v>464</v>
      </c>
    </row>
    <row r="149" spans="2:2" x14ac:dyDescent="0.35">
      <c r="B149" t="s">
        <v>489</v>
      </c>
    </row>
    <row r="150" spans="2:2" x14ac:dyDescent="0.35">
      <c r="B150" t="s">
        <v>511</v>
      </c>
    </row>
    <row r="151" spans="2:2" x14ac:dyDescent="0.35">
      <c r="B151" t="s">
        <v>475</v>
      </c>
    </row>
    <row r="152" spans="2:2" x14ac:dyDescent="0.35">
      <c r="B152" t="s">
        <v>64</v>
      </c>
    </row>
    <row r="153" spans="2:2" x14ac:dyDescent="0.35">
      <c r="B153" t="s">
        <v>585</v>
      </c>
    </row>
    <row r="154" spans="2:2" x14ac:dyDescent="0.35">
      <c r="B154" t="s">
        <v>621</v>
      </c>
    </row>
    <row r="155" spans="2:2" x14ac:dyDescent="0.35">
      <c r="B155" t="s">
        <v>537</v>
      </c>
    </row>
    <row r="156" spans="2:2" x14ac:dyDescent="0.35">
      <c r="B156" t="s">
        <v>782</v>
      </c>
    </row>
    <row r="157" spans="2:2" x14ac:dyDescent="0.35">
      <c r="B157" t="s">
        <v>533</v>
      </c>
    </row>
    <row r="158" spans="2:2" x14ac:dyDescent="0.35">
      <c r="B158" t="s">
        <v>113</v>
      </c>
    </row>
    <row r="159" spans="2:2" x14ac:dyDescent="0.35">
      <c r="B159" t="s">
        <v>81</v>
      </c>
    </row>
    <row r="160" spans="2:2" x14ac:dyDescent="0.35">
      <c r="B160" t="s">
        <v>168</v>
      </c>
    </row>
    <row r="161" spans="2:2" x14ac:dyDescent="0.35">
      <c r="B161" t="s">
        <v>198</v>
      </c>
    </row>
    <row r="162" spans="2:2" x14ac:dyDescent="0.35">
      <c r="B162" t="s">
        <v>191</v>
      </c>
    </row>
    <row r="163" spans="2:2" x14ac:dyDescent="0.35">
      <c r="B163" t="s">
        <v>250</v>
      </c>
    </row>
    <row r="164" spans="2:2" x14ac:dyDescent="0.35">
      <c r="B164" t="s">
        <v>795</v>
      </c>
    </row>
    <row r="165" spans="2:2" x14ac:dyDescent="0.35">
      <c r="B165" t="s">
        <v>468</v>
      </c>
    </row>
    <row r="166" spans="2:2" x14ac:dyDescent="0.35">
      <c r="B166" t="s">
        <v>281</v>
      </c>
    </row>
    <row r="167" spans="2:2" x14ac:dyDescent="0.35">
      <c r="B167" t="s">
        <v>292</v>
      </c>
    </row>
    <row r="168" spans="2:2" x14ac:dyDescent="0.35">
      <c r="B168" t="s">
        <v>324</v>
      </c>
    </row>
    <row r="169" spans="2:2" x14ac:dyDescent="0.35">
      <c r="B169" t="s">
        <v>414</v>
      </c>
    </row>
    <row r="170" spans="2:2" x14ac:dyDescent="0.35">
      <c r="B170" t="s">
        <v>434</v>
      </c>
    </row>
    <row r="171" spans="2:2" x14ac:dyDescent="0.35">
      <c r="B171" t="s">
        <v>479</v>
      </c>
    </row>
    <row r="172" spans="2:2" x14ac:dyDescent="0.35">
      <c r="B172" t="s">
        <v>503</v>
      </c>
    </row>
    <row r="173" spans="2:2" x14ac:dyDescent="0.35">
      <c r="B173" t="s">
        <v>492</v>
      </c>
    </row>
    <row r="174" spans="2:2" x14ac:dyDescent="0.35">
      <c r="B174" t="s">
        <v>558</v>
      </c>
    </row>
    <row r="175" spans="2:2" x14ac:dyDescent="0.35">
      <c r="B175" t="s">
        <v>589</v>
      </c>
    </row>
    <row r="176" spans="2:2" x14ac:dyDescent="0.35">
      <c r="B176" t="s">
        <v>597</v>
      </c>
    </row>
    <row r="177" spans="2:2" x14ac:dyDescent="0.35">
      <c r="B177" t="s">
        <v>607</v>
      </c>
    </row>
    <row r="178" spans="2:2" x14ac:dyDescent="0.35">
      <c r="B178" t="s">
        <v>614</v>
      </c>
    </row>
    <row r="179" spans="2:2" x14ac:dyDescent="0.35">
      <c r="B179" t="s">
        <v>725</v>
      </c>
    </row>
    <row r="180" spans="2:2" x14ac:dyDescent="0.35">
      <c r="B180" t="s">
        <v>713</v>
      </c>
    </row>
    <row r="181" spans="2:2" x14ac:dyDescent="0.35">
      <c r="B181" t="s">
        <v>611</v>
      </c>
    </row>
    <row r="182" spans="2:2" x14ac:dyDescent="0.35">
      <c r="B182" t="s">
        <v>92</v>
      </c>
    </row>
    <row r="183" spans="2:2" x14ac:dyDescent="0.35">
      <c r="B183" t="s">
        <v>618</v>
      </c>
    </row>
    <row r="184" spans="2:2" x14ac:dyDescent="0.35">
      <c r="B184" t="s">
        <v>417</v>
      </c>
    </row>
    <row r="185" spans="2:2" x14ac:dyDescent="0.35">
      <c r="B185" t="s">
        <v>364</v>
      </c>
    </row>
    <row r="186" spans="2:2" x14ac:dyDescent="0.35">
      <c r="B186" t="s">
        <v>671</v>
      </c>
    </row>
    <row r="187" spans="2:2" x14ac:dyDescent="0.35">
      <c r="B187" t="s">
        <v>223</v>
      </c>
    </row>
    <row r="188" spans="2:2" x14ac:dyDescent="0.35">
      <c r="B188" t="s">
        <v>696</v>
      </c>
    </row>
    <row r="189" spans="2:2" x14ac:dyDescent="0.35">
      <c r="B189" t="s">
        <v>482</v>
      </c>
    </row>
    <row r="190" spans="2:2" x14ac:dyDescent="0.35">
      <c r="B190" t="s">
        <v>642</v>
      </c>
    </row>
    <row r="191" spans="2:2" x14ac:dyDescent="0.35">
      <c r="B191" t="s">
        <v>645</v>
      </c>
    </row>
    <row r="192" spans="2:2" x14ac:dyDescent="0.35">
      <c r="B192" t="s">
        <v>335</v>
      </c>
    </row>
    <row r="193" spans="2:2" x14ac:dyDescent="0.35">
      <c r="B193" t="s">
        <v>140</v>
      </c>
    </row>
    <row r="194" spans="2:2" x14ac:dyDescent="0.35">
      <c r="B194" t="s">
        <v>625</v>
      </c>
    </row>
    <row r="195" spans="2:2" x14ac:dyDescent="0.35">
      <c r="B195" t="s">
        <v>296</v>
      </c>
    </row>
    <row r="196" spans="2:2" x14ac:dyDescent="0.35">
      <c r="B196" t="s">
        <v>458</v>
      </c>
    </row>
    <row r="197" spans="2:2" x14ac:dyDescent="0.35">
      <c r="B197" t="s">
        <v>665</v>
      </c>
    </row>
    <row r="198" spans="2:2" x14ac:dyDescent="0.35">
      <c r="B198" t="s">
        <v>638</v>
      </c>
    </row>
    <row r="199" spans="2:2" x14ac:dyDescent="0.35">
      <c r="B199" t="s">
        <v>278</v>
      </c>
    </row>
    <row r="200" spans="2:2" x14ac:dyDescent="0.35">
      <c r="B200" t="s">
        <v>304</v>
      </c>
    </row>
    <row r="201" spans="2:2" x14ac:dyDescent="0.35">
      <c r="B201" t="s">
        <v>679</v>
      </c>
    </row>
    <row r="202" spans="2:2" x14ac:dyDescent="0.35">
      <c r="B202" t="s">
        <v>683</v>
      </c>
    </row>
    <row r="203" spans="2:2" x14ac:dyDescent="0.35">
      <c r="B203" t="s">
        <v>685</v>
      </c>
    </row>
    <row r="204" spans="2:2" x14ac:dyDescent="0.35">
      <c r="B204" t="s">
        <v>253</v>
      </c>
    </row>
    <row r="205" spans="2:2" x14ac:dyDescent="0.35">
      <c r="B205" t="s">
        <v>600</v>
      </c>
    </row>
    <row r="206" spans="2:2" x14ac:dyDescent="0.35">
      <c r="B206" t="s">
        <v>703</v>
      </c>
    </row>
    <row r="207" spans="2:2" x14ac:dyDescent="0.35">
      <c r="B207" t="s">
        <v>700</v>
      </c>
    </row>
    <row r="208" spans="2:2" x14ac:dyDescent="0.35">
      <c r="B208" t="s">
        <v>654</v>
      </c>
    </row>
    <row r="209" spans="2:2" x14ac:dyDescent="0.35">
      <c r="B209" t="s">
        <v>707</v>
      </c>
    </row>
    <row r="210" spans="2:2" x14ac:dyDescent="0.35">
      <c r="B210" t="s">
        <v>711</v>
      </c>
    </row>
    <row r="211" spans="2:2" x14ac:dyDescent="0.35">
      <c r="B211" t="s">
        <v>208</v>
      </c>
    </row>
    <row r="212" spans="2:2" x14ac:dyDescent="0.35">
      <c r="B212" t="s">
        <v>717</v>
      </c>
    </row>
    <row r="213" spans="2:2" x14ac:dyDescent="0.35">
      <c r="B213" t="s">
        <v>275</v>
      </c>
    </row>
    <row r="214" spans="2:2" x14ac:dyDescent="0.35">
      <c r="B214" t="s">
        <v>802</v>
      </c>
    </row>
    <row r="215" spans="2:2" x14ac:dyDescent="0.35">
      <c r="B215" t="s">
        <v>451</v>
      </c>
    </row>
    <row r="216" spans="2:2" x14ac:dyDescent="0.35">
      <c r="B216" t="s">
        <v>331</v>
      </c>
    </row>
    <row r="217" spans="2:2" x14ac:dyDescent="0.35">
      <c r="B217" t="s">
        <v>733</v>
      </c>
    </row>
    <row r="218" spans="2:2" x14ac:dyDescent="0.35">
      <c r="B218" t="s">
        <v>69</v>
      </c>
    </row>
    <row r="219" spans="2:2" x14ac:dyDescent="0.35">
      <c r="B219" t="s">
        <v>581</v>
      </c>
    </row>
    <row r="220" spans="2:2" x14ac:dyDescent="0.35">
      <c r="B220" t="s">
        <v>73</v>
      </c>
    </row>
    <row r="221" spans="2:2" x14ac:dyDescent="0.35">
      <c r="B221" t="s">
        <v>746</v>
      </c>
    </row>
    <row r="222" spans="2:2" x14ac:dyDescent="0.35">
      <c r="B222" t="s">
        <v>631</v>
      </c>
    </row>
    <row r="223" spans="2:2" x14ac:dyDescent="0.35">
      <c r="B223" t="s">
        <v>108</v>
      </c>
    </row>
    <row r="224" spans="2:2" x14ac:dyDescent="0.35">
      <c r="B224" t="s">
        <v>758</v>
      </c>
    </row>
    <row r="225" spans="2:2" x14ac:dyDescent="0.35">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5" x14ac:dyDescent="0.35"/>
  <cols>
    <col min="2" max="2" width="23.81640625" customWidth="1"/>
    <col min="3" max="3" width="21.54296875" customWidth="1"/>
    <col min="4" max="8" width="14.453125" customWidth="1"/>
  </cols>
  <sheetData>
    <row r="1" spans="2:8" x14ac:dyDescent="0.35">
      <c r="B1" t="s">
        <v>940</v>
      </c>
      <c r="C1" t="s">
        <v>941</v>
      </c>
      <c r="D1" t="s">
        <v>942</v>
      </c>
      <c r="E1" t="s">
        <v>38</v>
      </c>
    </row>
    <row r="2" spans="2:8" x14ac:dyDescent="0.35">
      <c r="B2" t="s">
        <v>8</v>
      </c>
      <c r="E2">
        <v>1</v>
      </c>
      <c r="F2">
        <f t="shared" ref="F2:F14" si="0">SUM(C2:E2)</f>
        <v>1</v>
      </c>
    </row>
    <row r="3" spans="2:8" x14ac:dyDescent="0.35">
      <c r="B3" t="s">
        <v>9</v>
      </c>
      <c r="E3">
        <v>4</v>
      </c>
      <c r="F3">
        <f t="shared" si="0"/>
        <v>4</v>
      </c>
    </row>
    <row r="4" spans="2:8" x14ac:dyDescent="0.35">
      <c r="B4" t="s">
        <v>10</v>
      </c>
      <c r="D4">
        <v>1</v>
      </c>
      <c r="E4">
        <v>6</v>
      </c>
      <c r="F4">
        <f t="shared" si="0"/>
        <v>7</v>
      </c>
    </row>
    <row r="5" spans="2:8" x14ac:dyDescent="0.35">
      <c r="B5" t="s">
        <v>11</v>
      </c>
      <c r="C5">
        <v>3</v>
      </c>
      <c r="E5">
        <v>18</v>
      </c>
      <c r="F5">
        <f t="shared" si="0"/>
        <v>21</v>
      </c>
    </row>
    <row r="6" spans="2:8" x14ac:dyDescent="0.35">
      <c r="B6" t="s">
        <v>12</v>
      </c>
      <c r="C6">
        <v>7</v>
      </c>
      <c r="E6">
        <v>12</v>
      </c>
      <c r="F6">
        <f t="shared" si="0"/>
        <v>19</v>
      </c>
    </row>
    <row r="7" spans="2:8" x14ac:dyDescent="0.35">
      <c r="B7" t="s">
        <v>13</v>
      </c>
      <c r="D7">
        <v>4</v>
      </c>
      <c r="E7">
        <v>27</v>
      </c>
      <c r="F7">
        <f t="shared" si="0"/>
        <v>31</v>
      </c>
    </row>
    <row r="8" spans="2:8" x14ac:dyDescent="0.35">
      <c r="B8" t="s">
        <v>14</v>
      </c>
      <c r="E8">
        <v>4</v>
      </c>
      <c r="F8">
        <f t="shared" si="0"/>
        <v>4</v>
      </c>
    </row>
    <row r="9" spans="2:8" x14ac:dyDescent="0.35">
      <c r="B9" t="s">
        <v>15</v>
      </c>
      <c r="C9">
        <v>4</v>
      </c>
      <c r="D9">
        <v>3</v>
      </c>
      <c r="E9">
        <v>29</v>
      </c>
      <c r="F9">
        <f t="shared" si="0"/>
        <v>36</v>
      </c>
    </row>
    <row r="10" spans="2:8" x14ac:dyDescent="0.35">
      <c r="B10" t="s">
        <v>16</v>
      </c>
      <c r="C10">
        <v>4</v>
      </c>
      <c r="D10">
        <v>3</v>
      </c>
      <c r="E10">
        <v>20</v>
      </c>
      <c r="F10">
        <f t="shared" si="0"/>
        <v>27</v>
      </c>
    </row>
    <row r="11" spans="2:8" x14ac:dyDescent="0.35">
      <c r="B11" t="s">
        <v>17</v>
      </c>
      <c r="C11">
        <v>4</v>
      </c>
      <c r="D11">
        <v>1</v>
      </c>
      <c r="E11">
        <v>15</v>
      </c>
      <c r="F11">
        <f t="shared" si="0"/>
        <v>20</v>
      </c>
    </row>
    <row r="12" spans="2:8" x14ac:dyDescent="0.35">
      <c r="B12" t="s">
        <v>18</v>
      </c>
      <c r="C12">
        <v>7</v>
      </c>
      <c r="D12">
        <v>4</v>
      </c>
      <c r="E12">
        <v>13</v>
      </c>
      <c r="F12">
        <f t="shared" si="0"/>
        <v>24</v>
      </c>
    </row>
    <row r="13" spans="2:8" x14ac:dyDescent="0.35">
      <c r="B13" t="s">
        <v>19</v>
      </c>
      <c r="C13">
        <v>8</v>
      </c>
      <c r="D13">
        <v>3</v>
      </c>
      <c r="E13">
        <v>19</v>
      </c>
      <c r="F13">
        <f t="shared" si="0"/>
        <v>30</v>
      </c>
    </row>
    <row r="14" spans="2:8" x14ac:dyDescent="0.35">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Dashboard</vt:lpstr>
      <vt:lpstr>Sheet2</vt:lpstr>
      <vt:lpstr>Sheet3</vt:lpstr>
      <vt:lpstr>Sheet1</vt:lpstr>
      <vt:lpstr>Sheet4</vt:lpstr>
      <vt:lpstr>Sheet6</vt:lpstr>
      <vt:lpstr>Sheet7</vt:lpstr>
      <vt:lpstr>Fellows</vt:lpstr>
      <vt:lpstr>Status</vt:lpstr>
      <vt:lpstr>By year</vt:lpstr>
      <vt:lpstr>Institution of employment</vt:lpstr>
      <vt:lpstr>By Cohort</vt:lpstr>
      <vt:lpstr>Av time to completion</vt:lpstr>
      <vt:lpstr>Gender</vt:lpstr>
      <vt:lpstr>Sheet8</vt:lpstr>
      <vt:lpstr>Pivot Table</vt:lpstr>
      <vt:lpstr>Institution of registration</vt:lpstr>
      <vt:lpstr>Time in the program</vt:lpstr>
      <vt:lpstr>Sheet5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2026-06-02T11:18:36Z</dcterms:modified>
  <cp:category/>
  <cp:contentStatus/>
</cp:coreProperties>
</file>
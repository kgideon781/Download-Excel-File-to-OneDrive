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4" documentId="13_ncr:1_{D015934C-5C8D-463B-9777-448ADC1EE7B3}" xr6:coauthVersionLast="47" xr6:coauthVersionMax="47" xr10:uidLastSave="{099B9893-C518-4D07-AFE7-E34A597FCFB4}"/>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Grants'!$A$1:$T$491</definedName>
  </definedNames>
  <calcPr calcId="191028"/>
  <pivotCaches>
    <pivotCache cacheId="356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alcChain>
</file>

<file path=xl/sharedStrings.xml><?xml version="1.0" encoding="utf-8"?>
<sst xmlns="http://schemas.openxmlformats.org/spreadsheetml/2006/main" count="6711" uniqueCount="1723">
  <si>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</si>
  <si>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</si>
  <si>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</si>
  <si>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</si>
  <si>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</si>
  <si>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</si>
  <si>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</si>
  <si>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</si>
  <si>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</si>
  <si>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</si>
  <si>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</si>
  <si>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</si>
  <si>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</si>
  <si>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</si>
  <si>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</si>
  <si>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</si>
  <si>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</si>
  <si>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</si>
  <si>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</si>
  <si>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</si>
  <si>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</si>
  <si>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</si>
  <si>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</si>
  <si>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</si>
  <si>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</si>
  <si>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</si>
  <si>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</si>
  <si>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</si>
  <si>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</si>
  <si>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</si>
  <si>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</si>
  <si>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</si>
  <si>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</si>
  <si>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</si>
  <si>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</si>
  <si>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</si>
  <si>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</si>
  <si>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</si>
  <si>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</si>
  <si>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</si>
  <si>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</si>
  <si>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</si>
  <si>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</si>
  <si>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</si>
  <si>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</si>
  <si>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</si>
  <si>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</si>
  <si>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</si>
  <si>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</si>
  <si>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</si>
  <si>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</si>
  <si>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</si>
  <si>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</si>
  <si>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</si>
  <si>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</si>
  <si>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</si>
  <si>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</si>
  <si>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</si>
  <si>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</si>
  <si>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</si>
  <si>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</si>
  <si>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</si>
  <si>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</si>
  <si>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</si>
  <si>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</si>
  <si>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</si>
  <si>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</si>
  <si>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</si>
  <si>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</si>
  <si>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</si>
  <si>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</si>
  <si>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</si>
  <si>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</si>
  <si>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</si>
  <si>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</si>
  <si>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</si>
  <si>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</si>
  <si>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</si>
  <si>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</si>
  <si>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</si>
  <si>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</si>
  <si>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</si>
  <si>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</si>
  <si>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</si>
  <si>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</si>
  <si>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</si>
  <si>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</si>
  <si>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</si>
  <si>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</si>
  <si>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</si>
  <si>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</si>
  <si>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</si>
  <si>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</si>
  <si>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</si>
  <si>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</si>
  <si>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</si>
  <si>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</si>
  <si>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</si>
  <si>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</si>
  <si>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</si>
  <si>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</si>
  <si>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</si>
  <si>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</si>
  <si>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</si>
  <si>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</si>
  <si>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</si>
  <si>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</si>
  <si>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</si>
  <si>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</si>
  <si>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</si>
  <si>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</si>
  <si>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</si>
  <si>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</si>
  <si>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</si>
  <si>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</si>
  <si>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</si>
  <si>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</si>
  <si>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</si>
  <si>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</si>
  <si>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</si>
  <si>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</si>
  <si>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</si>
  <si>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</si>
  <si>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</si>
  <si>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</si>
  <si>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</si>
  <si>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</si>
  <si>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</si>
  <si>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</si>
  <si>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</si>
  <si>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</si>
  <si>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</si>
  <si>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</si>
  <si>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</si>
  <si>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</si>
  <si>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</si>
  <si>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</si>
  <si>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</si>
  <si>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</si>
  <si>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</si>
  <si>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</si>
  <si>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</si>
  <si>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</si>
  <si>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</si>
  <si>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</si>
  <si>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</si>
  <si>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</si>
  <si>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</si>
  <si>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</si>
  <si>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</si>
  <si>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</si>
  <si>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</si>
  <si>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</si>
  <si>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</si>
  <si>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</si>
  <si>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</si>
  <si>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</si>
  <si>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</si>
  <si>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</si>
  <si>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</si>
  <si>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</si>
  <si>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</si>
  <si>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</si>
  <si>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</si>
  <si>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</si>
  <si>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</si>
  <si>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</si>
  <si>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</si>
  <si>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</si>
  <si>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</si>
  <si>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</si>
  <si>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</si>
  <si>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</si>
  <si>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</si>
  <si>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</si>
  <si>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</si>
  <si>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</si>
  <si>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</si>
  <si>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</si>
  <si>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</si>
  <si>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</si>
  <si>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</si>
  <si>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</si>
  <si>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</si>
  <si>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</si>
  <si>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</si>
  <si>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</si>
  <si>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</si>
  <si>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</si>
  <si>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</si>
  <si>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</si>
  <si>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</si>
  <si>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</si>
  <si>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</si>
  <si>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</si>
  <si>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</si>
  <si>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</si>
  <si>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</si>
  <si>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</si>
  <si>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</si>
  <si>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</si>
  <si>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</si>
  <si>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</si>
  <si>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</si>
  <si>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</si>
  <si>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</si>
  <si>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</si>
  <si>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</si>
  <si>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</si>
  <si>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</si>
  <si>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</si>
  <si>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</si>
  <si>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</si>
  <si>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</si>
  <si>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</si>
  <si>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</si>
  <si>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</si>
  <si>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</si>
  <si>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</si>
  <si>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</si>
  <si>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</si>
  <si>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</si>
  <si>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</si>
  <si>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</si>
  <si>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</si>
  <si>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</si>
  <si>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</si>
  <si>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</si>
  <si>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</si>
  <si>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</si>
  <si>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</si>
  <si>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</si>
  <si>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</si>
  <si>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</si>
  <si>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</si>
  <si>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</si>
  <si>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</si>
  <si>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</si>
  <si>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</si>
  <si>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</si>
  <si>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</si>
  <si>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</si>
  <si>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</si>
  <si>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</si>
  <si>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</si>
  <si>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</si>
  <si>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</si>
  <si>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</si>
  <si>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</si>
  <si>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</si>
  <si>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</si>
  <si>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</si>
  <si>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</si>
  <si>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</si>
  <si>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</si>
  <si>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</si>
  <si>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</si>
  <si>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</si>
  <si>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</si>
  <si>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</si>
  <si>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</si>
  <si>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</si>
  <si>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</si>
  <si>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</si>
  <si>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</si>
  <si>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</si>
  <si>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</si>
  <si>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</si>
  <si>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</si>
  <si>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</si>
  <si>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</si>
  <si>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</si>
  <si>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</si>
  <si>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</si>
  <si>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</si>
  <si>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</si>
  <si>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</si>
  <si>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</si>
  <si>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</si>
  <si>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</si>
  <si>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</si>
  <si>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</si>
  <si>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</si>
  <si>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</si>
  <si>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</si>
  <si>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</si>
  <si>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</si>
  <si>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</si>
  <si>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</si>
  <si>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</si>
  <si>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</si>
  <si>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</si>
  <si>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</si>
  <si>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</si>
  <si>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</si>
  <si>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</si>
  <si>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</si>
  <si>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</si>
  <si>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</si>
  <si>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</si>
  <si>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</si>
  <si>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</si>
  <si>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</si>
  <si>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</si>
  <si>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</si>
  <si>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</si>
  <si>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</si>
  <si>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</si>
  <si>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</si>
  <si>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</si>
  <si>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</si>
  <si>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</si>
  <si>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</si>
  <si>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</si>
  <si>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</si>
  <si>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</si>
  <si>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</si>
  <si>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</si>
  <si>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</si>
  <si>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</si>
  <si>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</si>
  <si>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</si>
  <si>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</si>
  <si>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</si>
  <si>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</si>
  <si>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</si>
  <si>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</si>
  <si>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</si>
  <si>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</si>
  <si>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</si>
  <si>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</si>
  <si>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</si>
  <si>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</si>
  <si>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</si>
  <si>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</si>
  <si>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</si>
  <si>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</si>
  <si>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</si>
  <si>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</si>
  <si>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</si>
  <si>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</si>
  <si>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</si>
  <si>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</si>
  <si>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</si>
  <si>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</si>
  <si>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</si>
  <si>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</si>
  <si>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</si>
  <si>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</si>
  <si>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</si>
  <si>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</si>
  <si>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</si>
  <si>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</si>
  <si>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</si>
  <si>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</si>
  <si>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</si>
  <si>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</si>
  <si>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</si>
  <si>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</si>
  <si>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</si>
  <si>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</si>
  <si>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</si>
  <si>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</si>
  <si>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</si>
  <si>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</si>
  <si>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</si>
  <si>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</si>
  <si>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</si>
  <si>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</si>
  <si>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</si>
  <si>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</si>
  <si>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</si>
  <si>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</si>
  <si>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</si>
  <si>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</si>
  <si>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</si>
  <si>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</si>
  <si>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</si>
  <si>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</si>
  <si>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</si>
  <si>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</si>
  <si>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</si>
  <si>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</si>
  <si>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</si>
  <si>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</si>
  <si>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</si>
  <si>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</si>
  <si>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</si>
  <si>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</si>
  <si>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</si>
  <si>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</si>
  <si>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</si>
  <si>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</si>
  <si>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</si>
  <si>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</si>
  <si>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</si>
  <si>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</si>
  <si>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</si>
  <si>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</si>
  <si>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</si>
  <si>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</si>
  <si>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</si>
  <si>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</si>
  <si>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</si>
  <si>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</si>
  <si>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</si>
  <si>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</si>
  <si>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</si>
  <si>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</si>
  <si>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</si>
  <si>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</si>
  <si>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</si>
  <si>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</si>
  <si>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</si>
  <si>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</si>
  <si>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</si>
  <si>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</si>
  <si>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</si>
  <si>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</si>
  <si>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</si>
  <si>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</si>
  <si>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</si>
  <si>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</si>
  <si>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</si>
  <si>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</si>
  <si>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</si>
  <si>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</si>
  <si>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</si>
  <si>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</si>
  <si>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</si>
  <si>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</si>
  <si>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</si>
  <si>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</si>
  <si>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</si>
  <si>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</si>
  <si>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</si>
  <si>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</si>
  <si>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</si>
  <si>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</si>
  <si>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</si>
  <si>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</si>
  <si>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</si>
  <si>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</si>
  <si>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</si>
  <si>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</si>
  <si>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</si>
  <si>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</si>
  <si>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</si>
  <si>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</si>
  <si>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</si>
  <si>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</si>
  <si>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</si>
  <si>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</si>
  <si>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</si>
  <si>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</si>
  <si>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</si>
  <si>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</si>
  <si>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</si>
  <si>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</si>
  <si>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</si>
  <si>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</si>
  <si>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</si>
  <si>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</si>
  <si>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</si>
  <si>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</si>
  <si>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</si>
  <si>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</si>
  <si>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</si>
  <si>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</si>
  <si>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</si>
  <si>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</si>
  <si>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</si>
  <si>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</si>
  <si>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</si>
  <si>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</si>
  <si>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</si>
  <si>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</si>
  <si>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</si>
  <si>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</si>
  <si>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</si>
  <si>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</si>
  <si>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</si>
  <si>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</si>
  <si>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</si>
  <si>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</si>
  <si>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</si>
  <si>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</si>
  <si>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</si>
  <si>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</si>
  <si>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</si>
  <si>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</si>
  <si>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</si>
  <si>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</si>
  <si>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</si>
  <si>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</si>
  <si>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</si>
  <si>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</si>
  <si>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</si>
  <si>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</si>
  <si>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</si>
  <si>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</si>
  <si>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</si>
  <si>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</si>
  <si>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</si>
  <si>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</si>
  <si>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</si>
  <si>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</si>
  <si>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</si>
  <si>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</si>
  <si>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</si>
  <si>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</si>
  <si>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</si>
  <si>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</si>
  <si>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</si>
  <si>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</si>
  <si>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</si>
  <si>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</si>
  <si>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</si>
  <si>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</si>
  <si>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</si>
  <si>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</si>
  <si>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</si>
  <si>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</si>
  <si>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</si>
  <si>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</si>
  <si>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</si>
  <si>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</si>
  <si>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</si>
  <si>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</si>
  <si>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</si>
  <si>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</si>
  <si>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</si>
  <si>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</si>
  <si>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</si>
  <si>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</si>
  <si>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</si>
  <si>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</si>
  <si>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</si>
  <si>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</si>
  <si>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</si>
  <si>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</si>
  <si>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</si>
  <si>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</si>
  <si>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</si>
  <si>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</si>
  <si>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</si>
  <si>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</si>
  <si>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</si>
  <si>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</si>
  <si>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</si>
  <si>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</si>
  <si>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</si>
  <si>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</si>
  <si>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</si>
  <si>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</si>
  <si>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</si>
  <si>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</si>
  <si>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</si>
  <si>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</si>
  <si>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</si>
  <si>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</si>
  <si>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</si>
  <si>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</si>
  <si>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</si>
  <si>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</si>
  <si>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</si>
  <si>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</si>
  <si>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</si>
  <si>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</si>
  <si>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</si>
  <si>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</si>
  <si>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</si>
  <si>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</si>
  <si>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</si>
  <si>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</si>
  <si>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</si>
  <si>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</si>
  <si>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</si>
  <si>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</si>
  <si>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</si>
  <si>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</si>
  <si>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</si>
  <si>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</si>
  <si>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</si>
  <si>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</si>
  <si>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</si>
  <si>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</si>
  <si>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</si>
  <si>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</si>
  <si>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</si>
  <si>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</si>
  <si>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</si>
  <si>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</si>
  <si>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</si>
  <si>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</si>
  <si>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</si>
  <si>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</si>
  <si>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</si>
  <si>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</si>
  <si>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</si>
  <si>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</si>
  <si>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</si>
  <si>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</si>
  <si>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</si>
  <si>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</si>
  <si>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</si>
  <si>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</si>
  <si>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</si>
  <si>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</si>
  <si>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</si>
  <si>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</si>
  <si>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</si>
  <si>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</si>
  <si>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</si>
  <si>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</si>
  <si>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</si>
  <si>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</si>
  <si>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</si>
  <si>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</si>
  <si>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</si>
  <si>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</si>
  <si>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</si>
  <si>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</si>
  <si>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</si>
  <si>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</si>
  <si>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</si>
  <si>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</si>
  <si>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</si>
  <si>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</si>
  <si>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</si>
  <si>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</si>
  <si>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</si>
  <si>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</si>
  <si>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</si>
  <si>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</si>
  <si>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</si>
  <si>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</si>
  <si>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</si>
  <si>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</si>
  <si>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</si>
  <si>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</si>
  <si>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</si>
  <si>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</si>
  <si>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</si>
  <si>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</si>
  <si>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</si>
  <si>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</si>
  <si>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</si>
  <si>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</si>
  <si>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</si>
  <si>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</si>
  <si>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</si>
  <si>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</si>
  <si>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</si>
  <si>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</si>
  <si>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</si>
  <si>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</si>
  <si>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</si>
  <si>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</si>
  <si>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</si>
  <si>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</si>
  <si>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</si>
  <si>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</si>
  <si>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</si>
  <si>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</si>
  <si>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</si>
  <si>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</si>
  <si>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</si>
  <si>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</si>
  <si>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</si>
  <si>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</si>
  <si>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</si>
  <si>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</si>
  <si>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</si>
  <si>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</si>
  <si>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</si>
  <si>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</si>
  <si>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</si>
  <si>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</si>
  <si>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</si>
  <si>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</si>
  <si>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</si>
  <si>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</si>
  <si>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</si>
  <si>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</si>
  <si>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</si>
  <si>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</si>
  <si>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</si>
  <si>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</si>
  <si>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</si>
  <si>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</si>
  <si>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</si>
  <si>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</si>
  <si>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</si>
  <si>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</si>
  <si>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</si>
  <si>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</si>
  <si>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</si>
  <si>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</si>
  <si>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</si>
  <si>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</si>
  <si>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</si>
  <si>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</si>
  <si>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</si>
  <si>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</si>
  <si>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</si>
  <si>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</si>
  <si>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</si>
  <si>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</si>
  <si>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</si>
  <si>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</si>
  <si>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</si>
  <si>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</si>
  <si>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</si>
  <si>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</si>
  <si>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</si>
  <si>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</si>
  <si>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</si>
  <si>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</si>
  <si>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</si>
  <si>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</si>
  <si>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</si>
  <si>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</si>
  <si>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</si>
  <si>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</si>
  <si>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</si>
  <si>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</si>
  <si>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</si>
  <si>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</si>
  <si>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</si>
  <si>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</si>
  <si>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</si>
  <si>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</si>
  <si>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</si>
  <si>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</si>
  <si>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</si>
  <si>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</si>
  <si>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</si>
  <si>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</si>
  <si>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</si>
  <si>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</si>
  <si>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</si>
  <si>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</si>
  <si>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</si>
  <si>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</si>
  <si>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</si>
  <si>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</si>
  <si>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</si>
  <si>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</si>
  <si>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</si>
  <si>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</si>
  <si>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</si>
  <si>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</si>
  <si>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</si>
  <si>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</si>
  <si>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</si>
  <si>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</si>
  <si>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</si>
  <si>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</si>
  <si>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</si>
  <si>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</si>
  <si>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</si>
  <si>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</si>
  <si>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</si>
  <si>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</si>
  <si>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</si>
  <si>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</si>
  <si>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</si>
  <si>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</si>
  <si>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</si>
  <si>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</si>
  <si>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</si>
  <si>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</si>
  <si>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</si>
  <si>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</si>
  <si>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</si>
  <si>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</si>
  <si>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</si>
  <si>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</si>
  <si>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</si>
  <si>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</si>
  <si>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</si>
  <si>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</si>
  <si>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</si>
  <si>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</si>
  <si>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</si>
  <si>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</si>
  <si>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</si>
  <si>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</si>
  <si>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</si>
  <si>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</si>
  <si>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</si>
  <si>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</si>
  <si>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</si>
  <si>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</si>
  <si>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</si>
  <si>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</si>
  <si>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</si>
  <si>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</si>
  <si>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</si>
  <si>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</si>
  <si>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</si>
  <si>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</si>
  <si>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</si>
  <si>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</si>
  <si>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</si>
  <si>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</si>
  <si>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</si>
  <si>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</si>
  <si>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</si>
  <si>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</si>
  <si>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</si>
  <si>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</si>
  <si>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</si>
  <si>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</si>
  <si>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</si>
  <si>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</si>
  <si>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</si>
  <si>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</si>
  <si>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</si>
  <si>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</si>
  <si>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</si>
  <si>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</si>
  <si>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</si>
  <si>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</si>
  <si>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</si>
  <si>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</si>
  <si>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</si>
  <si>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</si>
  <si>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</si>
  <si>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</si>
  <si>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</si>
  <si>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</si>
  <si>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</si>
  <si>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</si>
  <si>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</si>
  <si>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</si>
  <si>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</si>
  <si>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</si>
  <si>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</si>
  <si>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</si>
  <si>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</si>
  <si>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</si>
  <si>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</si>
  <si>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</si>
  <si>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</si>
  <si>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</si>
  <si>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</si>
  <si>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</si>
  <si>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</si>
  <si>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</si>
  <si>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</si>
  <si>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</si>
  <si>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</si>
  <si>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</si>
  <si>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</si>
  <si>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</si>
  <si>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</si>
  <si>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</si>
  <si>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</si>
  <si>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</si>
  <si>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</si>
  <si>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</si>
  <si>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</si>
  <si>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</si>
  <si>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</si>
  <si>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</si>
  <si>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</si>
  <si>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</si>
  <si>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</si>
  <si>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</si>
  <si>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</si>
  <si>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</si>
  <si>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</si>
  <si>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</si>
  <si>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</si>
  <si>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</si>
  <si>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</si>
  <si>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</si>
  <si>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</si>
  <si>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</si>
  <si>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</si>
  <si>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</si>
  <si>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</si>
  <si>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</si>
  <si>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</si>
  <si>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</si>
  <si>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</si>
  <si>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</si>
  <si>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</si>
  <si>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</si>
  <si>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</si>
  <si>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</si>
  <si>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</si>
  <si>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</si>
  <si>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</si>
  <si>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</si>
  <si>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</si>
  <si>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</si>
  <si>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</si>
  <si>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</si>
  <si>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</si>
  <si>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</si>
  <si>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</si>
  <si>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</si>
  <si>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</si>
  <si>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</si>
  <si>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</si>
  <si>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</si>
  <si>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</si>
  <si>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</si>
  <si>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</si>
  <si>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</si>
  <si>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</si>
  <si>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</si>
  <si>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</si>
  <si>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</si>
  <si>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</si>
  <si>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</si>
  <si>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</si>
  <si>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</si>
  <si>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</si>
  <si>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</si>
  <si>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</si>
  <si>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</si>
  <si>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</si>
  <si>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</si>
  <si>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</si>
  <si>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</si>
  <si>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</si>
  <si>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</si>
  <si>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</si>
  <si>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</si>
  <si>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</si>
  <si>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</si>
  <si>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</si>
  <si>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</si>
  <si>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</si>
  <si>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</si>
  <si>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</si>
  <si>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</si>
  <si>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</si>
  <si>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</si>
  <si>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</si>
  <si>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</si>
  <si>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</si>
  <si>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</si>
  <si>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</si>
  <si>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</si>
  <si>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</si>
  <si>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</si>
  <si>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</si>
  <si>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</si>
  <si>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</si>
  <si>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</si>
  <si>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</si>
  <si>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</si>
  <si>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</si>
  <si>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</si>
  <si>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</si>
  <si>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</si>
  <si>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</si>
  <si>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</si>
  <si>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</si>
  <si>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</si>
  <si>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</si>
  <si>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</si>
  <si>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</si>
  <si>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</si>
  <si>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</si>
  <si>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</si>
  <si>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</si>
  <si>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</si>
  <si>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</si>
  <si>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</si>
  <si>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</si>
  <si>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</si>
  <si>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</si>
  <si>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</si>
  <si>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</si>
  <si>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</si>
  <si>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</si>
  <si>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</si>
  <si>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</si>
  <si>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</si>
  <si>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</si>
  <si>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</si>
  <si>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</si>
  <si>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</si>
  <si>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</si>
  <si>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</si>
  <si>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</si>
  <si>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</si>
  <si>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</si>
  <si>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</si>
  <si>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</si>
  <si>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</si>
  <si>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</si>
  <si>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</si>
  <si>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</si>
  <si>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</si>
  <si>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</si>
  <si>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</si>
  <si>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</si>
  <si>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</si>
  <si>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</si>
  <si>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</si>
  <si>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</si>
  <si>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</si>
  <si>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</si>
  <si>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</si>
  <si>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</si>
  <si>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</si>
  <si>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</si>
  <si>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</si>
  <si>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</si>
  <si>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</si>
  <si>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</si>
  <si>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</si>
  <si>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</si>
  <si>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</si>
  <si>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</si>
  <si>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</si>
  <si>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</si>
  <si>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</si>
  <si>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</si>
  <si>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</si>
  <si>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</si>
  <si>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</si>
  <si>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</si>
  <si>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</si>
  <si>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</si>
  <si>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</si>
  <si>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</si>
  <si>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</si>
  <si>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</si>
  <si>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</si>
  <si>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</si>
  <si>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</si>
  <si>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</si>
  <si>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</si>
  <si>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</si>
  <si>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</si>
  <si>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</si>
  <si>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</si>
  <si>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</si>
  <si>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</si>
  <si>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</si>
  <si>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</si>
  <si>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</si>
  <si>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</si>
  <si>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</si>
  <si>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</si>
  <si>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</si>
  <si>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</si>
  <si>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</si>
  <si>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</si>
  <si>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</si>
  <si>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</si>
  <si>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</si>
  <si>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</si>
  <si>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</si>
  <si>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</si>
  <si>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</si>
  <si>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</si>
  <si>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</si>
  <si>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</si>
  <si>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</si>
  <si>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</si>
  <si>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</si>
  <si>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</si>
  <si>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</si>
  <si>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</si>
  <si>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</si>
  <si>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</si>
  <si>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</si>
  <si>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</si>
  <si>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</si>
  <si>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</si>
  <si>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</si>
  <si>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</si>
  <si>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</si>
  <si>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</si>
  <si>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</si>
  <si>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</si>
  <si>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</si>
  <si>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</si>
  <si>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</si>
  <si>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</si>
  <si>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</si>
  <si>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</si>
  <si>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</si>
  <si>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</si>
  <si>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</si>
  <si>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</si>
  <si>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</si>
  <si>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</si>
  <si>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</si>
  <si>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</si>
  <si>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</si>
  <si>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</si>
  <si>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</si>
  <si>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</si>
  <si>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</si>
  <si>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</si>
  <si>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</si>
  <si>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</si>
  <si>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</si>
  <si>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</si>
  <si>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</si>
  <si>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</si>
  <si>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</si>
  <si>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</si>
  <si>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</si>
  <si>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</si>
  <si>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</si>
  <si>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</si>
  <si>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</si>
  <si>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</si>
  <si>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</si>
  <si>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</si>
  <si>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</si>
  <si>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</si>
  <si>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</si>
  <si>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</si>
  <si>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</si>
  <si>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</si>
  <si>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</si>
  <si>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</si>
  <si>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</si>
  <si>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</si>
  <si>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</si>
  <si>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</si>
  <si>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</si>
  <si>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</si>
  <si>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</si>
  <si>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</si>
  <si>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</si>
  <si>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</si>
  <si>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</si>
  <si>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</si>
  <si>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</si>
  <si>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</si>
  <si>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</si>
  <si>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</si>
  <si>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</si>
  <si>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</si>
  <si>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</si>
  <si>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</si>
  <si>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</si>
  <si>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</si>
  <si>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</si>
  <si>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</si>
  <si>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</si>
  <si>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</si>
  <si>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</si>
  <si>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</si>
  <si>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</si>
  <si>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</si>
  <si>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</si>
  <si>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</si>
  <si>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</si>
  <si>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</si>
  <si>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</si>
  <si>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</si>
  <si>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</si>
  <si>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</si>
  <si>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</si>
  <si>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</si>
  <si>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</si>
  <si>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</si>
  <si>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</si>
  <si>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</si>
  <si>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</si>
  <si>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</si>
  <si>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</si>
  <si>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</si>
  <si>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</si>
  <si>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</si>
  <si>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</si>
  <si>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</si>
  <si>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</si>
  <si>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</si>
  <si>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</si>
  <si>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</si>
  <si>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</si>
  <si>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</si>
  <si>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</si>
  <si>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</si>
  <si>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</si>
  <si>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</si>
  <si>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</si>
  <si>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</si>
  <si>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</si>
  <si>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</si>
  <si>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</si>
  <si>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</si>
  <si>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</si>
  <si>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</si>
  <si>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</si>
  <si>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</si>
  <si>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</si>
  <si>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</si>
  <si>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</si>
  <si>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</si>
  <si>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</si>
  <si>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</si>
  <si>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</si>
  <si>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</si>
  <si>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</si>
  <si>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</si>
  <si>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</si>
  <si>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</si>
  <si>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</si>
  <si>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</si>
  <si>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</si>
  <si>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</si>
  <si>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</si>
  <si>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</si>
  <si>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</si>
  <si>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</si>
  <si>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</si>
  <si>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</si>
  <si>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</si>
  <si>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</si>
  <si>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</si>
  <si>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</si>
  <si>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</si>
  <si>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</si>
  <si>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</si>
  <si>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</si>
  <si>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</si>
  <si>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</si>
  <si>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</si>
  <si>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</si>
  <si>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</si>
  <si>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</si>
  <si>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</si>
  <si>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</si>
  <si>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</si>
  <si>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</si>
  <si>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</si>
  <si>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</si>
  <si>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</si>
  <si>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</si>
  <si>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</si>
  <si>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</si>
  <si>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</si>
  <si>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</si>
  <si>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</si>
  <si>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</si>
  <si>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</si>
  <si>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</si>
  <si>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</si>
  <si>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</si>
  <si>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</si>
  <si>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</si>
  <si>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</si>
  <si>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</si>
  <si>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</si>
  <si>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</si>
  <si>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</si>
  <si>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</si>
  <si>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</si>
  <si>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</si>
  <si>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</si>
  <si>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</si>
  <si>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</si>
  <si>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</si>
  <si>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</si>
  <si>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</si>
  <si>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</si>
  <si>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</si>
  <si>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</si>
  <si>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</si>
  <si>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</si>
  <si>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</si>
  <si>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</si>
  <si>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</si>
  <si>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</si>
  <si>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</si>
  <si>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</si>
  <si>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</si>
  <si>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</si>
  <si>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</si>
  <si>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</si>
  <si>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</si>
  <si>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</si>
  <si>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</si>
  <si>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</si>
  <si>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</si>
  <si>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</si>
  <si>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</si>
  <si>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</si>
  <si>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</si>
  <si>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</si>
  <si>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</si>
  <si>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</si>
  <si>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</si>
  <si>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</si>
  <si>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</si>
  <si>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</si>
  <si>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</si>
  <si>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</si>
  <si>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</si>
  <si>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</si>
  <si>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</si>
  <si>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</si>
  <si>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</si>
  <si>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</si>
  <si>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</si>
  <si>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</si>
  <si>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</si>
  <si>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</si>
  <si>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</si>
  <si>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</si>
  <si>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</si>
  <si>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</si>
  <si>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</si>
  <si>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</si>
  <si>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</si>
  <si>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</si>
  <si>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</si>
  <si>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</si>
  <si>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</si>
  <si>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</si>
  <si>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</si>
  <si>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</si>
  <si>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</si>
  <si>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</si>
  <si>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</si>
  <si>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</si>
  <si>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</si>
  <si>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</si>
  <si>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</si>
  <si>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</si>
  <si>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</si>
  <si>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</si>
  <si>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</si>
  <si>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</si>
  <si>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</si>
  <si>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</si>
  <si>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</si>
  <si>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</si>
  <si>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</si>
  <si>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</si>
  <si>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</si>
  <si>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</si>
  <si>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</si>
  <si>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</si>
  <si>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</si>
  <si>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</si>
  <si>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</si>
  <si>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</si>
  <si>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</si>
  <si>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</si>
  <si>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</si>
  <si>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</si>
  <si>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</si>
  <si>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</si>
  <si>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</si>
  <si>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</si>
  <si>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</si>
  <si>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</si>
  <si>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</si>
  <si>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</si>
  <si>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</si>
  <si>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</si>
  <si>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</si>
  <si>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</si>
  <si>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</si>
  <si>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</si>
  <si>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</si>
  <si>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</si>
  <si>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</si>
  <si>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</si>
  <si>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</si>
  <si>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</si>
  <si>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</si>
  <si>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</si>
  <si>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</si>
  <si>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</si>
  <si>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</si>
  <si>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</si>
  <si>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</si>
  <si>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</si>
  <si>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</si>
  <si>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</si>
  <si>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</si>
  <si>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</si>
  <si>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</si>
  <si>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</si>
  <si>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</si>
  <si>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</si>
  <si>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</si>
  <si>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</si>
  <si>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</si>
  <si>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</si>
  <si>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</si>
  <si>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</si>
  <si>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</si>
  <si>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</si>
  <si>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</si>
  <si>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</si>
  <si>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</si>
  <si>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</si>
  <si>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</si>
  <si>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</si>
  <si>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</si>
  <si>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</si>
  <si>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</si>
  <si>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</si>
  <si>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</si>
  <si>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</si>
  <si>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</si>
  <si>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</si>
  <si>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</si>
  <si>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</si>
  <si>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</si>
  <si>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</si>
  <si>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</si>
  <si>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</si>
  <si>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</si>
  <si>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</si>
  <si>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</si>
  <si>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</si>
  <si>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</si>
  <si>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</si>
  <si>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</si>
  <si>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</si>
  <si>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</si>
  <si>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</si>
  <si>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</si>
  <si>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</si>
  <si>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</si>
  <si>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</si>
  <si>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</si>
  <si>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</si>
  <si>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</si>
  <si>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</si>
  <si>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</si>
  <si>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</si>
  <si>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</si>
  <si>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</si>
  <si>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</si>
  <si>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</si>
  <si>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</si>
  <si>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</si>
  <si>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</si>
  <si>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</si>
  <si>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</si>
  <si>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</si>
  <si>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</si>
  <si>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</si>
  <si>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</si>
  <si>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</si>
  <si>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</si>
  <si>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</si>
  <si>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</si>
  <si>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</si>
  <si>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</si>
  <si>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</si>
  <si>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</si>
  <si>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</si>
  <si>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</si>
  <si>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</si>
  <si>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</si>
  <si>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</si>
  <si>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</si>
  <si>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</si>
  <si>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</si>
  <si>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</si>
  <si>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</si>
  <si>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</si>
  <si>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</si>
  <si>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</si>
  <si>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</si>
  <si>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</si>
  <si>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</si>
  <si>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</si>
  <si>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</si>
  <si>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</si>
  <si>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</si>
  <si>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</si>
  <si>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</si>
  <si>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</si>
  <si>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</si>
  <si>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</si>
  <si>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</si>
  <si>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</si>
  <si>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</si>
  <si>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</si>
  <si>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</si>
  <si>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</si>
  <si>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</si>
  <si>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</si>
  <si>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</si>
  <si>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</si>
  <si>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</si>
  <si>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</si>
  <si>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</si>
  <si>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</si>
  <si>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</si>
  <si>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</si>
  <si>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</si>
  <si>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</si>
  <si>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</si>
  <si>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</si>
  <si>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</si>
  <si>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</si>
  <si>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</si>
  <si>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</si>
  <si>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</si>
  <si>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</si>
  <si>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</si>
  <si>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</si>
  <si>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</si>
  <si>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</si>
  <si>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</si>
  <si>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</si>
  <si>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</si>
  <si>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</si>
  <si>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</si>
  <si>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</si>
  <si>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</si>
  <si>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</si>
  <si>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</si>
  <si>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</si>
  <si>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</si>
  <si>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</si>
  <si>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</si>
  <si>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</si>
  <si>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</si>
  <si>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</si>
  <si>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</si>
  <si>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</si>
  <si>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</si>
  <si>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</si>
  <si>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</si>
  <si>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</si>
  <si>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</si>
  <si>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</si>
  <si>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</si>
  <si>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</si>
  <si>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</si>
  <si>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</si>
  <si>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</si>
  <si>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</si>
  <si>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</si>
  <si>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</si>
  <si>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</si>
  <si>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</si>
  <si>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</si>
  <si>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</si>
  <si>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</si>
  <si>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</si>
  <si>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</si>
  <si>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</si>
  <si>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</si>
  <si>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</si>
  <si>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</si>
  <si>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</si>
  <si>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</si>
  <si>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</si>
  <si>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</si>
  <si>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</si>
  <si>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</si>
  <si>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</si>
  <si>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</si>
  <si>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</si>
  <si>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</si>
  <si>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</si>
  <si>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</si>
  <si>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</si>
  <si>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</si>
  <si>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</si>
  <si>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</si>
  <si>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</si>
  <si>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</si>
  <si>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</si>
  <si>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</si>
  <si>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</si>
  <si>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</si>
  <si>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</si>
  <si>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</si>
  <si>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</si>
  <si>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</si>
  <si>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</si>
  <si>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</si>
  <si>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</si>
  <si>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</si>
  <si>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</si>
  <si>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</si>
  <si>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</si>
  <si>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</si>
  <si>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</si>
  <si>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</si>
  <si>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</si>
  <si>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</si>
  <si>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</si>
  <si>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</si>
  <si>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</si>
  <si>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</si>
  <si>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</si>
  <si>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</si>
  <si>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</si>
  <si>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</si>
  <si>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</si>
  <si>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</si>
  <si>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</si>
  <si>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</si>
  <si>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</si>
  <si>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</si>
  <si>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</si>
  <si>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</si>
  <si>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</si>
  <si>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</si>
  <si>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</si>
  <si>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</si>
  <si>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</si>
  <si>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</si>
  <si>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</si>
  <si>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</si>
  <si>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</si>
  <si>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</si>
  <si>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</si>
  <si>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</si>
  <si>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</si>
  <si>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</si>
  <si>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</si>
  <si>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</si>
  <si>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</si>
  <si>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</si>
  <si>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</si>
  <si>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</si>
  <si>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</si>
  <si>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</si>
  <si>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</si>
  <si>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</si>
  <si>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</si>
  <si>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</si>
  <si>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</si>
  <si>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</si>
  <si>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</si>
  <si>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</si>
  <si>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</si>
  <si>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</si>
  <si>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</si>
  <si>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</si>
  <si>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</si>
  <si>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</si>
  <si>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</si>
  <si>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</si>
  <si>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</si>
  <si>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</si>
  <si>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</si>
  <si>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</si>
  <si>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</si>
  <si>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</si>
  <si>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</si>
  <si>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</si>
  <si>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</si>
  <si>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</si>
  <si>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</si>
  <si>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</si>
  <si>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</si>
  <si>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</si>
  <si>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</si>
  <si>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</si>
  <si>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</si>
  <si>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</si>
  <si>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</si>
  <si>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</si>
  <si>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</si>
  <si>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</si>
  <si>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</si>
  <si>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</si>
  <si>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</si>
  <si>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</si>
  <si>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</si>
  <si>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</si>
  <si>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Not applicable</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</si>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</sst>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3">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xf numFmtId="0" fontId="0" fillId="0" borderId="7" xfId="0" applyBorder="1"/>
    <xf numFmtId="0" fontId="0" fillId="0" borderId="1" xfId="0" applyFill="1" applyBorder="1"/>
    <xf numFmtId="0" fontId="0" fillId="0" borderId="5" xfId="0" applyFill="1" applyBorder="1"/>
    <xf numFmtId="0" fontId="10" fillId="0" borderId="3" xfId="0"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536847</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209425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Analysis!$B$143:$B$154</c:f>
              <c:numCache>
                <c:formatCode>_-* #,##0_-;\-* #,##0_-;_-* "-"??_-;_-@_-</c:formatCode>
                <c:ptCount val="11"/>
                <c:pt idx="0">
                  <c:v>200820</c:v>
                </c:pt>
                <c:pt idx="1">
                  <c:v>5220000</c:v>
                </c:pt>
                <c:pt idx="2">
                  <c:v>1861788.58</c:v>
                </c:pt>
                <c:pt idx="3">
                  <c:v>1429257.07</c:v>
                </c:pt>
                <c:pt idx="4">
                  <c:v>1099645</c:v>
                </c:pt>
                <c:pt idx="5">
                  <c:v>1305809</c:v>
                </c:pt>
                <c:pt idx="6">
                  <c:v>5910349.79</c:v>
                </c:pt>
                <c:pt idx="7">
                  <c:v>1926882.54</c:v>
                </c:pt>
                <c:pt idx="8">
                  <c:v>318614.94999999995</c:v>
                </c:pt>
                <c:pt idx="9">
                  <c:v>613465.19999999995</c:v>
                </c:pt>
                <c:pt idx="10">
                  <c:v>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Analysis!$C$143:$C$154</c:f>
              <c:numCache>
                <c:formatCode>_-* #,##0_-;\-* #,##0_-;_-* "-"??_-;_-@_-</c:formatCode>
                <c:ptCount val="11"/>
                <c:pt idx="0">
                  <c:v>252831.77000000002</c:v>
                </c:pt>
                <c:pt idx="1">
                  <c:v>792054</c:v>
                </c:pt>
                <c:pt idx="2">
                  <c:v>6212395.6400000006</c:v>
                </c:pt>
                <c:pt idx="3">
                  <c:v>1045294.73</c:v>
                </c:pt>
                <c:pt idx="4">
                  <c:v>5470609.6200000001</c:v>
                </c:pt>
                <c:pt idx="5">
                  <c:v>1853055.99</c:v>
                </c:pt>
                <c:pt idx="6">
                  <c:v>408432.95</c:v>
                </c:pt>
                <c:pt idx="7">
                  <c:v>204057.72999999998</c:v>
                </c:pt>
                <c:pt idx="8">
                  <c:v>2782008.24</c:v>
                </c:pt>
                <c:pt idx="9">
                  <c:v>1615457.97</c:v>
                </c:pt>
                <c:pt idx="10">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Analysis!$D$143:$D$154</c:f>
              <c:numCache>
                <c:formatCode>_-* #,##0_-;\-* #,##0_-;_-* "-"??_-;_-@_-</c:formatCode>
                <c:ptCount val="11"/>
                <c:pt idx="0">
                  <c:v>0</c:v>
                </c:pt>
                <c:pt idx="1">
                  <c:v>0</c:v>
                </c:pt>
                <c:pt idx="2">
                  <c:v>0</c:v>
                </c:pt>
                <c:pt idx="3">
                  <c:v>0</c:v>
                </c:pt>
                <c:pt idx="4">
                  <c:v>0</c:v>
                </c:pt>
                <c:pt idx="5">
                  <c:v>0</c:v>
                </c:pt>
                <c:pt idx="6">
                  <c:v>0</c:v>
                </c:pt>
                <c:pt idx="7">
                  <c:v>0</c:v>
                </c:pt>
                <c:pt idx="8">
                  <c:v>0</c:v>
                </c:pt>
                <c:pt idx="9">
                  <c:v>0</c:v>
                </c:pt>
                <c:pt idx="10">
                  <c:v>5227040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19886632.130000003</c:v>
                </c:pt>
                <c:pt idx="1">
                  <c:v>20636198.639999997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60167476851" createdVersion="6" refreshedVersion="8" minRefreshableVersion="3" recordCount="478" xr:uid="{00000000-000A-0000-FFFF-FFFF00000000}">
  <cacheSource type="worksheet">
    <worksheetSource name="Table1"/>
  </cacheSource>
  <cacheFields count="24">
    <cacheField name="No." numFmtId="0">
      <sharedItems containsSemiMixedTypes="0" containsString="0" containsNumber="1" containsInteger="1" minValue="1" maxValue="478"/>
    </cacheField>
    <cacheField name="Reporting Period" numFmtId="0">
      <sharedItems containsBlank="1" count="32">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m u="1"/>
        <s v="Q1_2022" u="1"/>
      </sharedItems>
    </cacheField>
    <cacheField name="Unique ID" numFmtId="0">
      <sharedItems containsMixedTypes="1" containsNumber="1" containsInteger="1" minValue="2016" maxValue="2016" count="137">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SemiMixedTypes="0" containsString="0" containsNumber="1" containsInteger="1" minValue="1" maxValue="2016" count="11">
        <n v="2016"/>
        <n v="4"/>
        <n v="7"/>
        <n v="6"/>
        <n v="5"/>
        <n v="1"/>
        <n v="3"/>
        <n v="8"/>
        <n v="9"/>
        <n v="2"/>
        <n v="10"/>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2">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unt="13">
        <m/>
        <s v="Conference grant"/>
        <s v="Scholarship"/>
        <s v="Research grant"/>
        <s v="Travel grant"/>
        <s v="Other"/>
        <s v="CPE grant"/>
        <s v="Scholarship grant"/>
        <s v="Consultancy"/>
        <s v="Research Award "/>
        <s v="Institutional Grant"/>
        <s v="Seed Grant"/>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5-09-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
    <x v="0"/>
    <x v="0"/>
    <s v="CARTA"/>
    <s v="CARTA"/>
    <s v="CARTA"/>
    <x v="0"/>
    <x v="0"/>
    <s v="upto 2016"/>
    <m/>
    <x v="0"/>
    <m/>
    <n v="5227040"/>
    <m/>
    <m/>
    <x v="0"/>
    <x v="0"/>
    <m/>
    <x v="0"/>
    <m/>
    <m/>
    <m/>
    <m/>
    <m/>
  </r>
  <r>
    <n v="2"/>
    <x v="1"/>
    <x v="1"/>
    <s v="Alonge"/>
    <s v="John"/>
    <s v="Ayodele"/>
    <x v="1"/>
    <x v="1"/>
    <s v="University of Ibadan"/>
    <s v="University of Nairobi"/>
    <x v="1"/>
    <s v="International Communication Association (ICA) Travel Grant"/>
    <n v="800"/>
    <s v="International Communication Association (ICA)"/>
    <s v="7 days"/>
    <x v="1"/>
    <x v="1"/>
    <m/>
    <x v="1"/>
    <m/>
    <m/>
    <m/>
    <m/>
    <m/>
  </r>
  <r>
    <n v="3"/>
    <x v="2"/>
    <x v="2"/>
    <s v="Chikandiwa"/>
    <s v="Takuranhamo"/>
    <s v="Admire"/>
    <x v="1"/>
    <x v="1"/>
    <s v="University of the WItwatersrand"/>
    <s v="University of the WItwatersrand"/>
    <x v="2"/>
    <s v="Part-time doctoral scholarship"/>
    <n v="10000"/>
    <s v="National Research Foundation"/>
    <n v="12"/>
    <x v="2"/>
    <x v="2"/>
    <m/>
    <x v="1"/>
    <m/>
    <m/>
    <m/>
    <m/>
    <m/>
  </r>
  <r>
    <n v="4"/>
    <x v="2"/>
    <x v="2"/>
    <s v="Chikandiwa"/>
    <s v="Takuranhamo"/>
    <s v="Admire"/>
    <x v="1"/>
    <x v="1"/>
    <s v="University of the WItwatersrand"/>
    <s v="University of the WItwatersrand"/>
    <x v="1"/>
    <s v="Travel Award"/>
    <n v="5000"/>
    <s v="International AIDS Society (IAS)"/>
    <n v="1"/>
    <x v="3"/>
    <x v="2"/>
    <m/>
    <x v="1"/>
    <m/>
    <m/>
    <m/>
    <m/>
    <m/>
  </r>
  <r>
    <n v="5"/>
    <x v="1"/>
    <x v="3"/>
    <s v="Dreyer"/>
    <s v="Ruth"/>
    <s v="Abigail"/>
    <x v="2"/>
    <x v="2"/>
    <s v="University of the WItwatersrand"/>
    <s v="University of the WItwatersrand"/>
    <x v="3"/>
    <s v="NRF Funding for Thuthuka"/>
    <n v="21100"/>
    <s v="National Research Foundation"/>
    <s v="3 years"/>
    <x v="3"/>
    <x v="1"/>
    <m/>
    <x v="1"/>
    <m/>
    <m/>
    <m/>
    <m/>
    <m/>
  </r>
  <r>
    <n v="6"/>
    <x v="3"/>
    <x v="3"/>
    <s v="Dreyer"/>
    <s v="Ruth"/>
    <s v="Abigail"/>
    <x v="2"/>
    <x v="2"/>
    <s v="University of the WItwatersrand"/>
    <s v="University of the WItwatersrand"/>
    <x v="3"/>
    <s v="NRF Thuthuka Funding Programme"/>
    <n v="20000"/>
    <s v="Natinoal Research Fund"/>
    <s v="3 years"/>
    <x v="3"/>
    <x v="1"/>
    <m/>
    <x v="1"/>
    <m/>
    <m/>
    <m/>
    <m/>
    <m/>
  </r>
  <r>
    <n v="7"/>
    <x v="4"/>
    <x v="3"/>
    <s v="Dreyer"/>
    <s v="Ruth"/>
    <s v="Abigail"/>
    <x v="2"/>
    <x v="2"/>
    <s v="University of the WItwatersrand"/>
    <s v="University of the WItwatersrand"/>
    <x v="3"/>
    <s v="Abigail Ruth Dreyer"/>
    <n v="12388"/>
    <s v="National Research Fund"/>
    <n v="12"/>
    <x v="3"/>
    <x v="2"/>
    <m/>
    <x v="1"/>
    <m/>
    <m/>
    <m/>
    <m/>
    <m/>
  </r>
  <r>
    <n v="8"/>
    <x v="2"/>
    <x v="3"/>
    <s v="Dreyer"/>
    <s v="Ruth"/>
    <s v="Abigail"/>
    <x v="2"/>
    <x v="2"/>
    <s v="University of the WItwatersrand"/>
    <s v="University of the WItwatersrand"/>
    <x v="3"/>
    <n v="8685"/>
    <n v="12000"/>
    <s v="National Research Foundation (NRF)"/>
    <n v="12"/>
    <x v="3"/>
    <x v="2"/>
    <m/>
    <x v="1"/>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r>
  <r>
    <n v="10"/>
    <x v="5"/>
    <x v="4"/>
    <s v="Kagaha"/>
    <s v="-"/>
    <s v="Alexander"/>
    <x v="1"/>
    <x v="2"/>
    <s v="Makerere University"/>
    <s v="University of the WItwatersrand"/>
    <x v="2"/>
    <s v="African Doctoral Dissertation Research Fellowship (ADDRF) "/>
    <n v="10000"/>
    <s v="APHRC"/>
    <n v="24"/>
    <x v="2"/>
    <x v="3"/>
    <m/>
    <x v="1"/>
    <m/>
    <m/>
    <m/>
    <m/>
    <m/>
  </r>
  <r>
    <n v="11"/>
    <x v="5"/>
    <x v="5"/>
    <s v="Komolafe"/>
    <s v="Olubusola"/>
    <s v="Abiola"/>
    <x v="2"/>
    <x v="2"/>
    <s v="Obafemi Awolowo University"/>
    <s v="Obafemi Awolowo University"/>
    <x v="2"/>
    <s v="Academyhealth LMIC schorlarship "/>
    <n v="2000"/>
    <s v="Academyhealth"/>
    <m/>
    <x v="1"/>
    <x v="3"/>
    <m/>
    <x v="1"/>
    <m/>
    <m/>
    <m/>
    <m/>
    <m/>
  </r>
  <r>
    <n v="12"/>
    <x v="1"/>
    <x v="6"/>
    <s v="Kaunda-Khangamwa"/>
    <s v="Nyasilia"/>
    <s v="Blessings"/>
    <x v="2"/>
    <x v="2"/>
    <s v="University of Malawi"/>
    <s v="University of the WItwatersrand"/>
    <x v="3"/>
    <s v="Majete Malaria Programme_KAP Survey Grant"/>
    <n v="15630"/>
    <s v="Majete Malaria Project"/>
    <s v="1 year"/>
    <x v="3"/>
    <x v="1"/>
    <m/>
    <x v="1"/>
    <m/>
    <m/>
    <m/>
    <m/>
    <m/>
  </r>
  <r>
    <n v="13"/>
    <x v="3"/>
    <x v="6"/>
    <s v="Kaunda-Khangamwa"/>
    <s v="Nyasilia"/>
    <s v="Blessings"/>
    <x v="2"/>
    <x v="2"/>
    <s v="University of Malawi"/>
    <s v="University of the WItwatersrand"/>
    <x v="3"/>
    <s v="Research and Publication"/>
    <n v="1500"/>
    <s v="Research and Publications Committee (RPC)"/>
    <s v="1 month"/>
    <x v="3"/>
    <x v="1"/>
    <m/>
    <x v="1"/>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r>
  <r>
    <n v="15"/>
    <x v="4"/>
    <x v="8"/>
    <s v="Banamawa"/>
    <m/>
    <s v="Celestin"/>
    <x v="1"/>
    <x v="2"/>
    <s v="University of Rwanda"/>
    <s v="Makerere University"/>
    <x v="2"/>
    <s v="In-Region Scholarship for the PhD programme at CARTA."/>
    <n v="15993"/>
    <s v="DAAD"/>
    <n v="12"/>
    <x v="2"/>
    <x v="2"/>
    <m/>
    <x v="1"/>
    <m/>
    <m/>
    <m/>
    <m/>
    <m/>
  </r>
  <r>
    <n v="16"/>
    <x v="6"/>
    <x v="9"/>
    <s v="Kwanjo-Banda"/>
    <s v="Chikoko"/>
    <s v="Chimwemwe"/>
    <x v="2"/>
    <x v="3"/>
    <s v="University of Malawi"/>
    <s v="University of Malawi"/>
    <x v="1"/>
    <s v="DELTAS Scientific conference"/>
    <m/>
    <s v="African Acadamey of Sciences"/>
    <n v="1"/>
    <x v="1"/>
    <x v="3"/>
    <m/>
    <x v="1"/>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r>
  <r>
    <n v="18"/>
    <x v="3"/>
    <x v="10"/>
    <s v="Faye"/>
    <m/>
    <s v="Cheikh Mbacké"/>
    <x v="1"/>
    <x v="4"/>
    <s v="APHRC"/>
    <s v="University of the WItwatersrand"/>
    <x v="3"/>
    <s v="RESEARCH DESIGN, SCIENTIFIC WRITING AND PROJECT MANAGEMENT WORKSHOP"/>
    <n v="23000"/>
    <s v="ERSC through King College London"/>
    <s v="1 month"/>
    <x v="1"/>
    <x v="1"/>
    <m/>
    <x v="1"/>
    <m/>
    <m/>
    <m/>
    <m/>
    <m/>
  </r>
  <r>
    <n v="19"/>
    <x v="4"/>
    <x v="10"/>
    <s v="Faye"/>
    <m/>
    <s v="Cheikh Mbacké"/>
    <x v="1"/>
    <x v="4"/>
    <s v="APHRC"/>
    <s v="University of the WItwatersrand"/>
    <x v="3"/>
    <s v="Orphans and Vulnerable Children Data Quality Assessment in Kenya"/>
    <n v="257000"/>
    <s v="Palladium Group"/>
    <n v="4"/>
    <x v="3"/>
    <x v="2"/>
    <m/>
    <x v="1"/>
    <m/>
    <m/>
    <m/>
    <m/>
    <m/>
  </r>
  <r>
    <n v="20"/>
    <x v="2"/>
    <x v="10"/>
    <s v="Faye"/>
    <m/>
    <s v="Cheikh Mbacké"/>
    <x v="1"/>
    <x v="4"/>
    <s v="APHRC"/>
    <s v="University of the WItwatersrand"/>
    <x v="3"/>
    <s v="Health facility Data Analysis"/>
    <n v="162000"/>
    <s v="WHO"/>
    <n v="3"/>
    <x v="3"/>
    <x v="2"/>
    <m/>
    <x v="1"/>
    <m/>
    <m/>
    <m/>
    <m/>
    <m/>
  </r>
  <r>
    <n v="21"/>
    <x v="2"/>
    <x v="10"/>
    <s v="Faye"/>
    <m/>
    <s v="Cheikh Mbacké"/>
    <x v="1"/>
    <x v="4"/>
    <s v="APHRC"/>
    <s v="University of the WItwatersrand"/>
    <x v="3"/>
    <s v="ASRHR evidence generation in 10 African countries"/>
    <n v="110000"/>
    <s v="CanWach - University of Manitoba"/>
    <n v="6"/>
    <x v="3"/>
    <x v="2"/>
    <m/>
    <x v="1"/>
    <m/>
    <m/>
    <m/>
    <m/>
    <m/>
  </r>
  <r>
    <n v="22"/>
    <x v="5"/>
    <x v="11"/>
    <s v="Mayora"/>
    <s v="-"/>
    <s v="Chrispus"/>
    <x v="1"/>
    <x v="1"/>
    <s v="Makerere University"/>
    <s v="University of the WItwatersrand"/>
    <x v="3"/>
    <s v="World Bank Operations Research in Uganda(Feasibility of Results Based Financing in Uganda)"/>
    <n v="58000"/>
    <s v="World Bank "/>
    <n v="6"/>
    <x v="3"/>
    <x v="3"/>
    <m/>
    <x v="1"/>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r>
  <r>
    <n v="24"/>
    <x v="4"/>
    <x v="12"/>
    <s v="Musyoka"/>
    <s v="Mawia"/>
    <s v="Catherine"/>
    <x v="2"/>
    <x v="2"/>
    <s v="University of Nairobi"/>
    <s v="University of Nairobi"/>
    <x v="2"/>
    <s v="DAAD SCHOLARSHIP"/>
    <n v="6820"/>
    <s v="DAAD In-Country/In-Region Scholarship for the PhD programme at CARTA."/>
    <n v="12"/>
    <x v="2"/>
    <x v="2"/>
    <m/>
    <x v="1"/>
    <m/>
    <m/>
    <m/>
    <m/>
    <m/>
  </r>
  <r>
    <n v="25"/>
    <x v="2"/>
    <x v="12"/>
    <s v="Musyoka"/>
    <s v="Mawia"/>
    <s v="Catherine"/>
    <x v="2"/>
    <x v="2"/>
    <s v="University of Nairobi"/>
    <s v="University of Nairobi"/>
    <x v="2"/>
    <s v="IN COUNTRY/IN REGION SCHOLARSHIP"/>
    <n v="10177.58"/>
    <s v="DAAD "/>
    <n v="12"/>
    <x v="2"/>
    <x v="2"/>
    <m/>
    <x v="1"/>
    <m/>
    <m/>
    <m/>
    <m/>
    <m/>
  </r>
  <r>
    <n v="26"/>
    <x v="6"/>
    <x v="12"/>
    <s v="Musyoka"/>
    <s v="Mawia"/>
    <s v="Catherine"/>
    <x v="2"/>
    <x v="2"/>
    <s v="University of Nairobi"/>
    <s v="University of Nairobi"/>
    <x v="2"/>
    <s v="In-Country/In-Region Programme CARTA, 2017"/>
    <n v="9554.2800000000007"/>
    <s v="DAAD"/>
    <n v="12"/>
    <x v="2"/>
    <x v="3"/>
    <m/>
    <x v="1"/>
    <m/>
    <m/>
    <m/>
    <m/>
    <m/>
  </r>
  <r>
    <n v="27"/>
    <x v="5"/>
    <x v="12"/>
    <s v="Musyoka"/>
    <s v="Mawia"/>
    <s v="Catherine"/>
    <x v="2"/>
    <x v="2"/>
    <s v="University of Nairobi"/>
    <s v="University of Nairobi"/>
    <x v="2"/>
    <s v="DAAD Incountry/Inregion award"/>
    <n v="12290.66"/>
    <s v="DAAD"/>
    <n v="12"/>
    <x v="2"/>
    <x v="3"/>
    <m/>
    <x v="1"/>
    <m/>
    <m/>
    <m/>
    <m/>
    <m/>
  </r>
  <r>
    <n v="28"/>
    <x v="1"/>
    <x v="13"/>
    <s v="Cadmus"/>
    <s v="Olubukola"/>
    <s v="Eniola"/>
    <x v="2"/>
    <x v="2"/>
    <s v="University of Ibadan"/>
    <s v="University of Ibadan"/>
    <x v="1"/>
    <s v="Institutional Conference support grant"/>
    <n v="4665"/>
    <s v="The Education  Trust Fund (TETFUND) conference support grant"/>
    <s v="5 days"/>
    <x v="1"/>
    <x v="1"/>
    <m/>
    <x v="1"/>
    <m/>
    <m/>
    <m/>
    <m/>
    <m/>
  </r>
  <r>
    <n v="29"/>
    <x v="3"/>
    <x v="13"/>
    <s v="Cadmus"/>
    <s v="Olubukola"/>
    <s v="Eniola"/>
    <x v="2"/>
    <x v="2"/>
    <s v="University of Ibadan"/>
    <s v="University of Ibadan"/>
    <x v="1"/>
    <s v="Not Applicable"/>
    <m/>
    <s v="The Union"/>
    <s v="5 days"/>
    <x v="4"/>
    <x v="1"/>
    <m/>
    <x v="1"/>
    <m/>
    <m/>
    <m/>
    <m/>
    <m/>
  </r>
  <r>
    <n v="30"/>
    <x v="4"/>
    <x v="13"/>
    <s v="Cadmus"/>
    <s v="Olubukola"/>
    <s v="Eniola"/>
    <x v="2"/>
    <x v="2"/>
    <s v="University of Ibadan"/>
    <s v="University of Ibadan"/>
    <x v="1"/>
    <s v="Conference sponsorship"/>
    <m/>
    <s v="The Union"/>
    <m/>
    <x v="1"/>
    <x v="2"/>
    <m/>
    <x v="1"/>
    <m/>
    <m/>
    <m/>
    <m/>
    <m/>
  </r>
  <r>
    <n v="31"/>
    <x v="6"/>
    <x v="13"/>
    <s v="Cadmus"/>
    <s v="Olubukola"/>
    <s v="Eniola"/>
    <x v="2"/>
    <x v="2"/>
    <s v="University of Ibadan"/>
    <s v="University of Ibadan"/>
    <x v="1"/>
    <s v="Bursary (ticket and conference registration"/>
    <n v="775"/>
    <s v="International Epidemiological Association "/>
    <n v="1"/>
    <x v="1"/>
    <x v="3"/>
    <m/>
    <x v="1"/>
    <m/>
    <m/>
    <m/>
    <m/>
    <m/>
  </r>
  <r>
    <n v="32"/>
    <x v="6"/>
    <x v="13"/>
    <s v="Cadmus"/>
    <s v="Olubukola"/>
    <s v="Eniola"/>
    <x v="2"/>
    <x v="2"/>
    <s v="University of Ibadan"/>
    <s v="University of Ibadan"/>
    <x v="4"/>
    <s v="Funding to attend Expert Meeting on Violence Against Older Women"/>
    <m/>
    <s v="World Health Organization"/>
    <n v="1"/>
    <x v="4"/>
    <x v="3"/>
    <m/>
    <x v="1"/>
    <m/>
    <m/>
    <m/>
    <m/>
    <m/>
  </r>
  <r>
    <n v="33"/>
    <x v="6"/>
    <x v="13"/>
    <s v="Cadmus"/>
    <s v="Olubukola"/>
    <s v="Eniola"/>
    <x v="2"/>
    <x v="2"/>
    <s v="University of Ibadan"/>
    <s v="University of Ibadan"/>
    <x v="4"/>
    <s v="Dave Omokaro Foundation"/>
    <m/>
    <m/>
    <n v="1"/>
    <x v="4"/>
    <x v="3"/>
    <m/>
    <x v="1"/>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r>
  <r>
    <n v="35"/>
    <x v="5"/>
    <x v="13"/>
    <s v="Cadmus"/>
    <s v="Olubukola"/>
    <s v="Eniola"/>
    <x v="2"/>
    <x v="2"/>
    <s v="University of Ibadan"/>
    <s v="University of Ibadan"/>
    <x v="4"/>
    <s v="Travel , conference fee and accomodation"/>
    <m/>
    <s v="University of Global Health Equity"/>
    <n v="1"/>
    <x v="4"/>
    <x v="3"/>
    <m/>
    <x v="1"/>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r>
  <r>
    <n v="37"/>
    <x v="3"/>
    <x v="15"/>
    <s v="Somefun"/>
    <s v="Dolapo"/>
    <s v="Oluwaseyi"/>
    <x v="2"/>
    <x v="3"/>
    <s v="University of the WItwatersrand"/>
    <s v="University of the WItwatersrand"/>
    <x v="4"/>
    <m/>
    <n v="600"/>
    <s v="Comparative Research Programme on Poverty (CROP)"/>
    <m/>
    <x v="4"/>
    <x v="1"/>
    <m/>
    <x v="1"/>
    <m/>
    <m/>
    <m/>
    <m/>
    <m/>
  </r>
  <r>
    <n v="38"/>
    <x v="2"/>
    <x v="15"/>
    <s v="Somefun"/>
    <s v="Dolapo"/>
    <s v="Oluwaseyi"/>
    <x v="2"/>
    <x v="3"/>
    <s v="University of the WItwatersrand"/>
    <s v="University of the WItwatersrand"/>
    <x v="4"/>
    <s v="Travel grant"/>
    <n v="1180"/>
    <s v="Population Reference Bureau"/>
    <m/>
    <x v="4"/>
    <x v="2"/>
    <m/>
    <x v="1"/>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r>
  <r>
    <n v="40"/>
    <x v="1"/>
    <x v="17"/>
    <s v="Mutai"/>
    <s v="Chepkurui"/>
    <s v="Winnie"/>
    <x v="2"/>
    <x v="1"/>
    <s v="University of Nairobi"/>
    <s v="University of Nairobi"/>
    <x v="3"/>
    <s v="Nation Research Fund"/>
    <n v="20000"/>
    <s v="Kenyan Government"/>
    <s v="3years"/>
    <x v="3"/>
    <x v="1"/>
    <m/>
    <x v="1"/>
    <m/>
    <m/>
    <m/>
    <m/>
    <m/>
  </r>
  <r>
    <n v="41"/>
    <x v="4"/>
    <x v="18"/>
    <s v="Obembe"/>
    <s v="Akinyode"/>
    <s v="Taiwo"/>
    <x v="1"/>
    <x v="4"/>
    <s v="University of Ibadan"/>
    <s v="University of the WItwatersrand"/>
    <x v="6"/>
    <s v="Fellow of the Royal Society for Public Health"/>
    <m/>
    <s v="Royal Society for Public Health"/>
    <n v="12"/>
    <x v="3"/>
    <x v="2"/>
    <m/>
    <x v="1"/>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r>
  <r>
    <n v="43"/>
    <x v="3"/>
    <x v="20"/>
    <s v="Karumi"/>
    <s v="Wamuyu"/>
    <s v="Esther"/>
    <x v="2"/>
    <x v="4"/>
    <s v="University of Nairobi"/>
    <s v="University of Nairobi"/>
    <x v="2"/>
    <s v="DAAD In-country/ In-Region scholarship"/>
    <m/>
    <s v="DAAD"/>
    <s v="1 year"/>
    <x v="2"/>
    <x v="1"/>
    <m/>
    <x v="1"/>
    <m/>
    <m/>
    <m/>
    <m/>
    <m/>
  </r>
  <r>
    <n v="44"/>
    <x v="4"/>
    <x v="21"/>
    <s v="Balogun"/>
    <s v="Mubowale"/>
    <s v="Folusho"/>
    <x v="2"/>
    <x v="4"/>
    <s v="University of Ibadan"/>
    <s v="University of Ibadan"/>
    <x v="3"/>
    <s v="Bill &amp; Melinda Gates Grand Challenge Exploration award "/>
    <n v="100000"/>
    <s v="Bill &amp; Melinda Gates"/>
    <n v="18"/>
    <x v="3"/>
    <x v="2"/>
    <m/>
    <x v="1"/>
    <m/>
    <m/>
    <m/>
    <m/>
    <m/>
  </r>
  <r>
    <n v="45"/>
    <x v="2"/>
    <x v="21"/>
    <s v="Balogun"/>
    <s v="Mubowale"/>
    <s v="Folusho"/>
    <x v="2"/>
    <x v="4"/>
    <s v="University of Ibadan"/>
    <s v="University of Ibadan"/>
    <x v="1"/>
    <m/>
    <m/>
    <s v="Carnegie Corporation of New York"/>
    <m/>
    <x v="1"/>
    <x v="2"/>
    <m/>
    <x v="1"/>
    <m/>
    <m/>
    <m/>
    <m/>
    <m/>
  </r>
  <r>
    <n v="46"/>
    <x v="1"/>
    <x v="22"/>
    <s v="Cherop"/>
    <s v="Jepkosgei"/>
    <s v="Felishana"/>
    <x v="2"/>
    <x v="2"/>
    <s v="Moi University"/>
    <s v="Moi University"/>
    <x v="2"/>
    <s v="PhD Programme at CARTA"/>
    <n v="13000"/>
    <s v="DAAD "/>
    <s v="1 year "/>
    <x v="2"/>
    <x v="1"/>
    <m/>
    <x v="1"/>
    <m/>
    <m/>
    <m/>
    <m/>
    <m/>
  </r>
  <r>
    <n v="47"/>
    <x v="3"/>
    <x v="22"/>
    <s v="Cherop"/>
    <s v="Jepkosgei"/>
    <s v="Felishana"/>
    <x v="2"/>
    <x v="2"/>
    <s v="Moi University"/>
    <s v="Moi University"/>
    <x v="2"/>
    <s v="PhD Scholarship"/>
    <n v="920"/>
    <s v="DAAD"/>
    <s v="1 year"/>
    <x v="2"/>
    <x v="1"/>
    <m/>
    <x v="1"/>
    <m/>
    <m/>
    <m/>
    <m/>
    <m/>
  </r>
  <r>
    <n v="48"/>
    <x v="4"/>
    <x v="22"/>
    <s v="Cherop"/>
    <s v="Jepkosgei"/>
    <s v="Felishana"/>
    <x v="2"/>
    <x v="2"/>
    <s v="Moi University"/>
    <s v="Moi University"/>
    <x v="2"/>
    <s v="In-Country/In-Region Programme CARTA, 2017 (57376090)"/>
    <n v="1703"/>
    <s v="DAAD"/>
    <n v="12"/>
    <x v="2"/>
    <x v="2"/>
    <m/>
    <x v="1"/>
    <m/>
    <m/>
    <m/>
    <m/>
    <m/>
  </r>
  <r>
    <n v="49"/>
    <x v="2"/>
    <x v="22"/>
    <s v="Cherop"/>
    <s v="Jepkosgei"/>
    <s v="Felishana"/>
    <x v="2"/>
    <x v="2"/>
    <s v="Moi University"/>
    <s v="Moi University"/>
    <x v="2"/>
    <s v="DAAD (PhD) Scholarship extension"/>
    <n v="920"/>
    <s v="DAAD"/>
    <n v="12"/>
    <x v="2"/>
    <x v="2"/>
    <m/>
    <x v="1"/>
    <m/>
    <m/>
    <m/>
    <m/>
    <m/>
  </r>
  <r>
    <n v="50"/>
    <x v="1"/>
    <x v="23"/>
    <s v="Khuluza"/>
    <m/>
    <s v="Felix"/>
    <x v="1"/>
    <x v="4"/>
    <s v="University of Malawi"/>
    <s v="University of Malawi"/>
    <x v="3"/>
    <s v="A survey on affordability and availability of medicines in Malawi"/>
    <n v="5009"/>
    <s v="Action Medeor Germany"/>
    <s v="6 months"/>
    <x v="3"/>
    <x v="1"/>
    <m/>
    <x v="1"/>
    <m/>
    <m/>
    <m/>
    <m/>
    <m/>
  </r>
  <r>
    <n v="51"/>
    <x v="1"/>
    <x v="23"/>
    <s v="Khuluza"/>
    <m/>
    <s v="Felix"/>
    <x v="1"/>
    <x v="4"/>
    <s v="University of Malawi"/>
    <s v="University of Malawi"/>
    <x v="3"/>
    <s v="Works Contract"/>
    <n v="1950"/>
    <s v="University of Tuebingen-Germany"/>
    <s v="July-December 2017"/>
    <x v="3"/>
    <x v="1"/>
    <m/>
    <x v="1"/>
    <m/>
    <m/>
    <m/>
    <m/>
    <m/>
  </r>
  <r>
    <n v="52"/>
    <x v="3"/>
    <x v="23"/>
    <s v="Khuluza"/>
    <m/>
    <s v="Felix"/>
    <x v="1"/>
    <x v="4"/>
    <s v="University of Malawi"/>
    <s v="University of Malawi"/>
    <x v="6"/>
    <s v="Consultancy award: EXPANSION OF PHARMACY ASSISTANT PROGRAMME"/>
    <n v="500000"/>
    <s v="Global Fund through Ministry of Health-Malawi"/>
    <s v="2 years"/>
    <x v="3"/>
    <x v="1"/>
    <m/>
    <x v="1"/>
    <m/>
    <m/>
    <m/>
    <m/>
    <m/>
  </r>
  <r>
    <n v="53"/>
    <x v="2"/>
    <x v="23"/>
    <s v="Khuluza"/>
    <m/>
    <s v="Felix"/>
    <x v="1"/>
    <x v="4"/>
    <s v="University of Malawi"/>
    <s v="University of Malawi"/>
    <x v="1"/>
    <s v="Medicine Quality and Public Health"/>
    <n v="5000"/>
    <s v="University of Oxford"/>
    <m/>
    <x v="1"/>
    <x v="2"/>
    <m/>
    <x v="1"/>
    <m/>
    <m/>
    <m/>
    <m/>
    <m/>
  </r>
  <r>
    <n v="54"/>
    <x v="1"/>
    <x v="24"/>
    <s v="Lawal"/>
    <s v="Barakat"/>
    <s v="Folake"/>
    <x v="2"/>
    <x v="2"/>
    <s v="University of Ibadan"/>
    <s v="University of Ibadan"/>
    <x v="3"/>
    <s v="Tetfund institutional research grant"/>
    <n v="5398.92"/>
    <s v="Tertiary Education Trust Fund Nigeria"/>
    <s v="One year"/>
    <x v="3"/>
    <x v="1"/>
    <m/>
    <x v="1"/>
    <m/>
    <m/>
    <m/>
    <m/>
    <m/>
  </r>
  <r>
    <n v="55"/>
    <x v="6"/>
    <x v="24"/>
    <s v="Lawal"/>
    <s v="Barakat"/>
    <s v="Folake"/>
    <x v="2"/>
    <x v="2"/>
    <s v="University of Ibadan"/>
    <s v="University of Ibadan"/>
    <x v="4"/>
    <s v="Borrow Travel Grant"/>
    <n v="564.41999999999996"/>
    <s v="Borrow Foundation"/>
    <m/>
    <x v="4"/>
    <x v="3"/>
    <m/>
    <x v="1"/>
    <m/>
    <m/>
    <m/>
    <m/>
    <m/>
  </r>
  <r>
    <n v="56"/>
    <x v="5"/>
    <x v="24"/>
    <s v="Lawal"/>
    <s v="Barakat"/>
    <s v="Folake"/>
    <x v="2"/>
    <x v="2"/>
    <s v="University of Ibadan"/>
    <s v="University of Ibadan"/>
    <x v="4"/>
    <s v="Borrow Travel Grant"/>
    <n v="554.04999999999995"/>
    <s v="Borrow Foundation"/>
    <m/>
    <x v="4"/>
    <x v="3"/>
    <m/>
    <x v="1"/>
    <m/>
    <m/>
    <m/>
    <m/>
    <m/>
  </r>
  <r>
    <n v="57"/>
    <x v="1"/>
    <x v="25"/>
    <s v="Maniragaba"/>
    <m/>
    <s v="Fred"/>
    <x v="1"/>
    <x v="4"/>
    <s v="Makerere University"/>
    <s v="Makerere University"/>
    <x v="2"/>
    <s v="Tuition fees waiver"/>
    <m/>
    <s v="Makerere University"/>
    <s v="One year"/>
    <x v="2"/>
    <x v="1"/>
    <m/>
    <x v="1"/>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r>
  <r>
    <n v="60"/>
    <x v="4"/>
    <x v="27"/>
    <s v="Moroe"/>
    <s v="Nzuza"/>
    <s v="Nomfundo"/>
    <x v="2"/>
    <x v="3"/>
    <s v="University of the WItwatersrand"/>
    <s v="University of the WItwatersrand"/>
    <x v="3"/>
    <s v="NRF: Thuthuka"/>
    <m/>
    <s v="National Research Fund "/>
    <n v="36"/>
    <x v="3"/>
    <x v="2"/>
    <m/>
    <x v="1"/>
    <m/>
    <m/>
    <m/>
    <m/>
    <m/>
  </r>
  <r>
    <n v="61"/>
    <x v="1"/>
    <x v="28"/>
    <s v="Oyinlola"/>
    <s v="Folasade"/>
    <s v="Funmilola"/>
    <x v="2"/>
    <x v="2"/>
    <s v="Obafemi Awolowo University"/>
    <s v="Obafemi Awolowo University"/>
    <x v="3"/>
    <s v="NEEDS ASSESSMENT ACADEMIC STAFF TRAINING AND DEVELOPMENT"/>
    <n v="3000"/>
    <s v="TETFUND"/>
    <s v="3 years"/>
    <x v="3"/>
    <x v="1"/>
    <m/>
    <x v="1"/>
    <m/>
    <m/>
    <m/>
    <m/>
    <m/>
  </r>
  <r>
    <n v="62"/>
    <x v="3"/>
    <x v="28"/>
    <s v="Oyinlola"/>
    <s v="Folasade"/>
    <s v="Funmilola"/>
    <x v="2"/>
    <x v="2"/>
    <s v="Obafemi Awolowo University"/>
    <s v="Obafemi Awolowo University"/>
    <x v="3"/>
    <s v="RESEARCH GRANT"/>
    <n v="3000"/>
    <s v="TETFUND/NEEDS"/>
    <s v="1YEAR"/>
    <x v="3"/>
    <x v="1"/>
    <m/>
    <x v="1"/>
    <m/>
    <m/>
    <m/>
    <m/>
    <m/>
  </r>
  <r>
    <n v="63"/>
    <x v="4"/>
    <x v="29"/>
    <s v="Anywar"/>
    <m/>
    <s v="Godwin"/>
    <x v="1"/>
    <x v="3"/>
    <s v="Makerere University"/>
    <s v="Makerere University"/>
    <x v="2"/>
    <s v="Short Term Research Scholarship"/>
    <n v="8162.79"/>
    <s v="DAAD"/>
    <n v="6"/>
    <x v="4"/>
    <x v="2"/>
    <m/>
    <x v="1"/>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r>
  <r>
    <n v="65"/>
    <x v="6"/>
    <x v="29"/>
    <s v="Anywar"/>
    <m/>
    <s v="Godwin"/>
    <x v="1"/>
    <x v="3"/>
    <s v="Makerere University"/>
    <s v="Makerere University"/>
    <x v="6"/>
    <s v="Research Recognotion: Young Investigator Fellowship"/>
    <n v="650"/>
    <s v="International Society for Ethnopharmacology "/>
    <n v="1"/>
    <x v="4"/>
    <x v="3"/>
    <m/>
    <x v="1"/>
    <m/>
    <m/>
    <m/>
    <m/>
    <m/>
  </r>
  <r>
    <n v="66"/>
    <x v="6"/>
    <x v="29"/>
    <s v="Anywar"/>
    <m/>
    <s v="Godwin"/>
    <x v="1"/>
    <x v="3"/>
    <s v="Makerere University"/>
    <s v="Makerere University"/>
    <x v="3"/>
    <s v="Access and Benefit Sharing - Sustainable Use of Biodiversity (ABSbio) project "/>
    <n v="234207.6"/>
    <s v="DAAD"/>
    <n v="36"/>
    <x v="3"/>
    <x v="3"/>
    <m/>
    <x v="1"/>
    <m/>
    <m/>
    <m/>
    <m/>
    <m/>
  </r>
  <r>
    <n v="67"/>
    <x v="1"/>
    <x v="30"/>
    <s v="Jepngetich"/>
    <s v="Jepngetich"/>
    <s v="Hellen"/>
    <x v="2"/>
    <x v="4"/>
    <s v="Moi University"/>
    <s v="Moi University"/>
    <x v="2"/>
    <s v="Moi University Partial Scholarship"/>
    <n v="1150"/>
    <s v="Moi University"/>
    <s v="to supplement tuition fees for my PhD training"/>
    <x v="2"/>
    <x v="1"/>
    <m/>
    <x v="1"/>
    <m/>
    <m/>
    <m/>
    <m/>
    <m/>
  </r>
  <r>
    <n v="68"/>
    <x v="2"/>
    <x v="30"/>
    <s v="Jepngetich"/>
    <s v="Jepngetich"/>
    <s v="Hellen"/>
    <x v="2"/>
    <x v="4"/>
    <s v="Moi University"/>
    <s v="Moi University"/>
    <x v="2"/>
    <s v="Global Bioethics training program: Online  training in Master in Global Bioethics  program"/>
    <m/>
    <s v="Anahuac university, Mexico"/>
    <n v="24"/>
    <x v="2"/>
    <x v="2"/>
    <m/>
    <x v="1"/>
    <m/>
    <m/>
    <m/>
    <m/>
    <m/>
  </r>
  <r>
    <n v="69"/>
    <x v="4"/>
    <x v="31"/>
    <s v="Zakumumpa"/>
    <m/>
    <s v="Henry"/>
    <x v="1"/>
    <x v="1"/>
    <s v="Makerere University"/>
    <s v="Makerere University"/>
    <x v="7"/>
    <s v="Facilitators and Barriers to HIV workforce transition from PEPFAR and Government of Uganda ownership"/>
    <n v="7800"/>
    <s v="USAID"/>
    <n v="12"/>
    <x v="3"/>
    <x v="2"/>
    <m/>
    <x v="1"/>
    <m/>
    <m/>
    <m/>
    <m/>
    <m/>
  </r>
  <r>
    <n v="70"/>
    <x v="4"/>
    <x v="31"/>
    <s v="Zakumumpa"/>
    <m/>
    <s v="Henry"/>
    <x v="1"/>
    <x v="1"/>
    <s v="Makerere University"/>
    <s v="Makerere University"/>
    <x v="4"/>
    <s v="Travel award"/>
    <n v="800"/>
    <s v="UNITAID"/>
    <n v="1"/>
    <x v="4"/>
    <x v="2"/>
    <m/>
    <x v="1"/>
    <m/>
    <m/>
    <m/>
    <m/>
    <m/>
  </r>
  <r>
    <n v="71"/>
    <x v="4"/>
    <x v="31"/>
    <s v="Zakumumpa"/>
    <m/>
    <s v="Henry"/>
    <x v="1"/>
    <x v="1"/>
    <s v="Makerere University"/>
    <s v="Makerere University"/>
    <x v="1"/>
    <s v="Travel grant to attend 22nd International AIDS Conference in Amsterdam, the Netherlands"/>
    <m/>
    <s v="USAID"/>
    <n v="1"/>
    <x v="1"/>
    <x v="2"/>
    <m/>
    <x v="1"/>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r>
  <r>
    <n v="73"/>
    <x v="3"/>
    <x v="32"/>
    <s v="Bukenya"/>
    <s v="Nnakate"/>
    <s v="Justine"/>
    <x v="2"/>
    <x v="4"/>
    <s v="Makerere University"/>
    <s v="Makerere University"/>
    <x v="4"/>
    <s v="Travel support"/>
    <n v="610"/>
    <s v="International Union for the Scientific Study of Population (IUSSP)"/>
    <s v="4 days"/>
    <x v="4"/>
    <x v="1"/>
    <m/>
    <x v="1"/>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r>
  <r>
    <n v="75"/>
    <x v="1"/>
    <x v="34"/>
    <s v="Mutyoba"/>
    <s v="Nankya"/>
    <s v="Joan"/>
    <x v="2"/>
    <x v="3"/>
    <s v="Makerere University"/>
    <s v="Makerere University"/>
    <x v="4"/>
    <s v="Junior Investigator Travel Award"/>
    <n v="1500"/>
    <s v="U54 Consortium"/>
    <s v="3 days"/>
    <x v="4"/>
    <x v="1"/>
    <m/>
    <x v="1"/>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r>
  <r>
    <n v="77"/>
    <x v="1"/>
    <x v="35"/>
    <s v="Sitienei"/>
    <s v="Chepchirchir"/>
    <s v="Jackline"/>
    <x v="2"/>
    <x v="1"/>
    <s v="Moi University"/>
    <s v="University of the WItwatersrand"/>
    <x v="3"/>
    <s v="Young Researchers Grant"/>
    <n v="10000"/>
    <s v="FSH"/>
    <s v="12 Months"/>
    <x v="3"/>
    <x v="1"/>
    <m/>
    <x v="1"/>
    <m/>
    <m/>
    <m/>
    <m/>
    <m/>
  </r>
  <r>
    <n v="78"/>
    <x v="1"/>
    <x v="35"/>
    <s v="Sitienei"/>
    <s v="Chepchirchir"/>
    <s v="Jackline"/>
    <x v="2"/>
    <x v="1"/>
    <s v="Moi University"/>
    <s v="University of the WItwatersrand"/>
    <x v="1"/>
    <s v="SCHOLARSHIP FOR CONFRENCE"/>
    <n v="1500"/>
    <s v="cugh"/>
    <s v="5 DAYS"/>
    <x v="4"/>
    <x v="1"/>
    <m/>
    <x v="1"/>
    <m/>
    <m/>
    <m/>
    <m/>
    <m/>
  </r>
  <r>
    <n v="79"/>
    <x v="3"/>
    <x v="35"/>
    <s v="Sitienei"/>
    <s v="Chepchirchir"/>
    <s v="Jackline"/>
    <x v="2"/>
    <x v="1"/>
    <s v="Moi University"/>
    <s v="University of the WItwatersrand"/>
    <x v="1"/>
    <m/>
    <n v="2000"/>
    <s v="Elsivier"/>
    <m/>
    <x v="1"/>
    <x v="1"/>
    <m/>
    <x v="1"/>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r>
  <r>
    <n v="84"/>
    <x v="2"/>
    <x v="36"/>
    <s v="Adebayo"/>
    <s v="Oluwatoyin"/>
    <s v="Kudus"/>
    <x v="1"/>
    <x v="3"/>
    <s v="University of Ibadan"/>
    <s v="University of Ibadan"/>
    <x v="4"/>
    <s v="Travel Grant"/>
    <m/>
    <s v="CODESRIA"/>
    <n v="1"/>
    <x v="4"/>
    <x v="2"/>
    <m/>
    <x v="1"/>
    <m/>
    <m/>
    <m/>
    <m/>
    <m/>
  </r>
  <r>
    <n v="85"/>
    <x v="6"/>
    <x v="36"/>
    <s v="Adebayo"/>
    <s v="Oluwatoyin"/>
    <s v="Kudus"/>
    <x v="1"/>
    <x v="3"/>
    <s v="University of Ibadan"/>
    <s v="University of Ibadan"/>
    <x v="4"/>
    <s v="Travel Grant"/>
    <n v="350"/>
    <s v="Central European University"/>
    <n v="1"/>
    <x v="4"/>
    <x v="3"/>
    <m/>
    <x v="1"/>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r>
  <r>
    <n v="87"/>
    <x v="4"/>
    <x v="38"/>
    <s v="Karimi"/>
    <s v="Joyce"/>
    <s v="Kellen"/>
    <x v="2"/>
    <x v="2"/>
    <s v="University of Nairobi"/>
    <s v="University of the WItwatersrand"/>
    <x v="2"/>
    <s v="In-Country/In-Region Programme CARTA, 2018"/>
    <n v="25434"/>
    <s v="DAAD"/>
    <n v="36"/>
    <x v="2"/>
    <x v="2"/>
    <m/>
    <x v="1"/>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r>
  <r>
    <n v="90"/>
    <x v="2"/>
    <x v="39"/>
    <s v="Kapanda"/>
    <m/>
    <s v="Lester"/>
    <x v="1"/>
    <x v="4"/>
    <s v="University of Malawi"/>
    <s v="University of Malawi"/>
    <x v="1"/>
    <s v="International AIDS Society (IAS) Conference Scholarship"/>
    <n v="2000"/>
    <s v="International AIDS Society"/>
    <n v="1"/>
    <x v="1"/>
    <x v="2"/>
    <m/>
    <x v="1"/>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r>
  <r>
    <n v="96"/>
    <x v="4"/>
    <x v="42"/>
    <s v="Makwero"/>
    <s v="Kabudula"/>
    <s v="Martha"/>
    <x v="2"/>
    <x v="2"/>
    <s v="University of Malawi"/>
    <s v="University of the WItwatersrand"/>
    <x v="4"/>
    <s v="travel grant"/>
    <n v="300"/>
    <s v="World congress of Family physicians ( WONCA)"/>
    <n v="1"/>
    <x v="1"/>
    <x v="2"/>
    <m/>
    <x v="1"/>
    <m/>
    <m/>
    <m/>
    <m/>
    <m/>
  </r>
  <r>
    <n v="97"/>
    <x v="2"/>
    <x v="42"/>
    <s v="Makwero"/>
    <s v="Kabudula"/>
    <s v="Martha"/>
    <x v="2"/>
    <x v="2"/>
    <s v="University of Malawi"/>
    <s v="University of the WItwatersrand"/>
    <x v="1"/>
    <s v=" conference attendance grant"/>
    <n v="700"/>
    <s v="Royal college of GP's international office"/>
    <n v="1"/>
    <x v="1"/>
    <x v="2"/>
    <m/>
    <x v="1"/>
    <m/>
    <m/>
    <m/>
    <m/>
    <m/>
  </r>
  <r>
    <n v="98"/>
    <x v="6"/>
    <x v="42"/>
    <s v="Makwero"/>
    <s v="Kabudula"/>
    <s v="Martha"/>
    <x v="2"/>
    <x v="2"/>
    <s v="University of Malawi"/>
    <s v="University of the WItwatersrand"/>
    <x v="4"/>
    <s v="Primafammed / Gent univ "/>
    <n v="700"/>
    <s v="Primafammed"/>
    <n v="1"/>
    <x v="4"/>
    <x v="3"/>
    <m/>
    <x v="1"/>
    <m/>
    <m/>
    <m/>
    <m/>
    <m/>
  </r>
  <r>
    <n v="99"/>
    <x v="2"/>
    <x v="43"/>
    <s v="Mutua"/>
    <s v="Michael"/>
    <s v="Mbithi"/>
    <x v="1"/>
    <x v="1"/>
    <s v="APHRC"/>
    <s v="University of the WItwatersrand"/>
    <x v="3"/>
    <s v="Evaluation of an existing program on reducing teenage pregnancy"/>
    <n v="375000"/>
    <s v="Bill &amp; Melinda Gates Foundation"/>
    <n v="20"/>
    <x v="3"/>
    <x v="2"/>
    <m/>
    <x v="1"/>
    <m/>
    <m/>
    <m/>
    <m/>
    <m/>
  </r>
  <r>
    <n v="100"/>
    <x v="4"/>
    <x v="44"/>
    <s v="NISHIMWE"/>
    <s v="-"/>
    <s v="Aurore"/>
    <x v="2"/>
    <x v="2"/>
    <s v="University of Rwanda"/>
    <s v="University of the WItwatersrand"/>
    <x v="3"/>
    <s v="One Health Fellowship"/>
    <n v="3000"/>
    <s v="Cummings Foundation_Tufts University(USA)"/>
    <n v="2"/>
    <x v="3"/>
    <x v="2"/>
    <m/>
    <x v="1"/>
    <m/>
    <m/>
    <m/>
    <m/>
    <m/>
  </r>
  <r>
    <n v="101"/>
    <x v="3"/>
    <x v="45"/>
    <s v="Khoza"/>
    <s v="Nomhle"/>
    <s v="Makhosazane"/>
    <x v="2"/>
    <x v="3"/>
    <s v="University of the WItwatersrand"/>
    <s v="University of the WItwatersrand"/>
    <x v="1"/>
    <s v="Conference scholarship"/>
    <n v="800"/>
    <s v="AIDS Impact"/>
    <s v="4 Days"/>
    <x v="1"/>
    <x v="1"/>
    <m/>
    <x v="1"/>
    <m/>
    <m/>
    <m/>
    <m/>
    <m/>
  </r>
  <r>
    <n v="102"/>
    <x v="3"/>
    <x v="46"/>
    <s v="Mukungu"/>
    <s v="Ayuma"/>
    <s v="Nilian"/>
    <x v="2"/>
    <x v="1"/>
    <s v="University of Nairobi"/>
    <s v="University of Nairobi"/>
    <x v="2"/>
    <s v="Small grant for theses and dissertation"/>
    <n v="3500"/>
    <s v="Association of African universities"/>
    <s v="1 year"/>
    <x v="3"/>
    <x v="1"/>
    <m/>
    <x v="1"/>
    <m/>
    <m/>
    <m/>
    <m/>
    <m/>
  </r>
  <r>
    <n v="103"/>
    <x v="1"/>
    <x v="47"/>
    <s v="Adetutu"/>
    <s v="Mayowa"/>
    <s v="Olufemi"/>
    <x v="1"/>
    <x v="2"/>
    <s v="Obafemi Awolowo University"/>
    <s v="Obafemi Awolowo University"/>
    <x v="2"/>
    <s v="NEEDS ASSESSMENT ACADEMIC AWARD"/>
    <m/>
    <s v="OBAFEMI AWOLOWO UNIVERSITY"/>
    <s v="3 YEARS"/>
    <x v="3"/>
    <x v="1"/>
    <m/>
    <x v="1"/>
    <m/>
    <m/>
    <m/>
    <m/>
    <m/>
  </r>
  <r>
    <n v="104"/>
    <x v="3"/>
    <x v="47"/>
    <s v="Adetutu"/>
    <s v="Mayowa"/>
    <s v="Olufemi"/>
    <x v="1"/>
    <x v="2"/>
    <s v="Obafemi Awolowo University"/>
    <s v="Obafemi Awolowo University"/>
    <x v="2"/>
    <s v="ACADEMIC NEEDS ASSESSMENT"/>
    <n v="2000"/>
    <s v="OBAFEMI AWOLOWO UNIVERSITY, NIGERIA"/>
    <s v="2 YEARS"/>
    <x v="3"/>
    <x v="1"/>
    <m/>
    <x v="1"/>
    <m/>
    <m/>
    <m/>
    <m/>
    <m/>
  </r>
  <r>
    <n v="105"/>
    <x v="3"/>
    <x v="48"/>
    <s v="Morakinyo"/>
    <s v="Mayowa"/>
    <s v="Oyewale"/>
    <x v="1"/>
    <x v="4"/>
    <s v="University of Ibadan"/>
    <s v="University of Ibadan"/>
    <x v="1"/>
    <s v="Conference "/>
    <m/>
    <s v="Regional water and Environmental and sanitation centre, Kumasi"/>
    <s v="A week"/>
    <x v="1"/>
    <x v="1"/>
    <m/>
    <x v="1"/>
    <m/>
    <m/>
    <m/>
    <m/>
    <m/>
  </r>
  <r>
    <n v="106"/>
    <x v="6"/>
    <x v="48"/>
    <s v="Morakinyo"/>
    <s v="Mayowa"/>
    <s v="Oyewale"/>
    <x v="1"/>
    <x v="4"/>
    <s v="University of Ibadan"/>
    <s v="University of Ibadan"/>
    <x v="4"/>
    <s v="Travel grant award"/>
    <n v="1669.62"/>
    <s v="International Society for Environmental Epidemiology"/>
    <m/>
    <x v="4"/>
    <x v="3"/>
    <m/>
    <x v="1"/>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r>
  <r>
    <n v="110"/>
    <x v="3"/>
    <x v="52"/>
    <s v="Olawoye"/>
    <s v="Oluyinka"/>
    <s v="Olusola"/>
    <x v="2"/>
    <x v="2"/>
    <s v="University of Ibadan"/>
    <s v="University of Ibadan"/>
    <x v="3"/>
    <s v="Co-investigator in NIH grant"/>
    <n v="3680000"/>
    <s v="NIH"/>
    <s v="5 years"/>
    <x v="3"/>
    <x v="1"/>
    <m/>
    <x v="1"/>
    <m/>
    <m/>
    <m/>
    <m/>
    <m/>
  </r>
  <r>
    <n v="111"/>
    <x v="2"/>
    <x v="52"/>
    <s v="Olawoye"/>
    <s v="Oluyinka"/>
    <s v="Olusola"/>
    <x v="2"/>
    <x v="2"/>
    <s v="University of Ibadan"/>
    <s v="University of Ibadan"/>
    <x v="4"/>
    <s v="Glaucoma research society travel grant"/>
    <m/>
    <s v="Glaucoma research society"/>
    <m/>
    <x v="4"/>
    <x v="2"/>
    <m/>
    <x v="1"/>
    <m/>
    <m/>
    <m/>
    <m/>
    <m/>
  </r>
  <r>
    <n v="112"/>
    <x v="1"/>
    <x v="53"/>
    <s v="Osiro"/>
    <s v="Millicent Awino"/>
    <s v="Olivia"/>
    <x v="2"/>
    <x v="3"/>
    <s v="University of Nairobi"/>
    <s v="University of Nairobi"/>
    <x v="2"/>
    <s v="Kenya National Research Fund"/>
    <n v="10000"/>
    <s v="Government of Kenya"/>
    <s v="2017 to 2019 financial years"/>
    <x v="3"/>
    <x v="1"/>
    <m/>
    <x v="1"/>
    <m/>
    <m/>
    <m/>
    <m/>
    <m/>
  </r>
  <r>
    <n v="113"/>
    <x v="1"/>
    <x v="53"/>
    <s v="Osiro"/>
    <s v="Millicent Awino"/>
    <s v="Olivia"/>
    <x v="2"/>
    <x v="3"/>
    <s v="University of Nairobi"/>
    <s v="University of Nairobi"/>
    <x v="2"/>
    <s v="DAAD In-country scholarship extension"/>
    <n v="4000"/>
    <s v="DAAD"/>
    <s v="Sept 2017 to Aug 2018"/>
    <x v="2"/>
    <x v="1"/>
    <m/>
    <x v="1"/>
    <m/>
    <m/>
    <m/>
    <m/>
    <m/>
  </r>
  <r>
    <n v="114"/>
    <x v="3"/>
    <x v="53"/>
    <s v="Osiro"/>
    <s v="Millicent Awino"/>
    <s v="Olivia"/>
    <x v="2"/>
    <x v="3"/>
    <s v="University of Nairobi"/>
    <s v="University of Nairobi"/>
    <x v="2"/>
    <s v="DAAD Scholarship extension for 2017/2018"/>
    <m/>
    <s v="DAAD"/>
    <s v="September 2017 to August 2018"/>
    <x v="2"/>
    <x v="1"/>
    <m/>
    <x v="1"/>
    <m/>
    <m/>
    <m/>
    <m/>
    <m/>
  </r>
  <r>
    <n v="115"/>
    <x v="4"/>
    <x v="53"/>
    <s v="Osiro"/>
    <s v="Millicent Awino"/>
    <s v="Olivia"/>
    <x v="2"/>
    <x v="3"/>
    <s v="University of Nairobi"/>
    <s v="University of Nairobi"/>
    <x v="4"/>
    <s v="DAAD Short research visit award"/>
    <n v="3000"/>
    <s v="DAAD"/>
    <n v="2"/>
    <x v="4"/>
    <x v="2"/>
    <m/>
    <x v="1"/>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r>
  <r>
    <n v="117"/>
    <x v="4"/>
    <x v="54"/>
    <s v="Molete"/>
    <s v="Primrose"/>
    <s v="Mpho"/>
    <x v="2"/>
    <x v="3"/>
    <s v="University of the WItwatersrand"/>
    <s v="University of the WItwatersrand"/>
    <x v="2"/>
    <s v="Health &amp; Welfare Sector Education &amp; Training Authority"/>
    <n v="5000"/>
    <s v="HWSETA -Government"/>
    <n v="12"/>
    <x v="3"/>
    <x v="2"/>
    <m/>
    <x v="1"/>
    <m/>
    <m/>
    <m/>
    <m/>
    <m/>
  </r>
  <r>
    <n v="118"/>
    <x v="2"/>
    <x v="54"/>
    <s v="Molete"/>
    <s v="Primrose"/>
    <s v="Mpho"/>
    <x v="2"/>
    <x v="3"/>
    <s v="University of the WItwatersrand"/>
    <s v="University of the WItwatersrand"/>
    <x v="3"/>
    <s v="PhD Track"/>
    <n v="5110"/>
    <s v="National Research Fund"/>
    <n v="12"/>
    <x v="3"/>
    <x v="2"/>
    <m/>
    <x v="1"/>
    <m/>
    <m/>
    <m/>
    <m/>
    <m/>
  </r>
  <r>
    <n v="119"/>
    <x v="6"/>
    <x v="54"/>
    <s v="Molete"/>
    <s v="Primrose"/>
    <s v="Mpho"/>
    <x v="2"/>
    <x v="3"/>
    <s v="University of the WItwatersrand"/>
    <s v="University of the WItwatersrand"/>
    <x v="3"/>
    <s v="Thuthuka"/>
    <n v="4928"/>
    <s v="National Research Fund"/>
    <n v="12"/>
    <x v="3"/>
    <x v="3"/>
    <m/>
    <x v="1"/>
    <m/>
    <m/>
    <m/>
    <m/>
    <m/>
  </r>
  <r>
    <n v="120"/>
    <x v="7"/>
    <x v="55"/>
    <s v="Opiyo"/>
    <s v="Okoyo"/>
    <s v="Rose"/>
    <x v="2"/>
    <x v="5"/>
    <s v="University of Nairobi"/>
    <s v="University of Nairobi"/>
    <x v="1"/>
    <s v="EAKI/ADB Conference Accomodation and Registration"/>
    <n v="820"/>
    <s v="EAKI/ADB"/>
    <n v="1"/>
    <x v="1"/>
    <x v="3"/>
    <m/>
    <x v="2"/>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r>
  <r>
    <n v="123"/>
    <x v="4"/>
    <x v="57"/>
    <s v="Kumwenda"/>
    <m/>
    <s v="Save"/>
    <x v="1"/>
    <x v="6"/>
    <s v="University of Malawi"/>
    <s v="University of Malawi"/>
    <x v="3"/>
    <s v="Sanitation and Hygiene Applied Research for Equity (SHARE Fellow)"/>
    <n v="46500"/>
    <s v="SHARE"/>
    <n v="28"/>
    <x v="3"/>
    <x v="2"/>
    <m/>
    <x v="1"/>
    <m/>
    <m/>
    <m/>
    <m/>
    <m/>
  </r>
  <r>
    <n v="124"/>
    <x v="2"/>
    <x v="58"/>
    <s v="Nieuwoudt"/>
    <s v="Jewett"/>
    <s v="Sara"/>
    <x v="2"/>
    <x v="1"/>
    <s v="University of the WItwatersrand"/>
    <s v="University of the WItwatersrand"/>
    <x v="6"/>
    <s v="Best Student Poster Presentation"/>
    <n v="200"/>
    <s v="Faculty of Health Sciences"/>
    <m/>
    <x v="4"/>
    <x v="2"/>
    <m/>
    <x v="1"/>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r>
  <r>
    <n v="126"/>
    <x v="2"/>
    <x v="59"/>
    <s v="Pilusa"/>
    <s v="Imogene"/>
    <s v="Sonti"/>
    <x v="2"/>
    <x v="2"/>
    <s v="University of the WItwatersrand"/>
    <s v="University of the WItwatersrand"/>
    <x v="3"/>
    <s v="FACULTY RESEARCH COMMITTEE INDIVIDUAL RESEARCH GRANTS"/>
    <n v="1061"/>
    <s v="WITS "/>
    <n v="12"/>
    <x v="3"/>
    <x v="2"/>
    <m/>
    <x v="1"/>
    <m/>
    <m/>
    <m/>
    <m/>
    <m/>
  </r>
  <r>
    <n v="127"/>
    <x v="2"/>
    <x v="59"/>
    <s v="Pilusa"/>
    <s v="Imogene"/>
    <s v="Sonti"/>
    <x v="2"/>
    <x v="2"/>
    <s v="University of the WItwatersrand"/>
    <s v="University of the WItwatersrand"/>
    <x v="3"/>
    <s v="THUTHUKA NRF GRANT "/>
    <n v="10966.12"/>
    <s v="NATIONAL RESEARCH FOUNDATAION "/>
    <n v="36"/>
    <x v="3"/>
    <x v="2"/>
    <m/>
    <x v="1"/>
    <m/>
    <m/>
    <m/>
    <m/>
    <m/>
  </r>
  <r>
    <n v="128"/>
    <x v="2"/>
    <x v="59"/>
    <s v="Pilusa"/>
    <s v="Imogene"/>
    <s v="Sonti"/>
    <x v="2"/>
    <x v="2"/>
    <s v="University of the WItwatersrand"/>
    <s v="University of the WItwatersrand"/>
    <x v="3"/>
    <s v="EARLY CAREER DEVELOPMENT PROGRAMME"/>
    <n v="1061.23"/>
    <s v="WITS "/>
    <n v="12"/>
    <x v="3"/>
    <x v="2"/>
    <m/>
    <x v="1"/>
    <m/>
    <m/>
    <m/>
    <m/>
    <m/>
  </r>
  <r>
    <n v="129"/>
    <x v="4"/>
    <x v="60"/>
    <s v="Mzee"/>
    <s v="Said"/>
    <s v="Tutu"/>
    <x v="2"/>
    <x v="3"/>
    <s v="Ifakara Health Institute"/>
    <s v="University of Dar es Salaam"/>
    <x v="3"/>
    <s v="Directors Research and Innovation Fund"/>
    <n v="40000"/>
    <s v="Ifakara Health Institute"/>
    <n v="12"/>
    <x v="3"/>
    <x v="2"/>
    <m/>
    <x v="1"/>
    <m/>
    <m/>
    <m/>
    <m/>
    <m/>
  </r>
  <r>
    <n v="130"/>
    <x v="4"/>
    <x v="61"/>
    <s v="Murererehe"/>
    <m/>
    <s v="Julienne"/>
    <x v="2"/>
    <x v="7"/>
    <s v="University of Rwanda"/>
    <s v="University of the WItwatersrand"/>
    <x v="4"/>
    <s v="Harvard Fogarty Research ethics"/>
    <m/>
    <s v="Harvard Fogarty Research ethics program"/>
    <n v="5"/>
    <x v="4"/>
    <x v="2"/>
    <m/>
    <x v="1"/>
    <m/>
    <m/>
    <m/>
    <m/>
    <m/>
  </r>
  <r>
    <n v="131"/>
    <x v="2"/>
    <x v="61"/>
    <s v="Murererehe"/>
    <m/>
    <s v="Julienne"/>
    <x v="2"/>
    <x v="7"/>
    <s v="University of Rwanda"/>
    <s v="University of the WItwatersrand"/>
    <x v="4"/>
    <s v="NIH (forgaty ) grant"/>
    <n v="5000"/>
    <s v="NIH"/>
    <n v="3"/>
    <x v="4"/>
    <x v="2"/>
    <m/>
    <x v="1"/>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r>
  <r>
    <n v="133"/>
    <x v="6"/>
    <x v="63"/>
    <s v="Musewa"/>
    <m/>
    <s v="Angella"/>
    <x v="2"/>
    <x v="7"/>
    <s v="Makerere University"/>
    <s v="University of Nairobi"/>
    <x v="4"/>
    <n v="1"/>
    <m/>
    <s v="Academy of Science of South Africa"/>
    <n v="3"/>
    <x v="4"/>
    <x v="3"/>
    <m/>
    <x v="1"/>
    <m/>
    <m/>
    <m/>
    <m/>
    <m/>
  </r>
  <r>
    <n v="134"/>
    <x v="5"/>
    <x v="63"/>
    <s v="Musewa"/>
    <m/>
    <s v="Angella"/>
    <x v="2"/>
    <x v="7"/>
    <s v="Makerere University"/>
    <s v="University of Nairobi"/>
    <x v="4"/>
    <s v="Travel Grant"/>
    <n v="3000"/>
    <s v="Centers for Disease Control and Prevention"/>
    <n v="7"/>
    <x v="4"/>
    <x v="3"/>
    <m/>
    <x v="1"/>
    <m/>
    <m/>
    <m/>
    <m/>
    <m/>
  </r>
  <r>
    <n v="135"/>
    <x v="4"/>
    <x v="64"/>
    <s v="Peter"/>
    <s v="Shepelo"/>
    <s v="Getrude"/>
    <x v="2"/>
    <x v="7"/>
    <s v="University of Nairobi"/>
    <s v="University of Nairobi"/>
    <x v="2"/>
    <s v="DAAD-scholarship"/>
    <n v="1403.34"/>
    <s v="DAAD"/>
    <n v="12"/>
    <x v="2"/>
    <x v="2"/>
    <m/>
    <x v="1"/>
    <m/>
    <m/>
    <m/>
    <m/>
    <m/>
  </r>
  <r>
    <n v="136"/>
    <x v="5"/>
    <x v="64"/>
    <s v="Peter"/>
    <s v="Shepelo"/>
    <s v="Getrude"/>
    <x v="2"/>
    <x v="7"/>
    <s v="University of Nairobi"/>
    <s v="University of Nairobi"/>
    <x v="2"/>
    <m/>
    <n v="5529.38"/>
    <s v="DAAD"/>
    <n v="12"/>
    <x v="2"/>
    <x v="3"/>
    <m/>
    <x v="1"/>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r>
  <r>
    <n v="139"/>
    <x v="6"/>
    <x v="65"/>
    <s v="Esan"/>
    <s v="Taiwo"/>
    <s v="Oluwaseun"/>
    <x v="2"/>
    <x v="7"/>
    <s v="Obafemi Awolowo University"/>
    <s v="University of the WItwatersrand"/>
    <x v="1"/>
    <s v="Learned Conference Grant"/>
    <n v="552.13"/>
    <s v="Obafemi Awolowo University, Ile-Ife, Nigeria"/>
    <n v="1"/>
    <x v="1"/>
    <x v="3"/>
    <m/>
    <x v="1"/>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r>
  <r>
    <n v="141"/>
    <x v="5"/>
    <x v="66"/>
    <s v="Maseko"/>
    <s v="Johanna"/>
    <s v="Lebogang"/>
    <x v="2"/>
    <x v="7"/>
    <s v="University of the WItwatersrand"/>
    <s v="University of the WItwatersrand"/>
    <x v="3"/>
    <s v="Early Career Academic Programme"/>
    <n v="1388"/>
    <s v="ECAD"/>
    <n v="12"/>
    <x v="3"/>
    <x v="3"/>
    <m/>
    <x v="1"/>
    <m/>
    <m/>
    <m/>
    <m/>
    <m/>
  </r>
  <r>
    <n v="142"/>
    <x v="6"/>
    <x v="67"/>
    <s v="OYELADE"/>
    <s v="OLAJUMOKE"/>
    <s v="OYEYEMI"/>
    <x v="2"/>
    <x v="7"/>
    <s v="Obafemi Awolowo University"/>
    <s v="University of the WItwatersrand"/>
    <x v="3"/>
    <s v="Faculty Research Grant"/>
    <m/>
    <s v="Faculty Research Grant, Wits"/>
    <m/>
    <x v="3"/>
    <x v="3"/>
    <m/>
    <x v="1"/>
    <m/>
    <m/>
    <m/>
    <m/>
    <m/>
  </r>
  <r>
    <n v="143"/>
    <x v="5"/>
    <x v="67"/>
    <s v="OYELADE"/>
    <s v="OLAJUMOKE"/>
    <s v="OYEYEMI"/>
    <x v="2"/>
    <x v="7"/>
    <s v="Obafemi Awolowo University"/>
    <s v="University of the WItwatersrand"/>
    <x v="3"/>
    <s v="Faculty of Health Science Research Grant"/>
    <m/>
    <s v="University of the Witwatersrand"/>
    <n v="12"/>
    <x v="3"/>
    <x v="3"/>
    <m/>
    <x v="1"/>
    <m/>
    <m/>
    <m/>
    <m/>
    <m/>
  </r>
  <r>
    <n v="144"/>
    <x v="4"/>
    <x v="68"/>
    <s v="Ntirenganya"/>
    <s v="."/>
    <s v="Faustin"/>
    <x v="1"/>
    <x v="7"/>
    <s v="University of Rwanda"/>
    <s v="University of Rwanda"/>
    <x v="4"/>
    <s v="Eddie Reed Exchange Fellowship Program"/>
    <m/>
    <s v="Massachusetts General Hospital and"/>
    <n v="1"/>
    <x v="4"/>
    <x v="2"/>
    <m/>
    <x v="1"/>
    <m/>
    <m/>
    <m/>
    <m/>
    <m/>
  </r>
  <r>
    <n v="145"/>
    <x v="5"/>
    <x v="68"/>
    <s v="Ntirenganya"/>
    <s v="."/>
    <s v="Faustin"/>
    <x v="1"/>
    <x v="7"/>
    <s v="University of Rwanda"/>
    <s v="University of Rwanda"/>
    <x v="3"/>
    <s v="Wound dressings "/>
    <m/>
    <s v="NIHR, UK"/>
    <m/>
    <x v="3"/>
    <x v="3"/>
    <m/>
    <x v="1"/>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r>
  <r>
    <n v="147"/>
    <x v="2"/>
    <x v="69"/>
    <s v="Atiba"/>
    <s v="Ayobami"/>
    <s v="Foluso"/>
    <x v="2"/>
    <x v="7"/>
    <s v="University of Ibadan"/>
    <s v="University of the WItwatersrand"/>
    <x v="3"/>
    <s v="Trialect"/>
    <n v="5000"/>
    <s v="Trialect/University of Liverpool"/>
    <n v="3"/>
    <x v="3"/>
    <x v="2"/>
    <m/>
    <x v="1"/>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r>
  <r>
    <n v="149"/>
    <x v="5"/>
    <x v="69"/>
    <s v="Atiba"/>
    <s v="Ayobami"/>
    <s v="Foluso"/>
    <x v="2"/>
    <x v="7"/>
    <s v="University of Ibadan"/>
    <s v="University of the WItwatersrand"/>
    <x v="3"/>
    <s v="Needs Assessment Fund"/>
    <n v="10500"/>
    <s v="Tertiary Educational Trust FUND (TETFUND) Nigeria"/>
    <n v="6"/>
    <x v="3"/>
    <x v="3"/>
    <m/>
    <x v="1"/>
    <m/>
    <m/>
    <m/>
    <m/>
    <m/>
  </r>
  <r>
    <n v="150"/>
    <x v="4"/>
    <x v="70"/>
    <s v="Masamba"/>
    <s v="Peter Lockie"/>
    <s v="Leo"/>
    <x v="1"/>
    <x v="7"/>
    <s v="University of Malawi"/>
    <s v="University of Malawi"/>
    <x v="1"/>
    <s v="GCSRT"/>
    <n v="6450"/>
    <s v="Harvard GCSRT"/>
    <n v="12"/>
    <x v="1"/>
    <x v="2"/>
    <m/>
    <x v="1"/>
    <m/>
    <m/>
    <m/>
    <m/>
    <m/>
  </r>
  <r>
    <n v="151"/>
    <x v="2"/>
    <x v="70"/>
    <s v="Masamba"/>
    <s v="Peter Lockie"/>
    <s v="Leo"/>
    <x v="1"/>
    <x v="7"/>
    <s v="University of Malawi"/>
    <s v="University of Malawi"/>
    <x v="1"/>
    <s v="Travel grant"/>
    <n v="4000"/>
    <s v="Scottish Partnership"/>
    <n v="1"/>
    <x v="1"/>
    <x v="2"/>
    <m/>
    <x v="1"/>
    <m/>
    <m/>
    <m/>
    <m/>
    <m/>
  </r>
  <r>
    <n v="152"/>
    <x v="6"/>
    <x v="70"/>
    <s v="Masamba"/>
    <s v="Peter Lockie"/>
    <s v="Leo"/>
    <x v="1"/>
    <x v="7"/>
    <s v="University of Malawi"/>
    <s v="University of Malawi"/>
    <x v="1"/>
    <s v="Conference funding"/>
    <n v="2000"/>
    <s v="International Prevention Research Institute"/>
    <m/>
    <x v="1"/>
    <x v="3"/>
    <m/>
    <x v="1"/>
    <m/>
    <m/>
    <m/>
    <m/>
    <m/>
  </r>
  <r>
    <n v="153"/>
    <x v="5"/>
    <x v="70"/>
    <s v="Masamba"/>
    <s v="Peter Lockie"/>
    <s v="Leo"/>
    <x v="1"/>
    <x v="7"/>
    <s v="University of Malawi"/>
    <s v="University of Malawi"/>
    <x v="3"/>
    <s v="MLW PhD TopUp funding"/>
    <n v="26472.17"/>
    <s v="Wellcome Trust"/>
    <n v="12"/>
    <x v="3"/>
    <x v="3"/>
    <m/>
    <x v="1"/>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r>
  <r>
    <n v="156"/>
    <x v="6"/>
    <x v="73"/>
    <s v="Adams"/>
    <s v="Nandi"/>
    <s v="Skye"/>
    <x v="2"/>
    <x v="8"/>
    <s v="University of the WItwatersrand"/>
    <s v="University of the WItwatersrand"/>
    <x v="3"/>
    <s v="Early Career Academic Development Programme"/>
    <n v="2130"/>
    <s v="CLTD"/>
    <n v="12"/>
    <x v="3"/>
    <x v="3"/>
    <m/>
    <x v="1"/>
    <m/>
    <m/>
    <m/>
    <m/>
    <m/>
  </r>
  <r>
    <n v="157"/>
    <x v="6"/>
    <x v="74"/>
    <s v="Korukire"/>
    <s v="-"/>
    <s v="Noel"/>
    <x v="1"/>
    <x v="8"/>
    <s v="University of Rwanda"/>
    <s v="University of Rwanda"/>
    <x v="1"/>
    <m/>
    <m/>
    <s v="One Health for central and eastern Africa (OHCEA))"/>
    <m/>
    <x v="1"/>
    <x v="3"/>
    <m/>
    <x v="1"/>
    <m/>
    <m/>
    <m/>
    <m/>
    <m/>
  </r>
  <r>
    <n v="158"/>
    <x v="5"/>
    <x v="75"/>
    <s v="Njagi"/>
    <s v="Nkirote"/>
    <s v="Lilian"/>
    <x v="2"/>
    <x v="8"/>
    <s v="University of Nairobi"/>
    <s v="University of Nairobi"/>
    <x v="3"/>
    <m/>
    <n v="8000"/>
    <s v="Africa centre of Excellence in Materials, Product Development and Nanotechnology"/>
    <n v="48"/>
    <x v="3"/>
    <x v="3"/>
    <m/>
    <x v="1"/>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r>
  <r>
    <n v="160"/>
    <x v="6"/>
    <x v="76"/>
    <s v="Ssemugabo"/>
    <m/>
    <s v="Charles "/>
    <x v="1"/>
    <x v="8"/>
    <s v="Makerere University"/>
    <s v="Makerere University"/>
    <x v="4"/>
    <s v="Emerging voices for global health residence program"/>
    <n v="5627"/>
    <s v="Institute of Tropical Medicine "/>
    <n v="3"/>
    <x v="4"/>
    <x v="3"/>
    <m/>
    <x v="1"/>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r>
  <r>
    <n v="165"/>
    <x v="5"/>
    <x v="78"/>
    <s v="OBIMAKINDE"/>
    <s v="MARGARET"/>
    <s v="ABIMBOLA"/>
    <x v="2"/>
    <x v="8"/>
    <s v="University of Ibadan"/>
    <s v="University of the WItwatersrand"/>
    <x v="1"/>
    <s v="U.I MEPI J award: Sponsorship to attend 3rd AFREHEALTH Conference"/>
    <n v="500"/>
    <s v="NIH D43 grant"/>
    <m/>
    <x v="1"/>
    <x v="3"/>
    <m/>
    <x v="1"/>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r>
  <r>
    <n v="167"/>
    <x v="4"/>
    <x v="80"/>
    <s v="Philbert"/>
    <s v="Byabato"/>
    <s v="Anitha"/>
    <x v="2"/>
    <x v="6"/>
    <s v="University of Dar es Salaam"/>
    <m/>
    <x v="3"/>
    <s v="Competitive Research and Publication grant of the University of Dar es Salaam"/>
    <n v="13000"/>
    <s v="University of Dar es Salaam"/>
    <n v="12"/>
    <x v="3"/>
    <x v="2"/>
    <m/>
    <x v="2"/>
    <m/>
    <m/>
    <m/>
    <m/>
    <m/>
  </r>
  <r>
    <n v="168"/>
    <x v="4"/>
    <x v="81"/>
    <s v="Agunbiade"/>
    <s v="Melvin"/>
    <s v="Ojo"/>
    <x v="1"/>
    <x v="6"/>
    <s v="Obafemi Awolowo University"/>
    <m/>
    <x v="1"/>
    <s v="Lee Scholar Support"/>
    <n v="2500"/>
    <s v="Society for the Study of Social Problems"/>
    <n v="0"/>
    <x v="1"/>
    <x v="2"/>
    <m/>
    <x v="2"/>
    <m/>
    <m/>
    <m/>
    <m/>
    <m/>
  </r>
  <r>
    <n v="169"/>
    <x v="1"/>
    <x v="82"/>
    <s v="Wandera"/>
    <s v="Ojiambo"/>
    <s v="Stephen"/>
    <x v="1"/>
    <x v="9"/>
    <s v="Makerere University"/>
    <m/>
    <x v="3"/>
    <s v="Small Grant"/>
    <n v="9999"/>
    <s v="Measure Evaluation"/>
    <s v="12 months"/>
    <x v="3"/>
    <x v="1"/>
    <m/>
    <x v="2"/>
    <m/>
    <m/>
    <m/>
    <m/>
    <m/>
  </r>
  <r>
    <n v="170"/>
    <x v="4"/>
    <x v="82"/>
    <s v="Wandera"/>
    <s v="Ojiambo"/>
    <s v="Stephen"/>
    <x v="1"/>
    <x v="9"/>
    <s v="Makerere University"/>
    <m/>
    <x v="4"/>
    <s v="DIES/CREST Online Training Course for Supervisors of Doctoral Candidates at African Universities"/>
    <m/>
    <s v="DAAD"/>
    <n v="4"/>
    <x v="4"/>
    <x v="2"/>
    <m/>
    <x v="2"/>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r>
  <r>
    <n v="172"/>
    <x v="1"/>
    <x v="83"/>
    <s v="Faronbi"/>
    <s v="Olayiwola"/>
    <s v="Joel"/>
    <x v="1"/>
    <x v="6"/>
    <s v="Obafemi Awolowo University"/>
    <m/>
    <x v="1"/>
    <s v="University of Gothenburg Research Centre"/>
    <n v="500"/>
    <s v="University of Gothenburg Research Centre"/>
    <s v="2 days"/>
    <x v="1"/>
    <x v="1"/>
    <m/>
    <x v="2"/>
    <m/>
    <m/>
    <m/>
    <m/>
    <m/>
  </r>
  <r>
    <n v="173"/>
    <x v="4"/>
    <x v="84"/>
    <s v="Nyondo-Mipando"/>
    <s v="Linda"/>
    <s v="Alinane"/>
    <x v="2"/>
    <x v="9"/>
    <s v="University of Malawi"/>
    <m/>
    <x v="3"/>
    <s v="IDRC"/>
    <n v="800000"/>
    <s v="IDRC"/>
    <n v="24"/>
    <x v="3"/>
    <x v="2"/>
    <m/>
    <x v="2"/>
    <m/>
    <m/>
    <m/>
    <m/>
    <m/>
  </r>
  <r>
    <n v="174"/>
    <x v="2"/>
    <x v="84"/>
    <s v="Nyondo-Mipando"/>
    <s v="Linda"/>
    <s v="Alinane"/>
    <x v="2"/>
    <x v="9"/>
    <s v="University of Malawi"/>
    <m/>
    <x v="3"/>
    <s v="Dynamics of Health care Utilization in the context of RTSs Vaccine"/>
    <n v="1200000"/>
    <s v="PATH"/>
    <n v="36"/>
    <x v="3"/>
    <x v="2"/>
    <m/>
    <x v="2"/>
    <m/>
    <m/>
    <m/>
    <m/>
    <m/>
  </r>
  <r>
    <n v="175"/>
    <x v="2"/>
    <x v="85"/>
    <s v="Mapayi"/>
    <s v="Moyosore"/>
    <s v="Boladale"/>
    <x v="2"/>
    <x v="1"/>
    <s v="Obafemi Awolowo University"/>
    <m/>
    <x v="4"/>
    <s v="Travel"/>
    <m/>
    <s v="WHO"/>
    <m/>
    <x v="4"/>
    <x v="2"/>
    <m/>
    <x v="2"/>
    <m/>
    <m/>
    <m/>
    <m/>
    <m/>
  </r>
  <r>
    <n v="176"/>
    <x v="1"/>
    <x v="86"/>
    <s v="Mangeni"/>
    <s v="Nekesa"/>
    <s v="Judith"/>
    <x v="2"/>
    <x v="6"/>
    <s v="Moi University"/>
    <m/>
    <x v="3"/>
    <s v="Spatial scales of Plasmodium falciparum generations; implications for elimination"/>
    <n v="500000"/>
    <s v="NIH"/>
    <n v="24"/>
    <x v="3"/>
    <x v="1"/>
    <m/>
    <x v="2"/>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r>
  <r>
    <n v="178"/>
    <x v="1"/>
    <x v="87"/>
    <s v="Adedokun"/>
    <s v="Taiwo"/>
    <s v="Sulaimon"/>
    <x v="1"/>
    <x v="5"/>
    <s v="Obafemi Awolowo University"/>
    <m/>
    <x v="1"/>
    <s v="Carnegie Fund for Conference Attendance"/>
    <n v="4359.7700000000004"/>
    <s v="Institute of International Education"/>
    <s v="For the conference "/>
    <x v="1"/>
    <x v="1"/>
    <m/>
    <x v="2"/>
    <m/>
    <m/>
    <m/>
    <m/>
    <m/>
  </r>
  <r>
    <n v="179"/>
    <x v="1"/>
    <x v="87"/>
    <s v="Adedokun"/>
    <s v="Taiwo"/>
    <s v="Sulaimon"/>
    <x v="1"/>
    <x v="5"/>
    <s v="Obafemi Awolowo University"/>
    <m/>
    <x v="4"/>
    <s v="PAA 2017 Conference Travel Award"/>
    <n v="3500"/>
    <s v="Population Association of America"/>
    <s v="For the conference"/>
    <x v="4"/>
    <x v="1"/>
    <m/>
    <x v="2"/>
    <m/>
    <m/>
    <m/>
    <m/>
    <m/>
  </r>
  <r>
    <n v="180"/>
    <x v="4"/>
    <x v="88"/>
    <s v="FAGBAMIGBE"/>
    <s v="FRANCIS"/>
    <s v="ADENIYI"/>
    <x v="1"/>
    <x v="9"/>
    <s v="University of Ibadan"/>
    <m/>
    <x v="1"/>
    <s v="28th International Population Conference in Cape Town, South Africa"/>
    <n v="4000"/>
    <s v="Statistics, South Africa"/>
    <n v="1"/>
    <x v="4"/>
    <x v="2"/>
    <m/>
    <x v="2"/>
    <m/>
    <m/>
    <m/>
    <m/>
    <m/>
  </r>
  <r>
    <n v="181"/>
    <x v="2"/>
    <x v="88"/>
    <s v="FAGBAMIGBE"/>
    <s v="FRANCIS"/>
    <s v="ADENIYI"/>
    <x v="1"/>
    <x v="9"/>
    <s v="University of Ibadan"/>
    <m/>
    <x v="1"/>
    <s v="ICFP travel grant"/>
    <n v="1500"/>
    <s v="The Gates Institute"/>
    <n v="1"/>
    <x v="1"/>
    <x v="2"/>
    <m/>
    <x v="2"/>
    <m/>
    <m/>
    <m/>
    <m/>
    <m/>
  </r>
  <r>
    <n v="182"/>
    <x v="2"/>
    <x v="88"/>
    <s v="FAGBAMIGBE"/>
    <s v="FRANCIS"/>
    <s v="ADENIYI"/>
    <x v="1"/>
    <x v="9"/>
    <s v="University of Ibadan"/>
    <m/>
    <x v="4"/>
    <s v="Africa Oxford (AfOx) Travel Grant"/>
    <n v="6500"/>
    <s v="African Oxford Initiatives"/>
    <n v="1"/>
    <x v="4"/>
    <x v="2"/>
    <m/>
    <x v="2"/>
    <m/>
    <m/>
    <m/>
    <m/>
    <m/>
  </r>
  <r>
    <n v="183"/>
    <x v="1"/>
    <x v="89"/>
    <s v="Kato"/>
    <s v="Drago"/>
    <s v="Charles"/>
    <x v="1"/>
    <x v="6"/>
    <s v="Makerere University"/>
    <m/>
    <x v="3"/>
    <s v="SIDA small grant"/>
    <n v="20000"/>
    <s v="SIDA"/>
    <n v="24"/>
    <x v="3"/>
    <x v="1"/>
    <m/>
    <x v="2"/>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r>
  <r>
    <n v="185"/>
    <x v="4"/>
    <x v="90"/>
    <s v="Olumide"/>
    <s v="Oluwafunmilola"/>
    <s v="Adesola"/>
    <x v="2"/>
    <x v="6"/>
    <s v="University of Ibadan"/>
    <m/>
    <x v="1"/>
    <s v="Conference support"/>
    <m/>
    <m/>
    <m/>
    <x v="1"/>
    <x v="2"/>
    <m/>
    <x v="2"/>
    <m/>
    <m/>
    <m/>
    <m/>
    <m/>
  </r>
  <r>
    <n v="186"/>
    <x v="4"/>
    <x v="90"/>
    <s v="Olumide"/>
    <s v="Oluwafunmilola"/>
    <s v="Adesola"/>
    <x v="2"/>
    <x v="6"/>
    <s v="University of Ibadan"/>
    <m/>
    <x v="3"/>
    <s v="Feasibility Study Youth Power Action Adolescents Living with HIV Study (Nigeria)"/>
    <n v="50000"/>
    <s v="FHI 360"/>
    <n v="7"/>
    <x v="3"/>
    <x v="2"/>
    <m/>
    <x v="2"/>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r>
  <r>
    <n v="188"/>
    <x v="2"/>
    <x v="90"/>
    <s v="Olumide"/>
    <s v="Oluwafunmilola"/>
    <s v="Adesola"/>
    <x v="2"/>
    <x v="6"/>
    <s v="University of Ibadan"/>
    <m/>
    <x v="3"/>
    <s v="INSPIRE Dissemination Funding"/>
    <n v="29989.58"/>
    <s v="Ignite Philanthropy and New Venture Fund"/>
    <n v="8"/>
    <x v="3"/>
    <x v="2"/>
    <m/>
    <x v="2"/>
    <m/>
    <m/>
    <m/>
    <m/>
    <m/>
  </r>
  <r>
    <n v="189"/>
    <x v="2"/>
    <x v="91"/>
    <s v="Khisa"/>
    <s v="Majuma"/>
    <s v="Anne"/>
    <x v="2"/>
    <x v="6"/>
    <s v="APHRC"/>
    <m/>
    <x v="3"/>
    <s v=" _x0009_Improving Evaluation Practice for Research Capacity Strengthening Project"/>
    <n v="80499"/>
    <s v="DFID through Liverpool School of Tropical Medicine"/>
    <n v="5"/>
    <x v="3"/>
    <x v="2"/>
    <m/>
    <x v="2"/>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r>
  <r>
    <n v="191"/>
    <x v="2"/>
    <x v="92"/>
    <s v="Niragire"/>
    <m/>
    <s v="François"/>
    <x v="1"/>
    <x v="5"/>
    <s v="University of Rwanda"/>
    <m/>
    <x v="4"/>
    <s v="McGoldrick Professional Development Program in Public Health"/>
    <m/>
    <s v="ARISE Network"/>
    <n v="6"/>
    <x v="4"/>
    <x v="2"/>
    <m/>
    <x v="2"/>
    <m/>
    <m/>
    <m/>
    <m/>
    <m/>
  </r>
  <r>
    <n v="192"/>
    <x v="8"/>
    <x v="93"/>
    <s v="Adefolarin"/>
    <m/>
    <s v="Adefolarin"/>
    <x v="2"/>
    <x v="6"/>
    <s v="University of Ibadan"/>
    <m/>
    <x v="3"/>
    <s v="BOTNAR award"/>
    <n v="100000"/>
    <s v="BOTNAR Foundation"/>
    <n v="12"/>
    <x v="3"/>
    <x v="3"/>
    <m/>
    <x v="2"/>
    <m/>
    <m/>
    <m/>
    <m/>
    <m/>
  </r>
  <r>
    <n v="193"/>
    <x v="8"/>
    <x v="90"/>
    <s v="Olumide"/>
    <s v="Oluwafunmilola"/>
    <s v="Adesoa"/>
    <x v="2"/>
    <x v="6"/>
    <s v="University of Ibadan"/>
    <m/>
    <x v="0"/>
    <s v="Travel grant"/>
    <n v="0"/>
    <s v="Africa Epidemiology Association "/>
    <m/>
    <x v="4"/>
    <x v="3"/>
    <m/>
    <x v="2"/>
    <m/>
    <m/>
    <m/>
    <m/>
    <m/>
  </r>
  <r>
    <n v="194"/>
    <x v="9"/>
    <x v="90"/>
    <s v="Olumide"/>
    <s v="Oluwafunmilola"/>
    <s v="Adesoa"/>
    <x v="2"/>
    <x v="6"/>
    <s v="University of Ibadan"/>
    <m/>
    <x v="4"/>
    <s v="Conference travel grant"/>
    <m/>
    <s v="International Epidemiology Association/ Africa Epidemiology Association "/>
    <m/>
    <x v="1"/>
    <x v="3"/>
    <m/>
    <x v="2"/>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r>
  <r>
    <n v="196"/>
    <x v="10"/>
    <x v="90"/>
    <s v="Olumide"/>
    <s v="Oluwafunmilola"/>
    <s v="Adesoa"/>
    <x v="2"/>
    <x v="6"/>
    <s v="University of Ibadan"/>
    <m/>
    <x v="3"/>
    <s v="DELTAS Africa CPE Seed Fund Round 1 "/>
    <n v="25000"/>
    <s v="The African Academy of Sciences (The AAS) "/>
    <n v="6"/>
    <x v="3"/>
    <x v="3"/>
    <m/>
    <x v="2"/>
    <m/>
    <m/>
    <m/>
    <m/>
    <m/>
  </r>
  <r>
    <n v="197"/>
    <x v="8"/>
    <x v="89"/>
    <s v="Kato"/>
    <s v="Drago"/>
    <s v="Charles"/>
    <x v="1"/>
    <x v="6"/>
    <s v="Makerere University"/>
    <m/>
    <x v="3"/>
    <s v="African Academy of Science"/>
    <m/>
    <s v="AAS"/>
    <n v="36"/>
    <x v="4"/>
    <x v="3"/>
    <m/>
    <x v="2"/>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r>
  <r>
    <n v="199"/>
    <x v="10"/>
    <x v="94"/>
    <s v="Dieudonne"/>
    <m/>
    <s v="Uwizeye"/>
    <x v="1"/>
    <x v="5"/>
    <s v="University of Rwanda"/>
    <m/>
    <x v="1"/>
    <s v="ICUH2019 Scholarship "/>
    <n v="2000"/>
    <s v=" The International Society for Urban Health"/>
    <n v="1"/>
    <x v="1"/>
    <x v="3"/>
    <m/>
    <x v="2"/>
    <m/>
    <m/>
    <m/>
    <m/>
    <m/>
  </r>
  <r>
    <n v="200"/>
    <x v="8"/>
    <x v="88"/>
    <s v="FAGBAMIGBE"/>
    <s v="FRANCIS"/>
    <s v="ADENIYI"/>
    <x v="1"/>
    <x v="9"/>
    <s v="University of Ibadan"/>
    <m/>
    <x v="4"/>
    <s v="ICFP 2018 travel award"/>
    <n v="1500"/>
    <s v="Gates and Belinder"/>
    <n v="5"/>
    <x v="4"/>
    <x v="3"/>
    <m/>
    <x v="2"/>
    <m/>
    <m/>
    <m/>
    <m/>
    <m/>
  </r>
  <r>
    <n v="201"/>
    <x v="9"/>
    <x v="23"/>
    <s v="Khuluza"/>
    <m/>
    <s v="Felix"/>
    <x v="1"/>
    <x v="4"/>
    <s v="University of Malawi"/>
    <m/>
    <x v="3"/>
    <s v="A FEASABILITY STUDY OF INTRAPARTUM GROUP B STREPTOCOCCUS (GBS) TESTING TO GUIDE ANTIBIOTIC PROPHYLAXIS IN MALAWI"/>
    <n v="27100"/>
    <m/>
    <n v="24"/>
    <x v="3"/>
    <x v="3"/>
    <m/>
    <x v="2"/>
    <m/>
    <m/>
    <m/>
    <m/>
    <m/>
  </r>
  <r>
    <n v="202"/>
    <x v="8"/>
    <x v="31"/>
    <s v="Zakumumpa"/>
    <m/>
    <s v="Henry"/>
    <x v="1"/>
    <x v="1"/>
    <s v="Makerere University"/>
    <m/>
    <x v="3"/>
    <s v="INGSA Research Associate Grant"/>
    <n v="25000"/>
    <s v="International Development Research Centre(IDRC)"/>
    <n v="12"/>
    <x v="3"/>
    <x v="3"/>
    <m/>
    <x v="2"/>
    <m/>
    <m/>
    <m/>
    <m/>
    <m/>
  </r>
  <r>
    <n v="203"/>
    <x v="10"/>
    <x v="31"/>
    <s v="Zakumumpa"/>
    <m/>
    <s v="Henry"/>
    <x v="1"/>
    <x v="1"/>
    <s v="Makerere University"/>
    <m/>
    <x v="3"/>
    <s v="INGSA 2019 Research Associates Grant"/>
    <n v="18000"/>
    <s v="IDRC Canada"/>
    <n v="12"/>
    <x v="3"/>
    <x v="3"/>
    <m/>
    <x v="2"/>
    <m/>
    <m/>
    <m/>
    <m/>
    <m/>
  </r>
  <r>
    <n v="204"/>
    <x v="1"/>
    <x v="95"/>
    <s v="Ndikumana"/>
    <m/>
    <s v="Celestin"/>
    <x v="1"/>
    <x v="4"/>
    <s v="University of Rwanda"/>
    <s v="Moi University"/>
    <x v="3"/>
    <s v="INSTITUTIONALIZATIOONF C ARTAI NNOVATIONS"/>
    <n v="79320"/>
    <s v="AFRICAN POPULATION AND HEALTH RESEARCH CENTRE-CARTA"/>
    <s v="2 YEARS"/>
    <x v="3"/>
    <x v="1"/>
    <m/>
    <x v="1"/>
    <m/>
    <m/>
    <m/>
    <m/>
    <m/>
  </r>
  <r>
    <n v="205"/>
    <x v="1"/>
    <x v="44"/>
    <s v="NISHIMWE"/>
    <s v="-"/>
    <s v="Aurore"/>
    <x v="2"/>
    <x v="2"/>
    <s v="University of Rwanda"/>
    <s v="University of the WItwatersrand"/>
    <x v="4"/>
    <s v="Travel grant to HELINA conference in Bujumbura / Burundi"/>
    <n v="243"/>
    <s v="Open Clinic Foundation"/>
    <m/>
    <x v="4"/>
    <x v="1"/>
    <m/>
    <x v="1"/>
    <m/>
    <m/>
    <m/>
    <m/>
    <m/>
  </r>
  <r>
    <n v="206"/>
    <x v="2"/>
    <x v="34"/>
    <s v="Mutyoba"/>
    <s v="Nankya"/>
    <s v="Joan"/>
    <x v="2"/>
    <x v="3"/>
    <s v="Makerere University"/>
    <s v="Makerere University"/>
    <x v="3"/>
    <s v="Hepatitis C in Uganda: Identification of infected donors for Micro-elimination"/>
    <n v="100000"/>
    <s v="National Institutes of Health"/>
    <n v="18"/>
    <x v="3"/>
    <x v="2"/>
    <m/>
    <x v="1"/>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r>
  <r>
    <n v="208"/>
    <x v="7"/>
    <x v="96"/>
    <s v="Diana"/>
    <m/>
    <s v="Menya"/>
    <x v="2"/>
    <x v="9"/>
    <s v="Moi University"/>
    <m/>
    <x v="3"/>
    <s v="National Research Fund &amp; Medical Research Council "/>
    <n v="220000"/>
    <s v="National Research Fund"/>
    <n v="36"/>
    <x v="3"/>
    <x v="3"/>
    <m/>
    <x v="2"/>
    <m/>
    <m/>
    <m/>
    <m/>
    <m/>
  </r>
  <r>
    <n v="209"/>
    <x v="7"/>
    <x v="31"/>
    <s v="Zakumumpa"/>
    <m/>
    <s v="Henry"/>
    <x v="1"/>
    <x v="1"/>
    <s v="Makerere University"/>
    <m/>
    <x v="3"/>
    <s v="Post doc award- SOPH-UWC"/>
    <n v="10000"/>
    <s v="Belgian Cooperation"/>
    <n v="12"/>
    <x v="3"/>
    <x v="3"/>
    <m/>
    <x v="2"/>
    <m/>
    <m/>
    <m/>
    <m/>
    <m/>
  </r>
  <r>
    <n v="210"/>
    <x v="7"/>
    <x v="97"/>
    <s v="Damian"/>
    <s v="Shumbusho"/>
    <s v="Respicius"/>
    <x v="1"/>
    <x v="1"/>
    <s v="University of Dar es Salaam"/>
    <m/>
    <x v="3"/>
    <s v="DELTAS Africa Community and Public Engagement Seed Fund"/>
    <n v="24990"/>
    <s v="African Academy of Sciences (AAS)"/>
    <n v="6"/>
    <x v="3"/>
    <x v="3"/>
    <m/>
    <x v="2"/>
    <m/>
    <m/>
    <m/>
    <m/>
    <m/>
  </r>
  <r>
    <n v="211"/>
    <x v="7"/>
    <x v="19"/>
    <s v="Kaindoa"/>
    <s v="Wilson"/>
    <s v="Emmanuel"/>
    <x v="1"/>
    <x v="4"/>
    <s v="Ifakara Health Institute"/>
    <m/>
    <x v="2"/>
    <s v="Wellcome Trust Training Fellowship"/>
    <n v="391966"/>
    <s v="Wellcome Trust"/>
    <n v="36"/>
    <x v="3"/>
    <x v="3"/>
    <m/>
    <x v="2"/>
    <m/>
    <m/>
    <m/>
    <m/>
    <m/>
  </r>
  <r>
    <n v="212"/>
    <x v="11"/>
    <x v="90"/>
    <s v="Olumide"/>
    <s v="Oluwafunmilola"/>
    <s v="Adesola"/>
    <x v="2"/>
    <x v="6"/>
    <s v="University of Ibadan"/>
    <m/>
    <x v="3"/>
    <s v="DELTAS Africa CPE Seed Fund Award"/>
    <n v="25000"/>
    <s v="The African Academy of Sciences (The AAS) "/>
    <s v="6 months"/>
    <x v="3"/>
    <x v="4"/>
    <m/>
    <x v="2"/>
    <m/>
    <m/>
    <m/>
    <m/>
    <m/>
  </r>
  <r>
    <n v="213"/>
    <x v="11"/>
    <x v="27"/>
    <s v="Moroe"/>
    <s v="Floweret "/>
    <s v="Nomfundo"/>
    <x v="2"/>
    <x v="3"/>
    <s v="University of the WItwatersrand"/>
    <m/>
    <x v="3"/>
    <s v="THUTHUKA FUNDING INSTRUMENT"/>
    <n v="65000"/>
    <s v="National Research Foundation"/>
    <s v="36 months"/>
    <x v="3"/>
    <x v="4"/>
    <m/>
    <x v="2"/>
    <m/>
    <m/>
    <m/>
    <m/>
    <m/>
  </r>
  <r>
    <n v="214"/>
    <x v="11"/>
    <x v="92"/>
    <s v="Niragire"/>
    <m/>
    <s v="François"/>
    <x v="1"/>
    <x v="5"/>
    <s v="University of Rwanda"/>
    <m/>
    <x v="3"/>
    <s v="Ordinary Research Grant"/>
    <n v="20000"/>
    <s v="Sida through UR-Sweden programmme"/>
    <s v="24 months"/>
    <x v="3"/>
    <x v="4"/>
    <m/>
    <x v="2"/>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r>
  <r>
    <n v="216"/>
    <x v="11"/>
    <x v="98"/>
    <s v="Dube"/>
    <m/>
    <s v="Nkosiyazi"/>
    <x v="1"/>
    <x v="1"/>
    <s v="University of the WItwatersrand"/>
    <m/>
    <x v="3"/>
    <s v="Early Career Academic Development "/>
    <n v="0"/>
    <s v="Wits Research and Centre for Learning and Teaching Development Offices "/>
    <s v="12 months"/>
    <x v="3"/>
    <x v="4"/>
    <m/>
    <x v="2"/>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r>
  <r>
    <n v="219"/>
    <x v="12"/>
    <x v="12"/>
    <s v="Musyoka"/>
    <s v="Mawia"/>
    <s v="Catherine"/>
    <x v="2"/>
    <x v="2"/>
    <s v="University of Nairobi"/>
    <s v="University of Nairobi"/>
    <x v="2"/>
    <s v="In-region in Country PhD fellowship"/>
    <n v="10170.120000000001"/>
    <s v="DAAD"/>
    <n v="6"/>
    <x v="2"/>
    <x v="4"/>
    <m/>
    <x v="1"/>
    <m/>
    <m/>
    <m/>
    <m/>
    <m/>
  </r>
  <r>
    <n v="220"/>
    <x v="12"/>
    <x v="13"/>
    <s v="Cadmus"/>
    <s v="Olubukola"/>
    <s v="Eniola"/>
    <x v="2"/>
    <x v="2"/>
    <s v="University of Ibadan"/>
    <s v="University of Ibadan"/>
    <x v="3"/>
    <s v="University of Ibadan Mentorship Training Programme for Junior Faculty (UI-MEPI-J))"/>
    <n v="10000"/>
    <m/>
    <n v="24"/>
    <x v="3"/>
    <x v="4"/>
    <m/>
    <x v="1"/>
    <m/>
    <m/>
    <m/>
    <m/>
    <m/>
  </r>
  <r>
    <n v="221"/>
    <x v="12"/>
    <x v="40"/>
    <s v="Finda"/>
    <s v="Francis"/>
    <s v="Marceline"/>
    <x v="2"/>
    <x v="2"/>
    <s v="Ifakara Health Institute"/>
    <s v="University of the WItwatersrand"/>
    <x v="3"/>
    <s v="African conversations about gene drives for malaria elimination"/>
    <n v="169562.8"/>
    <s v="Foundation for NIH"/>
    <n v="12"/>
    <x v="3"/>
    <x v="4"/>
    <m/>
    <x v="1"/>
    <m/>
    <m/>
    <m/>
    <m/>
    <m/>
  </r>
  <r>
    <n v="222"/>
    <x v="12"/>
    <x v="42"/>
    <s v="Makwero"/>
    <s v="Kabudula"/>
    <s v="Martha"/>
    <x v="2"/>
    <x v="2"/>
    <s v="University of Malawi"/>
    <s v="University of the WItwatersrand"/>
    <x v="4"/>
    <s v="Travel and conference attendance"/>
    <n v="2500"/>
    <s v="American Acadamy of family physicians "/>
    <n v="1"/>
    <x v="1"/>
    <x v="4"/>
    <m/>
    <x v="1"/>
    <m/>
    <m/>
    <m/>
    <m/>
    <m/>
  </r>
  <r>
    <n v="223"/>
    <x v="12"/>
    <x v="48"/>
    <s v="Morakinyo"/>
    <s v="Mayowa"/>
    <s v="Oyewale"/>
    <x v="1"/>
    <x v="4"/>
    <s v="University of Ibadan"/>
    <s v="University of Ibadan"/>
    <x v="4"/>
    <s v="Travel Award"/>
    <m/>
    <s v="Medical Research Council and "/>
    <m/>
    <x v="4"/>
    <x v="4"/>
    <m/>
    <x v="1"/>
    <m/>
    <m/>
    <m/>
    <m/>
    <m/>
  </r>
  <r>
    <n v="224"/>
    <x v="12"/>
    <x v="54"/>
    <s v="Molete"/>
    <s v="Primrose"/>
    <s v="Mpho"/>
    <x v="2"/>
    <x v="3"/>
    <s v="University of the WItwatersrand"/>
    <s v="University of the WItwatersrand"/>
    <x v="3"/>
    <s v="NRF Thuthuka award"/>
    <n v="7125"/>
    <s v="National Research Foundation"/>
    <n v="12"/>
    <x v="3"/>
    <x v="4"/>
    <m/>
    <x v="1"/>
    <m/>
    <m/>
    <m/>
    <m/>
    <m/>
  </r>
  <r>
    <n v="225"/>
    <x v="12"/>
    <x v="56"/>
    <s v="Kisaka"/>
    <s v="M.B"/>
    <s v="Stevens"/>
    <x v="1"/>
    <x v="2"/>
    <s v="Makerere University"/>
    <s v="University of Nairobi"/>
    <x v="3"/>
    <s v="RIF-Special COVID Call"/>
    <n v="18000"/>
    <s v="Government of Uganda"/>
    <n v="6"/>
    <x v="3"/>
    <x v="4"/>
    <m/>
    <x v="1"/>
    <m/>
    <m/>
    <m/>
    <m/>
    <m/>
  </r>
  <r>
    <n v="226"/>
    <x v="12"/>
    <x v="59"/>
    <s v="Pilusa"/>
    <s v="Imogene"/>
    <s v="Sonti"/>
    <x v="2"/>
    <x v="2"/>
    <s v="University of the WItwatersrand"/>
    <s v="University of the WItwatersrand"/>
    <x v="3"/>
    <s v="THUTHUKA "/>
    <n v="8685.52"/>
    <s v="National Research fund "/>
    <n v="12"/>
    <x v="3"/>
    <x v="4"/>
    <m/>
    <x v="1"/>
    <m/>
    <m/>
    <m/>
    <m/>
    <m/>
  </r>
  <r>
    <n v="227"/>
    <x v="12"/>
    <x v="62"/>
    <s v="Mbindyo"/>
    <s v="Minoo"/>
    <s v="Christine"/>
    <x v="2"/>
    <x v="7"/>
    <s v="University of Nairobi"/>
    <s v="University of Nairobi"/>
    <x v="3"/>
    <s v="Doctoral National research Fund (NRF)"/>
    <n v="3000"/>
    <s v="Government of Kenya"/>
    <n v="12"/>
    <x v="3"/>
    <x v="4"/>
    <m/>
    <x v="1"/>
    <m/>
    <m/>
    <m/>
    <m/>
    <m/>
  </r>
  <r>
    <n v="228"/>
    <x v="12"/>
    <x v="64"/>
    <s v="Peter"/>
    <s v="Shepelo"/>
    <s v="Getrude"/>
    <x v="2"/>
    <x v="7"/>
    <s v="University of Nairobi"/>
    <s v="University of Nairobi"/>
    <x v="3"/>
    <s v="National Research Fund (NRF)"/>
    <n v="1000"/>
    <s v="Government of Kenya"/>
    <n v="24"/>
    <x v="3"/>
    <x v="4"/>
    <m/>
    <x v="1"/>
    <m/>
    <m/>
    <m/>
    <m/>
    <m/>
  </r>
  <r>
    <n v="229"/>
    <x v="12"/>
    <x v="69"/>
    <s v="Atiba"/>
    <s v="Ayobami"/>
    <s v="Foluso"/>
    <x v="2"/>
    <x v="7"/>
    <s v="University of Ibadan"/>
    <s v="University of the WItwatersrand"/>
    <x v="3"/>
    <s v="Tertiary Educational Trust Fund (TETF)"/>
    <n v="9500"/>
    <s v="TETFund Nigeria"/>
    <n v="6"/>
    <x v="3"/>
    <x v="4"/>
    <m/>
    <x v="1"/>
    <m/>
    <m/>
    <m/>
    <m/>
    <m/>
  </r>
  <r>
    <n v="230"/>
    <x v="12"/>
    <x v="70"/>
    <s v="Masamba"/>
    <s v="Peter Lockie"/>
    <s v="Leo"/>
    <x v="1"/>
    <x v="7"/>
    <s v="University of Malawi"/>
    <s v="University of Malawi"/>
    <x v="2"/>
    <s v="Welcome Trust PhD topup funding"/>
    <n v="20000"/>
    <s v="Welcome Trust"/>
    <n v="36"/>
    <x v="2"/>
    <x v="4"/>
    <m/>
    <x v="1"/>
    <m/>
    <m/>
    <m/>
    <m/>
    <m/>
  </r>
  <r>
    <n v="231"/>
    <x v="12"/>
    <x v="99"/>
    <s v="Moya"/>
    <s v="Yamie"/>
    <s v="Ernest"/>
    <x v="1"/>
    <x v="8"/>
    <s v="University of Malawi"/>
    <s v="University of Malawi"/>
    <x v="3"/>
    <s v="ACEPHEM Grant"/>
    <n v="1370"/>
    <s v="World Bank"/>
    <n v="12"/>
    <x v="3"/>
    <x v="4"/>
    <m/>
    <x v="1"/>
    <m/>
    <m/>
    <m/>
    <m/>
    <m/>
  </r>
  <r>
    <n v="232"/>
    <x v="12"/>
    <x v="74"/>
    <s v="Korukire"/>
    <s v=" -"/>
    <s v="Noel"/>
    <x v="1"/>
    <x v="8"/>
    <s v="University of Rwanda"/>
    <s v="University of Rwanda"/>
    <x v="7"/>
    <s v="SIDA research grant "/>
    <m/>
    <s v="University of Rwanda -Directorate of Research in collaboration with SIDA"/>
    <n v="24"/>
    <x v="3"/>
    <x v="4"/>
    <m/>
    <x v="1"/>
    <m/>
    <m/>
    <m/>
    <m/>
    <m/>
  </r>
  <r>
    <n v="233"/>
    <x v="12"/>
    <x v="76"/>
    <s v="Ssemugabo"/>
    <s v="Charles "/>
    <s v="Charles "/>
    <x v="1"/>
    <x v="8"/>
    <s v="Makerere University"/>
    <s v="Makerere University"/>
    <x v="3"/>
    <s v="Makerere University Research and Innovation Fund "/>
    <n v="16524.169999999998"/>
    <s v="Government of Uganda "/>
    <n v="3"/>
    <x v="3"/>
    <x v="4"/>
    <m/>
    <x v="1"/>
    <m/>
    <m/>
    <m/>
    <m/>
    <m/>
  </r>
  <r>
    <n v="234"/>
    <x v="12"/>
    <x v="100"/>
    <s v="Sekome"/>
    <s v=" -"/>
    <s v="Kganetso"/>
    <x v="1"/>
    <x v="10"/>
    <s v="University of the WItwatersrand"/>
    <s v="University of the WItwatersrand"/>
    <x v="2"/>
    <s v="Joint PhD scholarship"/>
    <n v="31000"/>
    <s v="University Staff Doctoral Program (USDP)"/>
    <n v="36"/>
    <x v="2"/>
    <x v="4"/>
    <m/>
    <x v="1"/>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r>
  <r>
    <n v="236"/>
    <x v="12"/>
    <x v="102"/>
    <s v="Muhayimana"/>
    <m/>
    <s v="Alice"/>
    <x v="2"/>
    <x v="10"/>
    <s v="University of Rwanda"/>
    <m/>
    <x v="3"/>
    <s v="Promoting Respectful maternity care"/>
    <n v="11000"/>
    <s v="SIDA"/>
    <n v="24"/>
    <x v="3"/>
    <x v="4"/>
    <m/>
    <x v="1"/>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r>
  <r>
    <n v="238"/>
    <x v="13"/>
    <x v="82"/>
    <s v="Wandera"/>
    <s v="Ojiambo"/>
    <s v="Stephen"/>
    <x v="1"/>
    <x v="9"/>
    <s v="Makerere University"/>
    <m/>
    <x v="3"/>
    <s v="Research and Innovations Fund at Makerere University"/>
    <n v="41000"/>
    <s v="Government of Uganda"/>
    <n v="12"/>
    <x v="3"/>
    <x v="4"/>
    <m/>
    <x v="2"/>
    <m/>
    <m/>
    <m/>
    <m/>
    <m/>
  </r>
  <r>
    <n v="239"/>
    <x v="13"/>
    <x v="36"/>
    <s v="Adebayo"/>
    <s v="Oluwatoyin"/>
    <s v="Kudus"/>
    <x v="1"/>
    <x v="3"/>
    <s v="University of Ibadan"/>
    <m/>
    <x v="2"/>
    <s v="African Humanities Program"/>
    <n v="20000"/>
    <s v="American Council of Learned Societies (ACLS)"/>
    <n v="10"/>
    <x v="3"/>
    <x v="4"/>
    <m/>
    <x v="2"/>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r>
  <r>
    <n v="242"/>
    <x v="12"/>
    <x v="104"/>
    <s v="Florence "/>
    <s v="Basiimwa"/>
    <s v="Tushemerirwe"/>
    <x v="2"/>
    <x v="2"/>
    <s v="Makerere University"/>
    <s v="University of the WItwatersrand"/>
    <x v="3"/>
    <s v="Research grant"/>
    <n v="20000"/>
    <s v="Government of Uganda"/>
    <n v="12"/>
    <x v="3"/>
    <x v="4"/>
    <s v="Use Media monitoring data to explore the extent and nature of food and beverage advertising to children in Uganda."/>
    <x v="1"/>
    <m/>
    <m/>
    <m/>
    <m/>
    <m/>
  </r>
  <r>
    <n v="243"/>
    <x v="15"/>
    <x v="85"/>
    <s v="Mapayi"/>
    <s v="Moyosore"/>
    <s v="Boladale"/>
    <x v="2"/>
    <x v="1"/>
    <s v="Obafemi Awolowo University"/>
    <m/>
    <x v="3"/>
    <s v="Global Effort on COVID-19 (GECO) Health Research"/>
    <n v="221468"/>
    <s v="UKRI MRC"/>
    <n v="15"/>
    <x v="3"/>
    <x v="4"/>
    <m/>
    <x v="2"/>
    <m/>
    <m/>
    <m/>
    <m/>
    <m/>
  </r>
  <r>
    <n v="244"/>
    <x v="15"/>
    <x v="92"/>
    <s v="Niragire"/>
    <m/>
    <s v="François"/>
    <x v="1"/>
    <x v="5"/>
    <s v="University of Rwanda"/>
    <m/>
    <x v="4"/>
    <s v="ACE_DS Research Grant"/>
    <n v="5000"/>
    <s v="African Centre of Excellence in Data Science"/>
    <n v="24"/>
    <x v="4"/>
    <x v="4"/>
    <m/>
    <x v="2"/>
    <m/>
    <m/>
    <m/>
    <m/>
    <m/>
  </r>
  <r>
    <n v="245"/>
    <x v="15"/>
    <x v="31"/>
    <s v="Zakumumpa"/>
    <m/>
    <s v="Henry"/>
    <x v="1"/>
    <x v="1"/>
    <s v="Makerere University"/>
    <m/>
    <x v="3"/>
    <s v="Early career pharmacovigilance grant"/>
    <n v="91"/>
    <s v="Uppsala Monitoring Centre and CARTA"/>
    <n v="24"/>
    <x v="3"/>
    <x v="4"/>
    <m/>
    <x v="2"/>
    <m/>
    <m/>
    <m/>
    <m/>
    <m/>
  </r>
  <r>
    <n v="246"/>
    <x v="15"/>
    <x v="19"/>
    <s v="Kaindoa"/>
    <s v="Wilson"/>
    <s v="Emmanuel"/>
    <x v="1"/>
    <x v="4"/>
    <s v="Ifakara Health Institute"/>
    <m/>
    <x v="3"/>
    <s v="Engineering and Physical Sciences Research Council (EPSRC)"/>
    <n v="44222"/>
    <s v="Engineering and Physical Sciences Research Council (EPSRC)"/>
    <n v="12"/>
    <x v="3"/>
    <x v="4"/>
    <m/>
    <x v="2"/>
    <m/>
    <m/>
    <m/>
    <m/>
    <m/>
  </r>
  <r>
    <n v="247"/>
    <x v="14"/>
    <x v="18"/>
    <s v="Obembe"/>
    <s v="Akinyode"/>
    <s v="Taiwo"/>
    <x v="1"/>
    <x v="4"/>
    <s v="University of Ibadan"/>
    <s v="University of the WItwatersrand"/>
    <x v="3"/>
    <s v="Tetfund"/>
    <n v="100000"/>
    <s v="Tertiary Education Trust Fund"/>
    <n v="24"/>
    <x v="3"/>
    <x v="4"/>
    <m/>
    <x v="1"/>
    <m/>
    <m/>
    <m/>
    <m/>
    <m/>
  </r>
  <r>
    <n v="248"/>
    <x v="14"/>
    <x v="105"/>
    <s v="Chisati"/>
    <s v="Enock"/>
    <s v="Madalitso"/>
    <x v="1"/>
    <x v="2"/>
    <s v="University of Malawi"/>
    <s v="University of Malawi"/>
    <x v="3"/>
    <s v="Mentored research small grant"/>
    <n v="10000"/>
    <s v="NCD BRITE"/>
    <n v="12"/>
    <x v="3"/>
    <x v="4"/>
    <m/>
    <x v="1"/>
    <m/>
    <m/>
    <m/>
    <m/>
    <m/>
  </r>
  <r>
    <n v="249"/>
    <x v="14"/>
    <x v="34"/>
    <s v="Mutyoba"/>
    <s v="Nankya"/>
    <s v="Joan"/>
    <x v="2"/>
    <x v="3"/>
    <s v="Makerere University"/>
    <s v="Makerere University"/>
    <x v="3"/>
    <s v="HIV-ASSOCIATED MALIGNANCIES IN LMICS"/>
    <n v="500000"/>
    <s v="NIH-NATIONA;L CANCER INSTITUTE"/>
    <n v="60"/>
    <x v="3"/>
    <x v="4"/>
    <m/>
    <x v="1"/>
    <m/>
    <m/>
    <m/>
    <m/>
    <m/>
  </r>
  <r>
    <n v="250"/>
    <x v="14"/>
    <x v="42"/>
    <s v="Makwero"/>
    <s v="Kabudula"/>
    <s v="Martha"/>
    <x v="2"/>
    <x v="2"/>
    <s v="University of Malawi"/>
    <s v="University of the WItwatersrand"/>
    <x v="3"/>
    <s v="Primary health care research consortium "/>
    <n v="30000"/>
    <s v="The gorge Washington Institute of Global Health"/>
    <n v="12"/>
    <x v="3"/>
    <x v="4"/>
    <m/>
    <x v="1"/>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r>
  <r>
    <n v="252"/>
    <x v="14"/>
    <x v="106"/>
    <s v="Farlane"/>
    <m/>
    <s v="Lindiwe"/>
    <x v="2"/>
    <x v="7"/>
    <s v="University of the WItwatersrand"/>
    <s v="University of the WItwatersrand"/>
    <x v="1"/>
    <s v="Conference Scholarship"/>
    <n v="100"/>
    <s v="International Aids Society"/>
    <n v="1"/>
    <x v="1"/>
    <x v="4"/>
    <m/>
    <x v="1"/>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r>
  <r>
    <n v="254"/>
    <x v="14"/>
    <x v="64"/>
    <s v="Peter"/>
    <s v="Shepelo"/>
    <s v="Getrude"/>
    <x v="2"/>
    <x v="7"/>
    <s v="University of Nairobi"/>
    <s v="University of Nairobi"/>
    <x v="2"/>
    <s v="In-Country/In-Region DAAD Scholarship"/>
    <n v="500"/>
    <s v="DAAD"/>
    <n v="12"/>
    <x v="3"/>
    <x v="4"/>
    <m/>
    <x v="1"/>
    <m/>
    <m/>
    <m/>
    <m/>
    <m/>
  </r>
  <r>
    <n v="255"/>
    <x v="14"/>
    <x v="68"/>
    <s v="Ntirenganya"/>
    <s v="."/>
    <s v="Faustin"/>
    <x v="1"/>
    <x v="7"/>
    <s v="University of Rwanda"/>
    <s v="University of Rwanda"/>
    <x v="3"/>
    <s v="Impact of COVID-19 on surgical system"/>
    <n v="60000"/>
    <s v="National council for Science and Technology, Rwanda"/>
    <n v="12"/>
    <x v="3"/>
    <x v="4"/>
    <m/>
    <x v="1"/>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r>
  <r>
    <n v="257"/>
    <x v="14"/>
    <x v="73"/>
    <s v="Adams"/>
    <s v="Nandi"/>
    <s v="Skye"/>
    <x v="2"/>
    <x v="8"/>
    <s v="University of the WItwatersrand"/>
    <s v="University of the WItwatersrand"/>
    <x v="3"/>
    <s v="SHCD Ad Hoc Catalytic Publication Award (R 10 000)"/>
    <n v="670"/>
    <s v="SCHD"/>
    <n v="6"/>
    <x v="3"/>
    <x v="4"/>
    <m/>
    <x v="1"/>
    <m/>
    <m/>
    <m/>
    <m/>
    <m/>
  </r>
  <r>
    <n v="258"/>
    <x v="14"/>
    <x v="73"/>
    <s v="Adams"/>
    <s v="Nandi"/>
    <s v="Skye"/>
    <x v="2"/>
    <x v="8"/>
    <s v="University of the WItwatersrand"/>
    <s v="University of the WItwatersrand"/>
    <x v="1"/>
    <s v="ASHA Sponsorship for SASLHA Virtual Conference Registration "/>
    <n v="250"/>
    <s v="ASHA"/>
    <n v="1"/>
    <x v="1"/>
    <x v="4"/>
    <m/>
    <x v="1"/>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r>
  <r>
    <n v="260"/>
    <x v="14"/>
    <x v="107"/>
    <s v="Banamwana"/>
    <s v="G."/>
    <s v="Leonidas"/>
    <x v="1"/>
    <x v="8"/>
    <s v="University of Rwanda"/>
    <s v="University of Rwanda"/>
    <x v="1"/>
    <s v="ACE-DS"/>
    <n v="5000"/>
    <s v="World Bank"/>
    <n v="24"/>
    <x v="1"/>
    <x v="4"/>
    <m/>
    <x v="1"/>
    <m/>
    <m/>
    <m/>
    <m/>
    <m/>
  </r>
  <r>
    <n v="261"/>
    <x v="14"/>
    <x v="108"/>
    <s v="Van Stormbroek"/>
    <m/>
    <s v="Kirsty"/>
    <x v="2"/>
    <x v="8"/>
    <s v="University of the WItwatersrand"/>
    <s v="University of the WItwatersrand"/>
    <x v="6"/>
    <s v="Mentoring award "/>
    <n v="66"/>
    <s v="School of Therapeutic Sciences, University of the Witwatersrand"/>
    <n v="1"/>
    <x v="5"/>
    <x v="4"/>
    <m/>
    <x v="1"/>
    <m/>
    <m/>
    <m/>
    <m/>
    <m/>
  </r>
  <r>
    <n v="262"/>
    <x v="14"/>
    <x v="108"/>
    <s v="Van Stormbroek"/>
    <m/>
    <s v="Kirsty"/>
    <x v="2"/>
    <x v="8"/>
    <s v="University of the WItwatersrand"/>
    <s v="University of the WItwatersrand"/>
    <x v="2"/>
    <s v="ECAD Start-up Grant "/>
    <n v="1600"/>
    <s v="Department of Higher Education and Training"/>
    <n v="12"/>
    <x v="3"/>
    <x v="4"/>
    <m/>
    <x v="1"/>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r>
  <r>
    <n v="264"/>
    <x v="14"/>
    <x v="110"/>
    <s v="Kang'ethe"/>
    <s v="Mburu"/>
    <s v="James"/>
    <x v="1"/>
    <x v="10"/>
    <s v="University of Nairobi"/>
    <s v="University of Nairobi"/>
    <x v="1"/>
    <s v="INTEREST 2020"/>
    <m/>
    <s v="NIH Fogarty"/>
    <n v="1"/>
    <x v="1"/>
    <x v="4"/>
    <m/>
    <x v="1"/>
    <m/>
    <m/>
    <m/>
    <m/>
    <m/>
  </r>
  <r>
    <n v="265"/>
    <x v="14"/>
    <x v="110"/>
    <s v="Kang'ethe"/>
    <s v="Mburu"/>
    <s v="James"/>
    <x v="1"/>
    <x v="10"/>
    <s v="University of Nairobi"/>
    <s v="University of Nairobi"/>
    <x v="1"/>
    <s v="International workshop on HIV and Pediatrics 2020 conference scholarship"/>
    <m/>
    <s v="Virology education"/>
    <n v="1"/>
    <x v="1"/>
    <x v="4"/>
    <m/>
    <x v="1"/>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r>
  <r>
    <n v="267"/>
    <x v="14"/>
    <x v="110"/>
    <s v="Kang'ethe"/>
    <s v="Mburu"/>
    <s v="James"/>
    <x v="1"/>
    <x v="10"/>
    <s v="University of Nairobi"/>
    <s v="University of Nairobi"/>
    <x v="1"/>
    <s v="AIDS 2020"/>
    <m/>
    <s v="International AIDS Society (IAS)"/>
    <m/>
    <x v="1"/>
    <x v="4"/>
    <m/>
    <x v="1"/>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r>
  <r>
    <n v="270"/>
    <x v="14"/>
    <x v="102"/>
    <s v="Muhayimana"/>
    <m/>
    <s v="Alice"/>
    <x v="2"/>
    <x v="10"/>
    <s v="University of Rwanda"/>
    <s v="University of the WItwatersrand"/>
    <x v="3"/>
    <s v="Blended Teaching and Learning in Nursing and Midwifery Education in Rwanda"/>
    <n v="6000"/>
    <s v="UNFPA"/>
    <n v="5"/>
    <x v="3"/>
    <x v="4"/>
    <m/>
    <x v="1"/>
    <m/>
    <m/>
    <m/>
    <m/>
    <m/>
  </r>
  <r>
    <n v="271"/>
    <x v="16"/>
    <x v="1"/>
    <s v="Alonge"/>
    <s v="John"/>
    <s v="Ayodele"/>
    <x v="1"/>
    <x v="1"/>
    <s v="University of Ibadan"/>
    <m/>
    <x v="6"/>
    <s v="Digital Records Curation Programme Award "/>
    <n v="0"/>
    <s v="National Digital Stewardship Alliance."/>
    <m/>
    <x v="5"/>
    <x v="4"/>
    <m/>
    <x v="2"/>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r>
  <r>
    <n v="281"/>
    <x v="18"/>
    <x v="112"/>
    <s v="Malenga"/>
    <s v="Chiseko"/>
    <s v="Tumaini"/>
    <x v="2"/>
    <x v="1"/>
    <s v="University of Malawi"/>
    <s v="University of Malawi"/>
    <x v="2"/>
    <s v="Young African Leadership Programme"/>
    <n v="7500"/>
    <s v="European University Institute "/>
    <n v="3"/>
    <x v="2"/>
    <x v="5"/>
    <m/>
    <x v="1"/>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r>
  <r>
    <n v="285"/>
    <x v="18"/>
    <x v="70"/>
    <s v="Masamba"/>
    <s v="Peter Lockie"/>
    <s v="Leo"/>
    <x v="1"/>
    <x v="7"/>
    <s v="University of Malawi"/>
    <s v="University of Malawi"/>
    <x v="2"/>
    <s v="DDD &amp; PC Charitable Trust"/>
    <n v="5982.56"/>
    <s v="DDD &amp; PC Charitable Trust"/>
    <n v="4"/>
    <x v="2"/>
    <x v="5"/>
    <m/>
    <x v="1"/>
    <m/>
    <m/>
    <m/>
    <m/>
    <m/>
  </r>
  <r>
    <n v="286"/>
    <x v="18"/>
    <x v="73"/>
    <s v="Adams"/>
    <s v="Nandi"/>
    <s v="Skye"/>
    <x v="2"/>
    <x v="8"/>
    <s v="University of the WItwatersrand"/>
    <s v="University of the WItwatersrand"/>
    <x v="6"/>
    <s v="Faculty of Humanities Research Promotion Grant "/>
    <n v="3508"/>
    <s v="SCHD"/>
    <n v="6"/>
    <x v="2"/>
    <x v="5"/>
    <m/>
    <x v="1"/>
    <m/>
    <m/>
    <m/>
    <m/>
    <m/>
  </r>
  <r>
    <n v="287"/>
    <x v="18"/>
    <x v="75"/>
    <s v="Njagi"/>
    <s v="Nkirote"/>
    <s v="Lilian"/>
    <x v="2"/>
    <x v="8"/>
    <s v="University of Nairobi"/>
    <s v="University of Nairobi"/>
    <x v="1"/>
    <s v="Educational expense support"/>
    <n v="1500"/>
    <s v="TB Research Training Center Junior Investigator Award"/>
    <n v="12"/>
    <x v="1"/>
    <x v="5"/>
    <m/>
    <x v="1"/>
    <m/>
    <m/>
    <m/>
    <m/>
    <m/>
  </r>
  <r>
    <n v="288"/>
    <x v="18"/>
    <x v="76"/>
    <s v="Ssemugabo"/>
    <s v="Charles "/>
    <s v="Charles "/>
    <x v="1"/>
    <x v="8"/>
    <s v="Makerere University"/>
    <s v="Makerere University"/>
    <x v="1"/>
    <s v="Internationa Conference on Urban Health scholarship award "/>
    <n v="650"/>
    <s v="International Society of Urban Health"/>
    <n v="1"/>
    <x v="1"/>
    <x v="5"/>
    <m/>
    <x v="1"/>
    <m/>
    <m/>
    <m/>
    <m/>
    <m/>
  </r>
  <r>
    <n v="289"/>
    <x v="18"/>
    <x v="114"/>
    <s v="Eneku"/>
    <s v=" -"/>
    <s v="Wilfred"/>
    <x v="1"/>
    <x v="8"/>
    <s v="Makerere University"/>
    <s v="Makerere University"/>
    <x v="2"/>
    <s v="Tuition Waiver"/>
    <m/>
    <s v="Makerere University"/>
    <m/>
    <x v="2"/>
    <x v="5"/>
    <m/>
    <x v="1"/>
    <m/>
    <m/>
    <m/>
    <m/>
    <m/>
  </r>
  <r>
    <n v="290"/>
    <x v="18"/>
    <x v="108"/>
    <s v="Van Stormbroek"/>
    <m/>
    <s v="Kirsty"/>
    <x v="2"/>
    <x v="8"/>
    <s v="University of the WItwatersrand"/>
    <s v="University of the WItwatersrand"/>
    <x v="3"/>
    <s v="Thuthuka"/>
    <n v="23000"/>
    <s v="National Research Foundation (SA)"/>
    <n v="36"/>
    <x v="3"/>
    <x v="5"/>
    <s v="N/A"/>
    <x v="1"/>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r>
  <r>
    <n v="294"/>
    <x v="18"/>
    <x v="110"/>
    <s v="Kang'ethe"/>
    <s v="Mburu"/>
    <s v="James"/>
    <x v="1"/>
    <x v="10"/>
    <s v="University of Nairobi"/>
    <s v="University of Nairobi"/>
    <x v="1"/>
    <s v="IAS 2021 conference scholarship"/>
    <m/>
    <s v="International AIDS Society (IAS)"/>
    <m/>
    <x v="1"/>
    <x v="5"/>
    <m/>
    <x v="1"/>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r>
  <r>
    <n v="298"/>
    <x v="20"/>
    <x v="109"/>
    <s v="Tonui"/>
    <s v="Kibet"/>
    <s v="Ronald"/>
    <x v="1"/>
    <x v="8"/>
    <s v="Moi University"/>
    <s v="University of the WItwatersrand"/>
    <x v="6"/>
    <s v="Postgraduate merit award "/>
    <n v="1946.71"/>
    <s v="University of the Witwatersrand"/>
    <m/>
    <x v="2"/>
    <x v="5"/>
    <m/>
    <x v="1"/>
    <d v="2021-09-16T00:00:00"/>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r>
  <r>
    <n v="300"/>
    <x v="21"/>
    <x v="36"/>
    <s v="Adebayo"/>
    <s v="Oluwatoyin"/>
    <s v="Kudus"/>
    <x v="1"/>
    <x v="3"/>
    <s v="University of Ibadan"/>
    <m/>
    <x v="2"/>
    <s v="Postdoctoral Fellowship"/>
    <m/>
    <s v="African Centre for Migration and Society (ACMS), University of the Witwatersrand"/>
    <n v="12"/>
    <x v="2"/>
    <x v="5"/>
    <m/>
    <x v="2"/>
    <d v="2021-10-01T00:00:00"/>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r>
  <r>
    <n v="311"/>
    <x v="20"/>
    <x v="74"/>
    <s v="Korukire"/>
    <s v=" -"/>
    <s v="Noel"/>
    <x v="1"/>
    <x v="8"/>
    <s v="University of Rwanda"/>
    <s v="University of Rwanda"/>
    <x v="3"/>
    <s v="UR Sweeden collaboration"/>
    <n v="12000"/>
    <s v="UR(University of Rwanda)"/>
    <n v="12"/>
    <x v="3"/>
    <x v="5"/>
    <m/>
    <x v="1"/>
    <d v="2021-12-07T00:00:00"/>
    <s v="Co-investigator"/>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r>
  <r>
    <n v="320"/>
    <x v="21"/>
    <x v="92"/>
    <s v="Niragire"/>
    <m/>
    <s v="François"/>
    <x v="1"/>
    <x v="5"/>
    <s v="University of Rwanda"/>
    <m/>
    <x v="3"/>
    <s v="WTO's Chairs Programme, Phase 3."/>
    <n v="217972"/>
    <s v="World Trade Organization (WTO)"/>
    <n v="48"/>
    <x v="5"/>
    <x v="5"/>
    <m/>
    <x v="2"/>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r>
  <r>
    <n v="322"/>
    <x v="21"/>
    <x v="81"/>
    <s v="Agunbiade"/>
    <s v="Melvin"/>
    <s v="Ojo"/>
    <x v="1"/>
    <x v="6"/>
    <s v="Obafemi Awolowo University"/>
    <m/>
    <x v="1"/>
    <s v="Conference support"/>
    <n v="679.64"/>
    <s v="National Research Funds in South Africa"/>
    <n v="1"/>
    <x v="1"/>
    <x v="5"/>
    <m/>
    <x v="2"/>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r>
  <r>
    <n v="324"/>
    <x v="21"/>
    <x v="37"/>
    <s v="Aliyu"/>
    <s v="Kolawole"/>
    <s v="Taofeek"/>
    <x v="1"/>
    <x v="3"/>
    <s v="Obafemi Awolowo University"/>
    <m/>
    <x v="4"/>
    <m/>
    <m/>
    <m/>
    <m/>
    <x v="4"/>
    <x v="5"/>
    <m/>
    <x v="2"/>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r>
  <r>
    <n v="326"/>
    <x v="21"/>
    <x v="15"/>
    <s v="Somefun"/>
    <s v="Dolapo"/>
    <s v="Oluwaseyi"/>
    <x v="2"/>
    <x v="3"/>
    <s v="University of the WItwatersrand"/>
    <m/>
    <x v="3"/>
    <s v="Policy Engagement"/>
    <n v="4000"/>
    <s v="The PACE project, United States Agency for International Development (USAID)"/>
    <n v="6"/>
    <x v="5"/>
    <x v="5"/>
    <m/>
    <x v="2"/>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r>
  <r>
    <n v="331"/>
    <x v="23"/>
    <x v="122"/>
    <s v="Akinwaare"/>
    <s v="Omowaleola"/>
    <s v="Margaret"/>
    <x v="2"/>
    <x v="7"/>
    <s v="University of Ibadan"/>
    <s v="University of Ibadan"/>
    <x v="3"/>
    <s v="Conference grant"/>
    <n v="2500"/>
    <s v="Association of Commonwealth University"/>
    <n v="1"/>
    <x v="3"/>
    <x v="6"/>
    <m/>
    <x v="1"/>
    <d v="2022-03-08T00:00:00"/>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r>
  <r>
    <n v="341"/>
    <x v="23"/>
    <x v="84"/>
    <s v="Nyondo-Mipando"/>
    <s v="Linda"/>
    <s v="Alinane"/>
    <x v="2"/>
    <x v="9"/>
    <s v="University of Malawi"/>
    <m/>
    <x v="3"/>
    <s v="NIHR Global Health"/>
    <n v="3000000"/>
    <s v="NIHR"/>
    <n v="48"/>
    <x v="3"/>
    <x v="6"/>
    <m/>
    <x v="2"/>
    <d v="2022-08-01T00:00:00"/>
    <s v="Principal Investigator"/>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r>
  <r>
    <n v="344"/>
    <x v="23"/>
    <x v="36"/>
    <s v="Adebayo"/>
    <s v="Oluwatoyin"/>
    <s v="Kudus"/>
    <x v="1"/>
    <x v="3"/>
    <s v="University of Ibadan"/>
    <m/>
    <x v="1"/>
    <s v="Postdoc Research Grant"/>
    <n v="623"/>
    <s v="University of The Witwatersrand"/>
    <m/>
    <x v="1"/>
    <x v="6"/>
    <m/>
    <x v="2"/>
    <d v="2022-06-06T00:00:00"/>
    <m/>
    <m/>
    <m/>
    <m/>
  </r>
  <r>
    <n v="345"/>
    <x v="23"/>
    <x v="34"/>
    <s v="Joan"/>
    <m/>
    <s v="Mutyoba"/>
    <x v="2"/>
    <x v="3"/>
    <s v="Makerere University"/>
    <m/>
    <x v="3"/>
    <s v="RIF3 Grant Award"/>
    <n v="3000"/>
    <s v="MAKERERE UNIVRSITY RESEARCH AND INNOVATION FUND"/>
    <n v="18"/>
    <x v="3"/>
    <x v="6"/>
    <m/>
    <x v="2"/>
    <d v="2021-10-01T00:00:00"/>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r>
  <r>
    <n v="353"/>
    <x v="24"/>
    <x v="8"/>
    <s v="Banamawa"/>
    <m/>
    <s v="Celestin"/>
    <x v="1"/>
    <x v="2"/>
    <s v="University of Rwanda"/>
    <s v="Makerere University"/>
    <x v="4"/>
    <s v="Erasmus+ International Credit Mobility project (2020-1-UK01- KA107-078102)"/>
    <n v="2200"/>
    <s v="Erasmus + credit"/>
    <n v="3"/>
    <x v="4"/>
    <x v="6"/>
    <m/>
    <x v="1"/>
    <d v="2022-10-10T00:00:00"/>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r>
  <r>
    <n v="362"/>
    <x v="24"/>
    <x v="101"/>
    <s v="Olorunmoteni"/>
    <s v="Eunice"/>
    <s v="Oluwatosin"/>
    <x v="2"/>
    <x v="10"/>
    <s v="Obafemi Awolowo University"/>
    <s v="University of the WItwatersrand"/>
    <x v="2"/>
    <s v="World Sleep Academy Scholarship"/>
    <n v="2500"/>
    <s v=" -World Sleep Society"/>
    <n v="12"/>
    <x v="2"/>
    <x v="6"/>
    <m/>
    <x v="1"/>
    <d v="2022-09-04T00:00:00"/>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r>
  <r>
    <n v="376"/>
    <x v="24"/>
    <x v="24"/>
    <s v="Lawal"/>
    <s v="Barakat"/>
    <s v="Folake"/>
    <x v="2"/>
    <x v="2"/>
    <s v="University of Ibadan"/>
    <m/>
    <x v="4"/>
    <s v="Borrow Foundation Travel Grant"/>
    <n v="500"/>
    <s v="Borrow Foundation"/>
    <m/>
    <x v="4"/>
    <x v="6"/>
    <m/>
    <x v="2"/>
    <d v="2022-09-08T00:00:00"/>
    <m/>
    <m/>
    <m/>
    <s v="A travel grant to attend the 26th EADPH conference in France"/>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r>
  <r>
    <n v="383"/>
    <x v="25"/>
    <x v="110"/>
    <s v="Kang'ethe"/>
    <s v="Mburu"/>
    <s v="James"/>
    <x v="1"/>
    <x v="10"/>
    <s v="University of Nairobi"/>
    <s v="University of Nairobi"/>
    <x v="1"/>
    <s v="INTEREST 2023 conference grant"/>
    <m/>
    <s v="Virology eduacation"/>
    <n v="1"/>
    <x v="1"/>
    <x v="7"/>
    <m/>
    <x v="1"/>
    <d v="2023-05-08T00:00:00"/>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r>
  <r>
    <n v="389"/>
    <x v="25"/>
    <x v="118"/>
    <s v="Mobolaji"/>
    <s v="Wale"/>
    <s v="Jacob"/>
    <x v="1"/>
    <x v="7"/>
    <s v="Obafemi Awolowo University"/>
    <m/>
    <x v="4"/>
    <m/>
    <n v="1003"/>
    <s v="Organizers of Ageing and Health Workshop in Sub-Saharan Africa"/>
    <m/>
    <x v="4"/>
    <x v="7"/>
    <m/>
    <x v="2"/>
    <d v="2023-02-19T00:00:00"/>
    <m/>
    <s v="No"/>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r>
  <r>
    <n v="392"/>
    <x v="25"/>
    <x v="73"/>
    <s v="Adams"/>
    <s v="Nandi "/>
    <s v="Skye"/>
    <x v="2"/>
    <x v="8"/>
    <s v="University of the WItwatersrand"/>
    <m/>
    <x v="6"/>
    <s v="SCHD Certificate of Excellence (Research) "/>
    <m/>
    <m/>
    <m/>
    <x v="0"/>
    <x v="7"/>
    <m/>
    <x v="1"/>
    <m/>
    <m/>
    <s v="No"/>
    <m/>
    <s v="SCHD Certificate of Excellence (Research) for the school. "/>
  </r>
  <r>
    <n v="393"/>
    <x v="25"/>
    <x v="33"/>
    <s v="Kiplagat"/>
    <m/>
    <s v="Jepchirchir"/>
    <x v="2"/>
    <x v="4"/>
    <s v="Moi University"/>
    <m/>
    <x v="3"/>
    <s v="Aim of the grant is for early career investigators to grow into research independence"/>
    <n v="567005"/>
    <s v="NIH"/>
    <n v="60"/>
    <x v="3"/>
    <x v="7"/>
    <m/>
    <x v="2"/>
    <d v="2023-05-01T00:00:00"/>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r>
  <r>
    <n v="396"/>
    <x v="25"/>
    <x v="42"/>
    <s v="Makwero"/>
    <s v="Kabudula"/>
    <s v="Martha"/>
    <x v="2"/>
    <x v="2"/>
    <s v="University of Malawi"/>
    <s v="University of the WItwatersrand"/>
    <x v="1"/>
    <s v="WONCA world travel grant"/>
    <n v="3000"/>
    <s v="Royal college of GPs Australia"/>
    <n v="1"/>
    <x v="1"/>
    <x v="7"/>
    <m/>
    <x v="1"/>
    <s v="23/10/2023"/>
    <m/>
    <m/>
    <m/>
    <m/>
  </r>
  <r>
    <n v="397"/>
    <x v="26"/>
    <x v="61"/>
    <s v="Murererehe"/>
    <m/>
    <s v="Julienne"/>
    <x v="2"/>
    <x v="7"/>
    <s v="University of Rwanda"/>
    <s v="University of the WItwatersrand"/>
    <x v="4"/>
    <m/>
    <n v="2500"/>
    <s v="IADR"/>
    <n v="1"/>
    <x v="4"/>
    <x v="7"/>
    <m/>
    <x v="1"/>
    <s v="24/06/2023"/>
    <m/>
    <m/>
    <m/>
    <m/>
  </r>
  <r>
    <n v="398"/>
    <x v="26"/>
    <x v="66"/>
    <s v="Maseko"/>
    <s v="Johanna"/>
    <s v="Lebogang"/>
    <x v="2"/>
    <x v="7"/>
    <s v="University of the WItwatersrand"/>
    <s v="University of the WItwatersrand"/>
    <x v="1"/>
    <s v="Conference attendance"/>
    <n v="1000"/>
    <s v="FALF"/>
    <n v="1"/>
    <x v="1"/>
    <x v="7"/>
    <m/>
    <x v="1"/>
    <s v="21/08/2023"/>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r>
  <r>
    <n v="400"/>
    <x v="26"/>
    <x v="110"/>
    <s v="Kang'ethe"/>
    <s v="Mburu"/>
    <s v="James"/>
    <x v="1"/>
    <x v="10"/>
    <s v="University of Nairobi"/>
    <s v="University of Nairobi"/>
    <x v="1"/>
    <s v="8th African Caribbean Consortium Conference (AC3) travel grant "/>
    <n v="820"/>
    <s v="AC3"/>
    <m/>
    <x v="1"/>
    <x v="7"/>
    <m/>
    <x v="1"/>
    <d v="2023-11-10T00:00:00"/>
    <m/>
    <m/>
    <m/>
    <m/>
  </r>
  <r>
    <n v="401"/>
    <x v="26"/>
    <x v="110"/>
    <s v="Kang'ethe"/>
    <s v="Mburu"/>
    <s v="James"/>
    <x v="1"/>
    <x v="10"/>
    <s v="University of Nairobi"/>
    <s v="University of Nairobi"/>
    <x v="4"/>
    <s v="International AIDS Society (IAS) conference travel grant"/>
    <m/>
    <s v="IAS"/>
    <m/>
    <x v="4"/>
    <x v="7"/>
    <m/>
    <x v="1"/>
    <s v="23/07/2023"/>
    <m/>
    <m/>
    <m/>
    <m/>
  </r>
  <r>
    <n v="402"/>
    <x v="26"/>
    <x v="119"/>
    <s v="Vermaak"/>
    <m/>
    <s v="Stefanie"/>
    <x v="2"/>
    <x v="10"/>
    <s v="University of the WItwatersrand"/>
    <s v="University of the WItwatersrand"/>
    <x v="2"/>
    <s v="PhD Stipend"/>
    <n v="10000"/>
    <s v="DSI/USAID "/>
    <n v="12"/>
    <x v="2"/>
    <x v="7"/>
    <m/>
    <x v="1"/>
    <d v="2023-01-10T00:00:00"/>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r>
  <r>
    <n v="404"/>
    <x v="26"/>
    <x v="102"/>
    <s v="Muhayimana"/>
    <m/>
    <s v="Alice"/>
    <x v="2"/>
    <x v="10"/>
    <s v="University of Rwanda"/>
    <s v="University of the WItwatersrand"/>
    <x v="4"/>
    <s v="To attend FiGO conference"/>
    <n v="2000"/>
    <s v="University of Michigan-CIRHT in collaboration with UR"/>
    <m/>
    <x v="4"/>
    <x v="7"/>
    <m/>
    <x v="1"/>
    <d v="2023-09-09T00:00:00"/>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r>
  <r>
    <n v="412"/>
    <x v="26"/>
    <x v="29"/>
    <s v="Anywar "/>
    <s v="Upoki"/>
    <s v="Godwin"/>
    <x v="1"/>
    <x v="3"/>
    <s v="Makerere University"/>
    <m/>
    <x v="3"/>
    <s v="Research Grant"/>
    <n v="889410"/>
    <s v="The Swiss National Science Foundation "/>
    <n v="36"/>
    <x v="3"/>
    <x v="7"/>
    <m/>
    <x v="2"/>
    <d v="2023-01-06T00:00:00"/>
    <s v="Co-investigator"/>
    <m/>
    <m/>
    <s v="B"/>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r>
  <r>
    <n v="414"/>
    <x v="26"/>
    <x v="73"/>
    <s v="Adams"/>
    <s v="Nandi "/>
    <s v="Skye"/>
    <x v="2"/>
    <x v="8"/>
    <s v="University of the WItwatersrand"/>
    <m/>
    <x v="1"/>
    <s v="FRC Conference Support"/>
    <n v="550"/>
    <s v="Wits "/>
    <m/>
    <x v="1"/>
    <x v="7"/>
    <m/>
    <x v="2"/>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r>
  <r>
    <n v="429"/>
    <x v="27"/>
    <x v="61"/>
    <s v="Murererehe"/>
    <m/>
    <s v="Julienne"/>
    <x v="2"/>
    <x v="7"/>
    <s v="University of Rwanda"/>
    <s v="University of the WItwatersrand"/>
    <x v="4"/>
    <s v="GOHIRN "/>
    <n v="2500"/>
    <s v="IADR "/>
    <n v="1"/>
    <x v="4"/>
    <x v="8"/>
    <m/>
    <x v="1"/>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r>
  <r>
    <n v="434"/>
    <x v="27"/>
    <x v="116"/>
    <s v="Fredrick "/>
    <m/>
    <s v="Oporia"/>
    <x v="1"/>
    <x v="10"/>
    <s v="Makerere University"/>
    <m/>
    <x v="3"/>
    <m/>
    <n v="1400000"/>
    <m/>
    <m/>
    <x v="3"/>
    <x v="8"/>
    <s v="Establishment of an Emerging and Re-emerging Infectious Diseases (TERID) Research Hub in East Africa"/>
    <x v="2"/>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r>
  <r>
    <n v="446"/>
    <x v="28"/>
    <x v="42"/>
    <s v="Makwero"/>
    <s v="Kabudula"/>
    <s v="Martha"/>
    <x v="2"/>
    <x v="2"/>
    <s v="University of Malawi"/>
    <s v="University of the WItwatersrand"/>
    <x v="1"/>
    <s v="PRIMAFAMMED"/>
    <n v="2000"/>
    <s v="NORHED PRICE project"/>
    <n v="1"/>
    <x v="1"/>
    <x v="8"/>
    <m/>
    <x v="1"/>
    <d v="2024-08-06T00:00:00"/>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r>
  <r>
    <n v="448"/>
    <x v="28"/>
    <x v="110"/>
    <s v="Kang'ethe"/>
    <s v="Mburu"/>
    <s v="James"/>
    <x v="1"/>
    <x v="10"/>
    <s v="University of Nairobi"/>
    <s v="University of Nairobi"/>
    <x v="1"/>
    <s v="AIDS 2024 conference travel award"/>
    <m/>
    <s v="IAS"/>
    <n v="1"/>
    <x v="1"/>
    <x v="8"/>
    <m/>
    <x v="1"/>
    <d v="2024-07-22T00:00:00"/>
    <m/>
    <m/>
    <m/>
    <m/>
  </r>
  <r>
    <n v="449"/>
    <x v="28"/>
    <x v="132"/>
    <s v="Ugalahi"/>
    <s v="Ogbenyi"/>
    <s v="Mary"/>
    <x v="2"/>
    <x v="10"/>
    <s v="University of Ibadan"/>
    <s v="University of Ibadan"/>
    <x v="4"/>
    <s v="Accomodation Support for WCPOS 5"/>
    <n v="200"/>
    <s v="World Society of Paediatric Ophthalmology and Strabismus"/>
    <n v="1"/>
    <x v="4"/>
    <x v="8"/>
    <m/>
    <x v="1"/>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r>
  <r>
    <n v="451"/>
    <x v="28"/>
    <x v="85"/>
    <s v="Mapayi"/>
    <s v="Moyosore"/>
    <s v="Boladale"/>
    <x v="2"/>
    <x v="1"/>
    <s v="Obafemi Awolowo University"/>
    <m/>
    <x v="3"/>
    <s v="Institution based Tetfund grant"/>
    <n v="20000"/>
    <s v="TETFUND"/>
    <n v="24"/>
    <x v="3"/>
    <x v="8"/>
    <m/>
    <x v="2"/>
    <d v="2024-06-01T00:00:00"/>
    <s v="Co-investigator"/>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r>
  <r>
    <n v="453"/>
    <x v="28"/>
    <x v="130"/>
    <s v="Sawe"/>
    <s v="Jepkoech"/>
    <s v="Caroline "/>
    <x v="2"/>
    <x v="1"/>
    <s v="Moi University"/>
    <m/>
    <x v="3"/>
    <m/>
    <m/>
    <m/>
    <m/>
    <x v="3"/>
    <x v="8"/>
    <m/>
    <x v="2"/>
    <m/>
    <s v="Co-investigator"/>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r>
  <r>
    <n v="458"/>
    <x v="28"/>
    <x v="133"/>
    <s v="FEHINTOLA"/>
    <s v="OMOLOLA"/>
    <s v="FUNMITO"/>
    <x v="2"/>
    <x v="8"/>
    <s v="Obafemi Awolowo University"/>
    <m/>
    <x v="1"/>
    <s v="NIL"/>
    <n v="0"/>
    <s v="NIL"/>
    <n v="10"/>
    <x v="1"/>
    <x v="8"/>
    <m/>
    <x v="2"/>
    <m/>
    <m/>
    <m/>
    <m/>
    <s v="NIL"/>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r>
  <r>
    <n v="466"/>
    <x v="29"/>
    <x v="31"/>
    <s v="Zakumumpa"/>
    <m/>
    <s v="Henry"/>
    <x v="1"/>
    <x v="4"/>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356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4">
    <pivotField compact="0" outline="0" showAll="0"/>
    <pivotField compact="0" outline="0" showAll="0"/>
    <pivotField axis="axisRow" compact="0" outline="0" showAll="0" sortType="descending">
      <items count="138">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4">
        <item x="1"/>
        <item x="8"/>
        <item x="6"/>
        <item x="5"/>
        <item x="3"/>
        <item x="2"/>
        <item x="7"/>
        <item x="4"/>
        <item h="1" m="1" x="12"/>
        <item x="0"/>
        <item h="1" x="9"/>
        <item h="1" x="10"/>
        <item h="1" x="11"/>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4"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2">
        <item x="5"/>
        <item x="9"/>
        <item x="6"/>
        <item x="1"/>
        <item x="4"/>
        <item x="3"/>
        <item x="2"/>
        <item x="7"/>
        <item x="8"/>
        <item x="10"/>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7"/>
  </rowFields>
  <rowItems count="12">
    <i>
      <x/>
    </i>
    <i>
      <x v="1"/>
    </i>
    <i>
      <x v="2"/>
    </i>
    <i>
      <x v="3"/>
    </i>
    <i>
      <x v="4"/>
    </i>
    <i>
      <x v="5"/>
    </i>
    <i>
      <x v="6"/>
    </i>
    <i>
      <x v="7"/>
    </i>
    <i>
      <x v="8"/>
    </i>
    <i>
      <x v="9"/>
    </i>
    <i>
      <x v="10"/>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4">
    <pivotField compact="0" outline="0" showAll="0"/>
    <pivotField compact="0" outline="0" showAll="0"/>
    <pivotField axis="axisRow" compact="0" outline="0" showAll="0">
      <items count="138">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5">
      <pivotArea type="all" dataOnly="0" outline="0" fieldPosition="0"/>
    </format>
    <format dxfId="56">
      <pivotArea outline="0" collapsedLevelsAreSubtotals="1" fieldPosition="0"/>
    </format>
    <format dxfId="57">
      <pivotArea type="origin" dataOnly="0" labelOnly="1" outline="0" fieldPosition="0"/>
    </format>
    <format dxfId="58">
      <pivotArea field="6" type="button" dataOnly="0" labelOnly="1" outline="0"/>
    </format>
    <format dxfId="59">
      <pivotArea type="topRight" dataOnly="0" labelOnly="1" outline="0" fieldPosition="0"/>
    </format>
    <format dxfId="60">
      <pivotArea field="16" type="button" dataOnly="0" labelOnly="1" outline="0" axis="axisPage" fieldPosition="0"/>
    </format>
    <format dxfId="61">
      <pivotArea dataOnly="0" labelOnly="1" outline="0" fieldPosition="0">
        <references count="1">
          <reference field="16" count="0"/>
        </references>
      </pivotArea>
    </format>
    <format dxfId="62">
      <pivotArea dataOnly="0" labelOnly="1" grandRow="1" outline="0" fieldPosition="0"/>
    </format>
    <format dxfId="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3">
      <pivotArea outline="0" collapsedLevelsAreSubtotals="1" fieldPosition="0"/>
    </format>
    <format dxfId="54">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3">
      <pivotArea type="all" dataOnly="0" outline="0" fieldPosition="0"/>
    </format>
    <format dxfId="44">
      <pivotArea outline="0" collapsedLevelsAreSubtotals="1" fieldPosition="0"/>
    </format>
    <format dxfId="45">
      <pivotArea type="origin" dataOnly="0" labelOnly="1" outline="0" fieldPosition="0"/>
    </format>
    <format dxfId="46">
      <pivotArea field="6" type="button" dataOnly="0" labelOnly="1" outline="0" axis="axisCol" fieldPosition="0"/>
    </format>
    <format dxfId="47">
      <pivotArea type="topRight" dataOnly="0" labelOnly="1" outline="0" fieldPosition="0"/>
    </format>
    <format dxfId="48">
      <pivotArea field="16" type="button" dataOnly="0" labelOnly="1" outline="0" axis="axisRow" fieldPosition="0"/>
    </format>
    <format dxfId="49">
      <pivotArea dataOnly="0" labelOnly="1" outline="0" fieldPosition="0">
        <references count="1">
          <reference field="16" count="0"/>
        </references>
      </pivotArea>
    </format>
    <format dxfId="50">
      <pivotArea dataOnly="0" labelOnly="1" grandRow="1" outline="0" fieldPosition="0"/>
    </format>
    <format dxfId="51">
      <pivotArea dataOnly="0" labelOnly="1" outline="0" fieldPosition="0">
        <references count="1">
          <reference field="6" count="0"/>
        </references>
      </pivotArea>
    </format>
    <format dxfId="52">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4">
    <pivotField compact="0" outline="0" showAll="0"/>
    <pivotField axis="axisPage" compact="0" outline="0" multipleItemSelectionAllowed="1" showAll="0">
      <items count="33">
        <item h="1" x="1"/>
        <item h="1" x="4"/>
        <item h="1" x="12"/>
        <item h="1" x="6"/>
        <item h="1" x="18"/>
        <item h="1" x="23"/>
        <item h="1" x="3"/>
        <item h="1" x="2"/>
        <item h="1" x="5"/>
        <item h="1" x="14"/>
        <item h="1" x="20"/>
        <item h="1" x="8"/>
        <item h="1" x="11"/>
        <item h="1" x="17"/>
        <item m="1" x="31"/>
        <item h="1" x="9"/>
        <item h="1" x="13"/>
        <item h="1" x="19"/>
        <item h="1" x="10"/>
        <item h="1" x="15"/>
        <item h="1" x="22"/>
        <item h="1" x="7"/>
        <item h="1" x="16"/>
        <item h="1" x="21"/>
        <item h="1" x="0"/>
        <item h="1" x="24"/>
        <item h="1" m="1" x="30"/>
        <item h="1" x="25"/>
        <item h="1" x="26"/>
        <item h="1"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40">
      <pivotArea outline="0" collapsedLevelsAreSubtotals="1" fieldPosition="0"/>
    </format>
    <format dxfId="4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3566"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7" firstHeaderRow="1" firstDataRow="2" firstDataCol="1" rowPageCount="1" colPageCount="1"/>
  <pivotFields count="24">
    <pivotField compact="0" outline="0" showAll="0"/>
    <pivotField axis="axisRow" compact="0" outline="0"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1"/>
  </rowFields>
  <rowItems count="31">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1" totalsRowShown="0" headerRowDxfId="28" headerRowBorderDxfId="26" tableBorderDxfId="27" totalsRowBorderDxfId="25">
  <autoFilter ref="A1:Y491"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abSelected="1" topLeftCell="A481" zoomScale="83" zoomScaleNormal="83" workbookViewId="0">
      <selection activeCell="H491" sqref="H491"/>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62"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450</v>
      </c>
      <c r="B451" s="17" t="s">
        <v>1534</v>
      </c>
      <c r="C451" s="17" t="s">
        <v>879</v>
      </c>
      <c r="D451" s="17" t="s">
        <v>880</v>
      </c>
      <c r="E451" s="17" t="s">
        <v>881</v>
      </c>
      <c r="F451" s="17" t="s">
        <v>882</v>
      </c>
      <c r="G451" s="17" t="s">
        <v>61</v>
      </c>
      <c r="H451" s="17">
        <f>VALUE(MID(LEFT(Table1[[#This Row],[Unique ID]], FIND("/", Table1[[#This Row],[Unique ID]]) - 1), 2, LEN(Table1[[#This Row],[Unique ID]])))</f>
        <v>10</v>
      </c>
      <c r="I451" s="17" t="s">
        <v>86</v>
      </c>
      <c r="J451" s="17" t="s">
        <v>589</v>
      </c>
      <c r="K451" s="3" t="s">
        <v>56</v>
      </c>
      <c r="L451" s="3" t="s">
        <v>1453</v>
      </c>
      <c r="M451" s="3">
        <v>269582.59999999998</v>
      </c>
      <c r="N451" s="3" t="s">
        <v>1556</v>
      </c>
      <c r="O451" s="3">
        <v>12</v>
      </c>
      <c r="P451" s="3" t="s">
        <v>56</v>
      </c>
      <c r="Q451" s="17">
        <v>2024</v>
      </c>
      <c r="R451" s="17"/>
      <c r="S451" s="17" t="s">
        <v>43</v>
      </c>
      <c r="T451" s="14">
        <v>45323</v>
      </c>
      <c r="U451" s="3" t="s">
        <v>1105</v>
      </c>
      <c r="V451" s="18"/>
      <c r="W451" s="17"/>
      <c r="X451" s="3" t="s">
        <v>1557</v>
      </c>
      <c r="Y451" s="4"/>
    </row>
    <row r="452" spans="1:25">
      <c r="A452" s="3">
        <v>451</v>
      </c>
      <c r="B452" s="17" t="s">
        <v>1534</v>
      </c>
      <c r="C452" s="3" t="s">
        <v>711</v>
      </c>
      <c r="D452" s="3" t="s">
        <v>712</v>
      </c>
      <c r="E452" s="3" t="s">
        <v>713</v>
      </c>
      <c r="F452" s="3" t="s">
        <v>714</v>
      </c>
      <c r="G452" s="3" t="s">
        <v>61</v>
      </c>
      <c r="H452" s="3">
        <f>VALUE(MID(LEFT(Table1[[#This Row],[Unique ID]], FIND("/", Table1[[#This Row],[Unique ID]]) - 1), 2, LEN(Table1[[#This Row],[Unique ID]])))</f>
        <v>4</v>
      </c>
      <c r="I452" s="3" t="s">
        <v>86</v>
      </c>
      <c r="J452" s="3"/>
      <c r="K452" s="3" t="s">
        <v>56</v>
      </c>
      <c r="L452" s="3" t="s">
        <v>1458</v>
      </c>
      <c r="M452" s="3">
        <v>20000</v>
      </c>
      <c r="N452" s="3" t="s">
        <v>283</v>
      </c>
      <c r="O452" s="3">
        <v>24</v>
      </c>
      <c r="P452" s="3" t="s">
        <v>56</v>
      </c>
      <c r="Q452" s="3">
        <v>2024</v>
      </c>
      <c r="R452" s="3"/>
      <c r="S452" s="17" t="s">
        <v>507</v>
      </c>
      <c r="T452" s="14">
        <v>45444</v>
      </c>
      <c r="U452" s="3" t="s">
        <v>1116</v>
      </c>
      <c r="V452" s="4"/>
      <c r="W452" s="3"/>
      <c r="X452" s="3"/>
      <c r="Y452" s="4"/>
    </row>
    <row r="453" spans="1:25">
      <c r="A453" s="3">
        <v>452</v>
      </c>
      <c r="B453" s="17" t="s">
        <v>1534</v>
      </c>
      <c r="C453" s="3" t="s">
        <v>560</v>
      </c>
      <c r="D453" s="3" t="s">
        <v>561</v>
      </c>
      <c r="E453" s="3" t="s">
        <v>562</v>
      </c>
      <c r="F453" s="3" t="s">
        <v>563</v>
      </c>
      <c r="G453" s="3" t="s">
        <v>61</v>
      </c>
      <c r="H453" s="3">
        <f>VALUE(MID(LEFT(Table1[[#This Row],[Unique ID]], FIND("/", Table1[[#This Row],[Unique ID]]) - 1), 2, LEN(Table1[[#This Row],[Unique ID]])))</f>
        <v>8</v>
      </c>
      <c r="I453" s="3" t="s">
        <v>37</v>
      </c>
      <c r="J453" s="3"/>
      <c r="K453" s="3" t="s">
        <v>56</v>
      </c>
      <c r="L453" s="3" t="s">
        <v>1558</v>
      </c>
      <c r="M453" s="3">
        <v>36612</v>
      </c>
      <c r="N453" s="3" t="s">
        <v>1559</v>
      </c>
      <c r="O453" s="3">
        <v>12</v>
      </c>
      <c r="P453" s="3" t="s">
        <v>56</v>
      </c>
      <c r="Q453" s="3">
        <v>2024</v>
      </c>
      <c r="R453" s="3"/>
      <c r="S453" s="17" t="s">
        <v>507</v>
      </c>
      <c r="T453" s="14">
        <v>45597</v>
      </c>
      <c r="U453" s="3" t="s">
        <v>1116</v>
      </c>
      <c r="V453" s="4"/>
      <c r="W453" s="3"/>
      <c r="X453" s="3" t="s">
        <v>1560</v>
      </c>
      <c r="Y453" s="4"/>
    </row>
    <row r="454" spans="1:25">
      <c r="A454" s="3">
        <v>453</v>
      </c>
      <c r="B454" s="17" t="s">
        <v>1534</v>
      </c>
      <c r="C454" s="3" t="s">
        <v>1482</v>
      </c>
      <c r="D454" s="3" t="s">
        <v>1483</v>
      </c>
      <c r="E454" s="3" t="s">
        <v>1484</v>
      </c>
      <c r="F454" s="3" t="s">
        <v>1485</v>
      </c>
      <c r="G454" s="3" t="s">
        <v>61</v>
      </c>
      <c r="H454" s="3">
        <f>VALUE(MID(LEFT(Table1[[#This Row],[Unique ID]], FIND("/", Table1[[#This Row],[Unique ID]]) - 1), 2, LEN(Table1[[#This Row],[Unique ID]])))</f>
        <v>4</v>
      </c>
      <c r="I454" s="3" t="s">
        <v>229</v>
      </c>
      <c r="J454" s="3"/>
      <c r="K454" s="3" t="s">
        <v>56</v>
      </c>
      <c r="L454" s="3"/>
      <c r="M454" s="3"/>
      <c r="N454" s="3"/>
      <c r="O454" s="3"/>
      <c r="P454" s="3" t="s">
        <v>56</v>
      </c>
      <c r="Q454" s="3">
        <v>2024</v>
      </c>
      <c r="R454" s="3"/>
      <c r="S454" s="17" t="s">
        <v>507</v>
      </c>
      <c r="T454" s="3"/>
      <c r="U454" s="3" t="s">
        <v>1116</v>
      </c>
      <c r="V454" s="4"/>
      <c r="W454" s="3"/>
      <c r="X454" s="3"/>
      <c r="Y454" s="4"/>
    </row>
    <row r="455" spans="1:25">
      <c r="A455" s="3">
        <v>454</v>
      </c>
      <c r="B455" s="17" t="s">
        <v>1534</v>
      </c>
      <c r="C455" s="3" t="s">
        <v>1108</v>
      </c>
      <c r="D455" s="3" t="s">
        <v>1109</v>
      </c>
      <c r="E455" s="3" t="s">
        <v>1110</v>
      </c>
      <c r="F455" s="3" t="s">
        <v>1111</v>
      </c>
      <c r="G455" s="3" t="s">
        <v>35</v>
      </c>
      <c r="H455" s="3">
        <f>VALUE(MID(LEFT(Table1[[#This Row],[Unique ID]], FIND("/", Table1[[#This Row],[Unique ID]]) - 1), 2, LEN(Table1[[#This Row],[Unique ID]])))</f>
        <v>8</v>
      </c>
      <c r="I455" s="3" t="s">
        <v>86</v>
      </c>
      <c r="J455" s="3"/>
      <c r="K455" s="3" t="s">
        <v>56</v>
      </c>
      <c r="L455" s="3" t="s">
        <v>1561</v>
      </c>
      <c r="M455" s="3">
        <v>3000</v>
      </c>
      <c r="N455" s="3" t="s">
        <v>1562</v>
      </c>
      <c r="O455" s="3">
        <v>12</v>
      </c>
      <c r="P455" s="3" t="s">
        <v>56</v>
      </c>
      <c r="Q455" s="3">
        <v>2024</v>
      </c>
      <c r="R455" s="3"/>
      <c r="S455" s="17" t="s">
        <v>507</v>
      </c>
      <c r="T455" s="14">
        <v>45627</v>
      </c>
      <c r="U455" s="3" t="s">
        <v>1105</v>
      </c>
      <c r="V455" s="4"/>
      <c r="W455" s="3"/>
      <c r="X455" s="3" t="s">
        <v>1563</v>
      </c>
      <c r="Y455" s="4"/>
    </row>
    <row r="456" spans="1:25">
      <c r="A456" s="3">
        <v>455</v>
      </c>
      <c r="B456" s="17" t="s">
        <v>1534</v>
      </c>
      <c r="C456" s="3" t="s">
        <v>151</v>
      </c>
      <c r="D456" s="3" t="s">
        <v>1564</v>
      </c>
      <c r="E456" s="3" t="s">
        <v>1565</v>
      </c>
      <c r="F456" s="3" t="s">
        <v>1566</v>
      </c>
      <c r="G456" s="3" t="s">
        <v>61</v>
      </c>
      <c r="H456" s="3">
        <f>VALUE(MID(LEFT(Table1[[#This Row],[Unique ID]], FIND("/", Table1[[#This Row],[Unique ID]]) - 1), 2, LEN(Table1[[#This Row],[Unique ID]])))</f>
        <v>7</v>
      </c>
      <c r="I456" s="3" t="s">
        <v>36</v>
      </c>
      <c r="J456" s="3"/>
      <c r="K456" s="3" t="s">
        <v>42</v>
      </c>
      <c r="L456" s="3" t="s">
        <v>1567</v>
      </c>
      <c r="M456" s="3"/>
      <c r="N456" s="3" t="s">
        <v>1568</v>
      </c>
      <c r="O456" s="3"/>
      <c r="P456" s="3" t="s">
        <v>42</v>
      </c>
      <c r="Q456" s="3">
        <v>2024</v>
      </c>
      <c r="R456" s="3"/>
      <c r="S456" s="17" t="s">
        <v>507</v>
      </c>
      <c r="T456" s="14">
        <v>45629</v>
      </c>
      <c r="U456" s="3"/>
      <c r="V456" s="4"/>
      <c r="W456" s="3"/>
      <c r="X456" s="3" t="s">
        <v>1569</v>
      </c>
      <c r="Y456" s="4"/>
    </row>
    <row r="457" spans="1:25">
      <c r="A457" s="3">
        <v>456</v>
      </c>
      <c r="B457" s="17" t="s">
        <v>1534</v>
      </c>
      <c r="C457" s="3" t="s">
        <v>287</v>
      </c>
      <c r="D457" s="3" t="s">
        <v>1321</v>
      </c>
      <c r="E457" s="3" t="s">
        <v>1322</v>
      </c>
      <c r="F457" s="3" t="s">
        <v>289</v>
      </c>
      <c r="G457" s="3" t="s">
        <v>35</v>
      </c>
      <c r="H457" s="3">
        <f>VALUE(MID(LEFT(Table1[[#This Row],[Unique ID]], FIND("/", Table1[[#This Row],[Unique ID]]) - 1), 2, LEN(Table1[[#This Row],[Unique ID]])))</f>
        <v>6</v>
      </c>
      <c r="I457" s="3" t="s">
        <v>76</v>
      </c>
      <c r="J457" s="3"/>
      <c r="K457" s="3" t="s">
        <v>1570</v>
      </c>
      <c r="L457" s="3" t="s">
        <v>1571</v>
      </c>
      <c r="M457" s="3"/>
      <c r="N457" s="3" t="s">
        <v>1572</v>
      </c>
      <c r="O457" s="3">
        <v>12</v>
      </c>
      <c r="P457" s="3" t="s">
        <v>1570</v>
      </c>
      <c r="Q457" s="3">
        <v>2024</v>
      </c>
      <c r="R457" s="3"/>
      <c r="S457" s="17" t="s">
        <v>507</v>
      </c>
      <c r="T457" s="14">
        <v>45652</v>
      </c>
      <c r="U457" s="3"/>
      <c r="V457" s="4"/>
      <c r="W457" s="3"/>
      <c r="X457" s="3" t="s">
        <v>1573</v>
      </c>
      <c r="Y457" s="4"/>
    </row>
    <row r="458" spans="1:25">
      <c r="A458" s="3">
        <v>457</v>
      </c>
      <c r="B458" s="17" t="s">
        <v>1534</v>
      </c>
      <c r="C458" s="28" t="s">
        <v>565</v>
      </c>
      <c r="D458" s="3" t="s">
        <v>566</v>
      </c>
      <c r="E458" s="3" t="s">
        <v>202</v>
      </c>
      <c r="F458" s="3" t="s">
        <v>567</v>
      </c>
      <c r="G458" s="3" t="s">
        <v>61</v>
      </c>
      <c r="H458" s="3">
        <f>VALUE(MID(LEFT(Table1[[#This Row],[Unique ID]], FIND("/", Table1[[#This Row],[Unique ID]]) - 1), 2, LEN(Table1[[#This Row],[Unique ID]])))</f>
        <v>8</v>
      </c>
      <c r="I458" s="3" t="s">
        <v>86</v>
      </c>
      <c r="J458" s="3"/>
      <c r="K458" s="3" t="s">
        <v>1574</v>
      </c>
      <c r="L458" s="3" t="s">
        <v>1575</v>
      </c>
      <c r="M458" s="3">
        <v>19008</v>
      </c>
      <c r="N458" s="3" t="s">
        <v>1576</v>
      </c>
      <c r="O458" s="3">
        <v>6</v>
      </c>
      <c r="P458" s="3" t="s">
        <v>1574</v>
      </c>
      <c r="Q458" s="3">
        <v>2024</v>
      </c>
      <c r="R458" s="3"/>
      <c r="S458" s="17" t="s">
        <v>507</v>
      </c>
      <c r="T458" s="14">
        <v>45505</v>
      </c>
      <c r="U458" s="3"/>
      <c r="V458" s="4"/>
      <c r="W458" s="3"/>
      <c r="X458" s="3" t="s">
        <v>1577</v>
      </c>
      <c r="Y458" s="4"/>
    </row>
    <row r="459" spans="1:25">
      <c r="A459" s="3">
        <v>458</v>
      </c>
      <c r="B459" s="17" t="s">
        <v>1534</v>
      </c>
      <c r="C459" s="47" t="s">
        <v>1578</v>
      </c>
      <c r="D459" s="3" t="s">
        <v>1579</v>
      </c>
      <c r="E459" s="3" t="s">
        <v>1580</v>
      </c>
      <c r="F459" s="3" t="s">
        <v>1581</v>
      </c>
      <c r="G459" s="3" t="s">
        <v>61</v>
      </c>
      <c r="H459" s="3">
        <f>VALUE(MID(LEFT(Table1[[#This Row],[Unique ID]], FIND("/", Table1[[#This Row],[Unique ID]]) - 1), 2, LEN(Table1[[#This Row],[Unique ID]])))</f>
        <v>9</v>
      </c>
      <c r="I459" s="3" t="s">
        <v>86</v>
      </c>
      <c r="J459" s="3"/>
      <c r="K459" s="3" t="s">
        <v>42</v>
      </c>
      <c r="L459" s="3" t="s">
        <v>1582</v>
      </c>
      <c r="M459" s="3">
        <v>0</v>
      </c>
      <c r="N459" s="3" t="s">
        <v>1582</v>
      </c>
      <c r="O459" s="3">
        <v>10</v>
      </c>
      <c r="P459" s="3" t="s">
        <v>42</v>
      </c>
      <c r="Q459" s="3">
        <v>2024</v>
      </c>
      <c r="R459" s="3"/>
      <c r="S459" s="17" t="s">
        <v>507</v>
      </c>
      <c r="T459" s="3"/>
      <c r="U459" s="3"/>
      <c r="V459" s="4"/>
      <c r="W459" s="3"/>
      <c r="X459" s="3" t="s">
        <v>1582</v>
      </c>
      <c r="Y459" s="4"/>
    </row>
    <row r="460" spans="1:25">
      <c r="A460" s="3">
        <v>459</v>
      </c>
      <c r="B460" s="17" t="s">
        <v>1534</v>
      </c>
      <c r="C460" s="3" t="s">
        <v>625</v>
      </c>
      <c r="D460" s="3" t="s">
        <v>626</v>
      </c>
      <c r="E460" s="3" t="s">
        <v>627</v>
      </c>
      <c r="F460" s="3" t="s">
        <v>628</v>
      </c>
      <c r="G460" s="3" t="s">
        <v>35</v>
      </c>
      <c r="H460" s="3">
        <f>VALUE(MID(LEFT(Table1[[#This Row],[Unique ID]], FIND("/", Table1[[#This Row],[Unique ID]]) - 1), 2, LEN(Table1[[#This Row],[Unique ID]])))</f>
        <v>9</v>
      </c>
      <c r="I460" s="3" t="s">
        <v>86</v>
      </c>
      <c r="J460" s="3"/>
      <c r="K460" s="3" t="s">
        <v>56</v>
      </c>
      <c r="L460" s="3" t="s">
        <v>1583</v>
      </c>
      <c r="M460" s="3">
        <v>2500</v>
      </c>
      <c r="N460" s="3" t="s">
        <v>283</v>
      </c>
      <c r="O460" s="3">
        <v>12</v>
      </c>
      <c r="P460" s="3" t="s">
        <v>56</v>
      </c>
      <c r="Q460" s="3">
        <v>2024</v>
      </c>
      <c r="R460" s="3"/>
      <c r="S460" s="17" t="s">
        <v>507</v>
      </c>
      <c r="T460" s="14">
        <v>45505</v>
      </c>
      <c r="U460" s="3" t="s">
        <v>1105</v>
      </c>
      <c r="V460" s="4"/>
      <c r="W460" s="3"/>
      <c r="X460" s="3" t="s">
        <v>1584</v>
      </c>
      <c r="Y460" s="4"/>
    </row>
    <row r="461" spans="1:25">
      <c r="A461" s="3">
        <v>460</v>
      </c>
      <c r="B461" s="17" t="s">
        <v>1534</v>
      </c>
      <c r="C461" s="3" t="s">
        <v>955</v>
      </c>
      <c r="D461" s="3" t="s">
        <v>1585</v>
      </c>
      <c r="E461" s="3"/>
      <c r="F461" s="3" t="s">
        <v>957</v>
      </c>
      <c r="G461" s="3" t="s">
        <v>61</v>
      </c>
      <c r="H461" s="3">
        <f>VALUE(MID(LEFT(Table1[[#This Row],[Unique ID]], FIND("/", Table1[[#This Row],[Unique ID]]) - 1), 2, LEN(Table1[[#This Row],[Unique ID]])))</f>
        <v>9</v>
      </c>
      <c r="I461" s="3" t="s">
        <v>589</v>
      </c>
      <c r="J461" s="17"/>
      <c r="K461" s="3" t="s">
        <v>160</v>
      </c>
      <c r="L461" s="3" t="s">
        <v>1586</v>
      </c>
      <c r="M461" s="3">
        <v>388</v>
      </c>
      <c r="N461" s="3" t="s">
        <v>1587</v>
      </c>
      <c r="O461" s="3">
        <v>1</v>
      </c>
      <c r="P461" s="3" t="s">
        <v>160</v>
      </c>
      <c r="Q461" s="3">
        <v>2024</v>
      </c>
      <c r="R461" s="17"/>
      <c r="S461" s="17" t="s">
        <v>507</v>
      </c>
      <c r="T461" s="14">
        <v>45535</v>
      </c>
      <c r="U461" s="3"/>
      <c r="V461" s="18"/>
      <c r="W461" s="17"/>
      <c r="X461" s="3" t="s">
        <v>1588</v>
      </c>
      <c r="Y461" s="4"/>
    </row>
    <row r="462" spans="1:25">
      <c r="A462" s="3">
        <v>461</v>
      </c>
      <c r="B462" s="17" t="s">
        <v>1589</v>
      </c>
      <c r="C462" s="17" t="s">
        <v>1590</v>
      </c>
      <c r="D462" s="17" t="s">
        <v>1591</v>
      </c>
      <c r="E462" s="17"/>
      <c r="F462" s="17" t="s">
        <v>1592</v>
      </c>
      <c r="G462" s="17" t="s">
        <v>61</v>
      </c>
      <c r="H462" s="17">
        <f>VALUE(MID(LEFT(Table1[[#This Row],[Unique ID]], FIND("/", Table1[[#This Row],[Unique ID]]) - 1), 2, LEN(Table1[[#This Row],[Unique ID]])))</f>
        <v>1</v>
      </c>
      <c r="I462" s="17" t="s">
        <v>1593</v>
      </c>
      <c r="J462" s="17"/>
      <c r="K462" s="17" t="s">
        <v>62</v>
      </c>
      <c r="L462" s="17" t="s">
        <v>1594</v>
      </c>
      <c r="M462" s="26">
        <v>200000</v>
      </c>
      <c r="N462" s="17" t="s">
        <v>1595</v>
      </c>
      <c r="O462" s="42">
        <v>36</v>
      </c>
      <c r="P462" s="17" t="s">
        <v>56</v>
      </c>
      <c r="Q462" s="17">
        <v>2025</v>
      </c>
      <c r="R462" s="17" t="s">
        <v>1596</v>
      </c>
      <c r="S462" s="17" t="s">
        <v>507</v>
      </c>
      <c r="T462" s="39">
        <v>45649</v>
      </c>
      <c r="U462" s="18" t="s">
        <v>1105</v>
      </c>
      <c r="V462" s="18"/>
      <c r="W462" s="17"/>
      <c r="X462" s="18"/>
      <c r="Y462" s="4"/>
    </row>
    <row r="463" spans="1:25">
      <c r="A463" s="3">
        <v>462</v>
      </c>
      <c r="B463" s="17" t="s">
        <v>1534</v>
      </c>
      <c r="C463" s="17" t="s">
        <v>1174</v>
      </c>
      <c r="D463" s="17" t="s">
        <v>1175</v>
      </c>
      <c r="E463" s="17" t="s">
        <v>1176</v>
      </c>
      <c r="F463" s="17" t="s">
        <v>1177</v>
      </c>
      <c r="G463" s="17" t="s">
        <v>61</v>
      </c>
      <c r="H463" s="17">
        <f>VALUE(MID(LEFT(Table1[[#This Row],[Unique ID]], FIND("/", Table1[[#This Row],[Unique ID]]) - 1), 2, LEN(Table1[[#This Row],[Unique ID]])))</f>
        <v>8</v>
      </c>
      <c r="I463" s="17" t="s">
        <v>36</v>
      </c>
      <c r="J463" s="17" t="s">
        <v>36</v>
      </c>
      <c r="K463" s="17" t="s">
        <v>56</v>
      </c>
      <c r="L463" s="17" t="s">
        <v>1597</v>
      </c>
      <c r="M463" s="26">
        <v>15000</v>
      </c>
      <c r="N463" s="17" t="s">
        <v>1598</v>
      </c>
      <c r="O463" s="42">
        <v>12</v>
      </c>
      <c r="P463" s="17" t="s">
        <v>56</v>
      </c>
      <c r="Q463" s="17">
        <v>2024</v>
      </c>
      <c r="R463" s="17" t="s">
        <v>1599</v>
      </c>
      <c r="S463" s="17" t="s">
        <v>507</v>
      </c>
      <c r="T463" s="39">
        <v>45474</v>
      </c>
      <c r="U463" s="18" t="s">
        <v>1105</v>
      </c>
      <c r="V463" s="18"/>
      <c r="W463" s="17"/>
      <c r="X463" s="18"/>
      <c r="Y463" s="4"/>
    </row>
    <row r="464" spans="1:25">
      <c r="A464" s="3">
        <v>463</v>
      </c>
      <c r="B464" s="17" t="s">
        <v>1534</v>
      </c>
      <c r="C464" s="29" t="s">
        <v>549</v>
      </c>
      <c r="D464" s="29" t="s">
        <v>550</v>
      </c>
      <c r="E464" s="29" t="s">
        <v>551</v>
      </c>
      <c r="F464" s="29" t="s">
        <v>552</v>
      </c>
      <c r="G464" s="29" t="s">
        <v>61</v>
      </c>
      <c r="H464" s="17">
        <f>VALUE(MID(LEFT(Table1[[#This Row],[Unique ID]], FIND("/", Table1[[#This Row],[Unique ID]]) - 1), 2, LEN(Table1[[#This Row],[Unique ID]])))</f>
        <v>8</v>
      </c>
      <c r="I464" s="29" t="s">
        <v>37</v>
      </c>
      <c r="J464" s="17"/>
      <c r="K464" s="29" t="s">
        <v>56</v>
      </c>
      <c r="L464" s="17" t="s">
        <v>1600</v>
      </c>
      <c r="M464" s="24">
        <v>35700</v>
      </c>
      <c r="N464" s="17" t="s">
        <v>1601</v>
      </c>
      <c r="O464" s="3">
        <v>12</v>
      </c>
      <c r="P464" s="17" t="s">
        <v>56</v>
      </c>
      <c r="Q464" s="17">
        <v>2024</v>
      </c>
      <c r="R464" s="17" t="s">
        <v>1602</v>
      </c>
      <c r="S464" s="17" t="s">
        <v>507</v>
      </c>
      <c r="T464" s="39">
        <v>45597</v>
      </c>
      <c r="U464" s="18" t="s">
        <v>1105</v>
      </c>
      <c r="V464" s="18"/>
      <c r="W464" s="17"/>
      <c r="X464" s="18"/>
      <c r="Y464" s="4"/>
    </row>
    <row r="465" spans="1:25">
      <c r="A465" s="3">
        <v>464</v>
      </c>
      <c r="B465" s="17" t="s">
        <v>1589</v>
      </c>
      <c r="C465" s="3" t="s">
        <v>1603</v>
      </c>
      <c r="D465" s="3" t="s">
        <v>1604</v>
      </c>
      <c r="E465" s="3" t="s">
        <v>33</v>
      </c>
      <c r="F465" s="3" t="s">
        <v>1605</v>
      </c>
      <c r="G465" s="3" t="s">
        <v>35</v>
      </c>
      <c r="H465" s="3">
        <f>VALUE(MID(LEFT(Table1[[#This Row],[Unique ID]], FIND("/", Table1[[#This Row],[Unique ID]]) - 1), 2, LEN(Table1[[#This Row],[Unique ID]])))</f>
        <v>9</v>
      </c>
      <c r="I465" s="3" t="s">
        <v>209</v>
      </c>
      <c r="J465" s="3"/>
      <c r="K465" s="29" t="s">
        <v>56</v>
      </c>
      <c r="L465" s="3" t="s">
        <v>1606</v>
      </c>
      <c r="M465" s="26">
        <v>85000</v>
      </c>
      <c r="N465" s="3" t="s">
        <v>1607</v>
      </c>
      <c r="O465" s="41">
        <v>10</v>
      </c>
      <c r="P465" s="3" t="s">
        <v>876</v>
      </c>
      <c r="Q465" s="17">
        <v>2025</v>
      </c>
      <c r="R465" s="17" t="s">
        <v>1608</v>
      </c>
      <c r="S465" s="17" t="s">
        <v>507</v>
      </c>
      <c r="T465" s="33">
        <v>45658</v>
      </c>
      <c r="U465" s="4" t="s">
        <v>1609</v>
      </c>
      <c r="V465" s="4"/>
      <c r="W465" s="3"/>
      <c r="X465" s="4"/>
      <c r="Y465" s="4"/>
    </row>
    <row r="466" spans="1:25" ht="12.75" customHeight="1">
      <c r="A466" s="3">
        <v>465</v>
      </c>
      <c r="B466" s="17" t="s">
        <v>1589</v>
      </c>
      <c r="C466" s="17" t="s">
        <v>303</v>
      </c>
      <c r="D466" s="17" t="s">
        <v>304</v>
      </c>
      <c r="E466" s="17"/>
      <c r="F466" s="17" t="s">
        <v>305</v>
      </c>
      <c r="G466" s="17" t="s">
        <v>35</v>
      </c>
      <c r="H466" s="17">
        <f>VALUE(MID(LEFT(Table1[[#This Row],[Unique ID]], FIND("/", Table1[[#This Row],[Unique ID]]) - 1), 2, LEN(Table1[[#This Row],[Unique ID]])))</f>
        <v>4</v>
      </c>
      <c r="I466" s="17" t="s">
        <v>76</v>
      </c>
      <c r="J466" s="17"/>
      <c r="K466" s="29" t="s">
        <v>1610</v>
      </c>
      <c r="L466" s="3" t="s">
        <v>1611</v>
      </c>
      <c r="M466" s="27">
        <v>1000</v>
      </c>
      <c r="N466" s="17" t="s">
        <v>1612</v>
      </c>
      <c r="O466" s="3">
        <v>3</v>
      </c>
      <c r="P466" s="3" t="s">
        <v>42</v>
      </c>
      <c r="Q466" s="17">
        <v>2025</v>
      </c>
      <c r="R466" s="17"/>
      <c r="S466" s="17" t="s">
        <v>507</v>
      </c>
      <c r="T466" s="39">
        <v>45790</v>
      </c>
      <c r="U466" s="18"/>
      <c r="V466" s="18"/>
      <c r="W466" s="17"/>
      <c r="X466" s="18" t="s">
        <v>1613</v>
      </c>
      <c r="Y466" s="4"/>
    </row>
    <row r="467" spans="1:25">
      <c r="A467" s="3">
        <v>466</v>
      </c>
      <c r="B467" s="17" t="s">
        <v>1589</v>
      </c>
      <c r="C467" s="17" t="s">
        <v>303</v>
      </c>
      <c r="D467" s="17" t="s">
        <v>304</v>
      </c>
      <c r="E467" s="17"/>
      <c r="F467" s="17" t="s">
        <v>305</v>
      </c>
      <c r="G467" s="17" t="s">
        <v>35</v>
      </c>
      <c r="H467" s="17">
        <f>VALUE(MID(LEFT(Table1[[#This Row],[Unique ID]], FIND("/", Table1[[#This Row],[Unique ID]]) - 1), 2, LEN(Table1[[#This Row],[Unique ID]])))</f>
        <v>4</v>
      </c>
      <c r="I467" s="17" t="s">
        <v>76</v>
      </c>
      <c r="J467" s="17"/>
      <c r="K467" s="29" t="s">
        <v>56</v>
      </c>
      <c r="L467" s="3" t="s">
        <v>1614</v>
      </c>
      <c r="M467" s="27">
        <v>100000</v>
      </c>
      <c r="N467" s="17" t="s">
        <v>1615</v>
      </c>
      <c r="O467" s="42">
        <v>24</v>
      </c>
      <c r="P467" s="17" t="s">
        <v>56</v>
      </c>
      <c r="Q467" s="17">
        <v>2025</v>
      </c>
      <c r="R467" s="17" t="s">
        <v>1616</v>
      </c>
      <c r="S467" s="17" t="s">
        <v>507</v>
      </c>
      <c r="T467" s="39">
        <v>45677</v>
      </c>
      <c r="U467" s="3" t="s">
        <v>1116</v>
      </c>
      <c r="V467" s="18"/>
      <c r="W467" s="17"/>
      <c r="X467" s="18" t="s">
        <v>1617</v>
      </c>
      <c r="Y467" s="4"/>
    </row>
    <row r="468" spans="1:25">
      <c r="A468" s="3">
        <v>467</v>
      </c>
      <c r="B468" s="17" t="s">
        <v>1589</v>
      </c>
      <c r="C468" s="3" t="s">
        <v>347</v>
      </c>
      <c r="D468" s="3" t="s">
        <v>348</v>
      </c>
      <c r="E468" s="3" t="s">
        <v>349</v>
      </c>
      <c r="F468" s="3" t="s">
        <v>350</v>
      </c>
      <c r="G468" s="3" t="s">
        <v>35</v>
      </c>
      <c r="H468" s="3">
        <f>VALUE(MID(LEFT(Table1[[#This Row],[Unique ID]], FIND("/", Table1[[#This Row],[Unique ID]]) - 1), 2, LEN(Table1[[#This Row],[Unique ID]])))</f>
        <v>6</v>
      </c>
      <c r="I468" s="3" t="s">
        <v>36</v>
      </c>
      <c r="J468" s="3"/>
      <c r="K468" s="29" t="s">
        <v>56</v>
      </c>
      <c r="L468" s="3" t="s">
        <v>1618</v>
      </c>
      <c r="M468" s="26">
        <v>13425</v>
      </c>
      <c r="N468" s="17" t="s">
        <v>1619</v>
      </c>
      <c r="O468" s="42">
        <v>24</v>
      </c>
      <c r="P468" s="17" t="s">
        <v>56</v>
      </c>
      <c r="Q468" s="17">
        <v>2025</v>
      </c>
      <c r="R468" s="17" t="s">
        <v>1620</v>
      </c>
      <c r="S468" s="17" t="s">
        <v>507</v>
      </c>
      <c r="T468" s="39">
        <v>45870</v>
      </c>
      <c r="U468" s="3" t="s">
        <v>1116</v>
      </c>
      <c r="V468" s="18"/>
      <c r="W468" s="17"/>
      <c r="X468" s="18" t="s">
        <v>1621</v>
      </c>
      <c r="Y468" s="4"/>
    </row>
    <row r="469" spans="1:25">
      <c r="A469" s="3">
        <v>468</v>
      </c>
      <c r="B469" s="28" t="s">
        <v>1589</v>
      </c>
      <c r="C469" s="28" t="s">
        <v>89</v>
      </c>
      <c r="D469" s="28" t="s">
        <v>90</v>
      </c>
      <c r="E469" s="28" t="s">
        <v>91</v>
      </c>
      <c r="F469" s="28" t="s">
        <v>92</v>
      </c>
      <c r="G469" s="28" t="s">
        <v>61</v>
      </c>
      <c r="H469" s="28">
        <f>VALUE(MID(LEFT(Table1[[#This Row],[Unique ID]], FIND("/", Table1[[#This Row],[Unique ID]]) - 1), 2, LEN(Table1[[#This Row],[Unique ID]])))</f>
        <v>7</v>
      </c>
      <c r="I469" s="28" t="s">
        <v>93</v>
      </c>
      <c r="J469" s="17"/>
      <c r="K469" s="29" t="s">
        <v>56</v>
      </c>
      <c r="L469" s="3" t="s">
        <v>1622</v>
      </c>
      <c r="M469" s="26">
        <v>190000</v>
      </c>
      <c r="N469" s="17" t="s">
        <v>1619</v>
      </c>
      <c r="O469" s="42">
        <v>12</v>
      </c>
      <c r="P469" s="17" t="s">
        <v>56</v>
      </c>
      <c r="Q469" s="17">
        <v>2025</v>
      </c>
      <c r="R469" s="17" t="s">
        <v>1623</v>
      </c>
      <c r="S469" s="17" t="s">
        <v>507</v>
      </c>
      <c r="T469" s="39">
        <v>45685</v>
      </c>
      <c r="U469" s="3" t="s">
        <v>1105</v>
      </c>
      <c r="V469" s="18"/>
      <c r="W469" s="17"/>
      <c r="X469" s="18" t="s">
        <v>1624</v>
      </c>
      <c r="Y469" s="4"/>
    </row>
    <row r="470" spans="1:25">
      <c r="A470" s="3">
        <v>469</v>
      </c>
      <c r="B470" s="28" t="s">
        <v>1589</v>
      </c>
      <c r="C470" s="28" t="s">
        <v>1482</v>
      </c>
      <c r="D470" s="28" t="s">
        <v>1483</v>
      </c>
      <c r="E470" s="28" t="s">
        <v>1484</v>
      </c>
      <c r="F470" s="17" t="s">
        <v>1485</v>
      </c>
      <c r="G470" s="17" t="s">
        <v>61</v>
      </c>
      <c r="H470" s="17">
        <f>VALUE(MID(LEFT(Table1[[#This Row],[Unique ID]], FIND("/", Table1[[#This Row],[Unique ID]]) - 1), 2, LEN(Table1[[#This Row],[Unique ID]])))</f>
        <v>4</v>
      </c>
      <c r="I470" s="17" t="s">
        <v>229</v>
      </c>
      <c r="J470" s="17"/>
      <c r="K470" s="29" t="s">
        <v>56</v>
      </c>
      <c r="L470" s="17" t="s">
        <v>1625</v>
      </c>
      <c r="M470" s="26">
        <v>22000</v>
      </c>
      <c r="N470" s="17" t="s">
        <v>1626</v>
      </c>
      <c r="O470" s="42">
        <v>24</v>
      </c>
      <c r="P470" s="17" t="s">
        <v>56</v>
      </c>
      <c r="Q470" s="17">
        <v>2025</v>
      </c>
      <c r="R470" s="17" t="s">
        <v>1627</v>
      </c>
      <c r="S470" s="17" t="s">
        <v>507</v>
      </c>
      <c r="T470" s="39">
        <v>45798</v>
      </c>
      <c r="U470" s="3" t="s">
        <v>1105</v>
      </c>
      <c r="V470" s="18"/>
      <c r="W470" s="17"/>
      <c r="X470" s="18" t="s">
        <v>1628</v>
      </c>
      <c r="Y470" s="4"/>
    </row>
    <row r="471" spans="1:25">
      <c r="A471" s="3">
        <v>470</v>
      </c>
      <c r="B471" s="28" t="s">
        <v>1589</v>
      </c>
      <c r="C471" s="28" t="s">
        <v>1629</v>
      </c>
      <c r="D471" s="28" t="s">
        <v>1630</v>
      </c>
      <c r="E471" s="28" t="s">
        <v>1631</v>
      </c>
      <c r="F471" s="55" t="s">
        <v>1632</v>
      </c>
      <c r="G471" s="17" t="s">
        <v>61</v>
      </c>
      <c r="H471" s="17">
        <f>VALUE(MID(LEFT(Table1[[#This Row],[Unique ID]], FIND("/", Table1[[#This Row],[Unique ID]]) - 1), 2, LEN(Table1[[#This Row],[Unique ID]])))</f>
        <v>9</v>
      </c>
      <c r="I471" s="17" t="s">
        <v>36</v>
      </c>
      <c r="J471" s="17"/>
      <c r="K471" s="29" t="s">
        <v>56</v>
      </c>
      <c r="L471" s="17" t="s">
        <v>1633</v>
      </c>
      <c r="M471" s="26">
        <v>7244.36</v>
      </c>
      <c r="N471" s="17" t="s">
        <v>1634</v>
      </c>
      <c r="O471" s="42">
        <v>12</v>
      </c>
      <c r="P471" s="17" t="s">
        <v>56</v>
      </c>
      <c r="Q471" s="17">
        <v>2024</v>
      </c>
      <c r="R471" s="17" t="s">
        <v>1635</v>
      </c>
      <c r="S471" s="17" t="s">
        <v>507</v>
      </c>
      <c r="T471" s="39"/>
      <c r="U471" s="18"/>
      <c r="V471" s="18"/>
      <c r="W471" s="17"/>
      <c r="X471" s="18"/>
      <c r="Y471" s="4"/>
    </row>
    <row r="472" spans="1:25">
      <c r="A472" s="3">
        <v>471</v>
      </c>
      <c r="B472" s="28" t="s">
        <v>1589</v>
      </c>
      <c r="C472" s="56" t="s">
        <v>1578</v>
      </c>
      <c r="D472" s="17" t="s">
        <v>1579</v>
      </c>
      <c r="E472" s="17" t="s">
        <v>1580</v>
      </c>
      <c r="F472" s="17" t="s">
        <v>1581</v>
      </c>
      <c r="G472" s="17" t="s">
        <v>61</v>
      </c>
      <c r="H472" s="17">
        <f>VALUE(MID(LEFT(Table1[[#This Row],[Unique ID]], FIND("/", Table1[[#This Row],[Unique ID]]) - 1), 2, LEN(Table1[[#This Row],[Unique ID]])))</f>
        <v>9</v>
      </c>
      <c r="I472" s="17" t="s">
        <v>86</v>
      </c>
      <c r="J472" s="17"/>
      <c r="K472" s="17" t="s">
        <v>160</v>
      </c>
      <c r="L472" s="17" t="s">
        <v>1636</v>
      </c>
      <c r="M472" s="26">
        <v>157</v>
      </c>
      <c r="N472" s="17" t="s">
        <v>1637</v>
      </c>
      <c r="O472" s="17">
        <v>1</v>
      </c>
      <c r="P472" s="17" t="s">
        <v>160</v>
      </c>
      <c r="Q472" s="17">
        <v>2025</v>
      </c>
      <c r="R472" s="17"/>
      <c r="S472" s="17" t="s">
        <v>507</v>
      </c>
      <c r="T472" s="39">
        <v>45758</v>
      </c>
      <c r="U472" s="18"/>
      <c r="V472" s="18"/>
      <c r="W472" s="17"/>
      <c r="X472" s="18" t="s">
        <v>1638</v>
      </c>
      <c r="Y472" s="4"/>
    </row>
    <row r="473" spans="1:25">
      <c r="A473" s="3">
        <v>472</v>
      </c>
      <c r="B473" s="28" t="s">
        <v>1589</v>
      </c>
      <c r="C473" s="17" t="s">
        <v>863</v>
      </c>
      <c r="D473" s="17" t="s">
        <v>864</v>
      </c>
      <c r="E473" s="17" t="s">
        <v>865</v>
      </c>
      <c r="F473" s="17" t="s">
        <v>866</v>
      </c>
      <c r="G473" s="17" t="s">
        <v>35</v>
      </c>
      <c r="H473" s="17">
        <f>VALUE(MID(LEFT(Table1[[#This Row],[Unique ID]], FIND("/", Table1[[#This Row],[Unique ID]]) - 1), 2, LEN(Table1[[#This Row],[Unique ID]])))</f>
        <v>9</v>
      </c>
      <c r="I473" s="17" t="s">
        <v>93</v>
      </c>
      <c r="J473" s="17" t="s">
        <v>93</v>
      </c>
      <c r="K473" s="17" t="s">
        <v>160</v>
      </c>
      <c r="L473" s="17" t="s">
        <v>1639</v>
      </c>
      <c r="M473" s="26">
        <v>5000</v>
      </c>
      <c r="N473" s="17" t="s">
        <v>1640</v>
      </c>
      <c r="O473" s="17"/>
      <c r="P473" s="17" t="s">
        <v>160</v>
      </c>
      <c r="Q473" s="17">
        <v>2025</v>
      </c>
      <c r="R473" s="17"/>
      <c r="S473" s="17" t="s">
        <v>507</v>
      </c>
      <c r="T473" s="57"/>
      <c r="U473" s="18"/>
      <c r="V473" s="18"/>
      <c r="W473" s="17"/>
      <c r="X473" s="18" t="s">
        <v>1641</v>
      </c>
      <c r="Y473" s="4"/>
    </row>
    <row r="474" spans="1:25">
      <c r="A474" s="3">
        <v>473</v>
      </c>
      <c r="B474" s="28" t="s">
        <v>1589</v>
      </c>
      <c r="C474" s="29" t="s">
        <v>1550</v>
      </c>
      <c r="D474" s="29" t="s">
        <v>1551</v>
      </c>
      <c r="E474" s="29" t="s">
        <v>1552</v>
      </c>
      <c r="F474" s="29" t="s">
        <v>1553</v>
      </c>
      <c r="G474" s="29" t="s">
        <v>61</v>
      </c>
      <c r="H474" s="29">
        <f>VALUE(MID(LEFT(Table1[[#This Row],[Unique ID]], FIND("/", Table1[[#This Row],[Unique ID]]) - 1), 2, LEN(Table1[[#This Row],[Unique ID]])))</f>
        <v>10</v>
      </c>
      <c r="I474" s="29" t="s">
        <v>36</v>
      </c>
      <c r="J474" s="29" t="s">
        <v>36</v>
      </c>
      <c r="K474" s="29" t="s">
        <v>1642</v>
      </c>
      <c r="L474" s="17" t="s">
        <v>1643</v>
      </c>
      <c r="M474" s="26">
        <v>2500</v>
      </c>
      <c r="N474" s="17" t="s">
        <v>283</v>
      </c>
      <c r="O474" s="17">
        <v>12</v>
      </c>
      <c r="P474" s="17" t="s">
        <v>56</v>
      </c>
      <c r="Q474" s="17">
        <v>2025</v>
      </c>
      <c r="R474" s="17" t="s">
        <v>1644</v>
      </c>
      <c r="S474" s="17" t="s">
        <v>43</v>
      </c>
      <c r="T474" s="39">
        <v>45803</v>
      </c>
      <c r="U474" s="3" t="s">
        <v>1105</v>
      </c>
      <c r="V474" s="18"/>
      <c r="W474" s="17"/>
      <c r="X474" s="18" t="s">
        <v>1645</v>
      </c>
      <c r="Y474" s="4"/>
    </row>
    <row r="475" spans="1:25">
      <c r="A475" s="3">
        <v>474</v>
      </c>
      <c r="B475" s="29" t="s">
        <v>1589</v>
      </c>
      <c r="C475" s="29" t="s">
        <v>89</v>
      </c>
      <c r="D475" s="29" t="s">
        <v>90</v>
      </c>
      <c r="E475" s="29" t="s">
        <v>91</v>
      </c>
      <c r="F475" s="29" t="s">
        <v>92</v>
      </c>
      <c r="G475" s="29" t="s">
        <v>61</v>
      </c>
      <c r="H475" s="29">
        <f>VALUE(MID(LEFT(Table1[[#This Row],[Unique ID]], FIND("/", Table1[[#This Row],[Unique ID]]) - 1), 2, LEN(Table1[[#This Row],[Unique ID]])))</f>
        <v>7</v>
      </c>
      <c r="I475" s="29" t="s">
        <v>93</v>
      </c>
      <c r="J475" s="17"/>
      <c r="K475" s="29" t="s">
        <v>56</v>
      </c>
      <c r="L475" s="3" t="s">
        <v>1646</v>
      </c>
      <c r="M475" s="26">
        <v>39000</v>
      </c>
      <c r="N475" s="17" t="s">
        <v>1619</v>
      </c>
      <c r="O475" s="42">
        <v>12</v>
      </c>
      <c r="P475" s="17" t="s">
        <v>56</v>
      </c>
      <c r="Q475" s="17">
        <v>2025</v>
      </c>
      <c r="R475" s="17" t="s">
        <v>1647</v>
      </c>
      <c r="S475" s="17" t="s">
        <v>507</v>
      </c>
      <c r="T475" s="39">
        <v>45807</v>
      </c>
      <c r="U475" s="3" t="s">
        <v>1105</v>
      </c>
      <c r="V475" s="18"/>
      <c r="W475" s="17"/>
      <c r="X475" s="18" t="s">
        <v>1648</v>
      </c>
      <c r="Y475" s="4"/>
    </row>
    <row r="476" spans="1:25">
      <c r="A476" s="3">
        <v>475</v>
      </c>
      <c r="B476" s="17" t="s">
        <v>1589</v>
      </c>
      <c r="C476" s="29" t="s">
        <v>631</v>
      </c>
      <c r="D476" s="29" t="s">
        <v>632</v>
      </c>
      <c r="E476" s="29" t="s">
        <v>1380</v>
      </c>
      <c r="F476" s="29" t="s">
        <v>634</v>
      </c>
      <c r="G476" s="29" t="s">
        <v>61</v>
      </c>
      <c r="H476" s="17">
        <f>VALUE(MID(LEFT(Table1[[#This Row],[Unique ID]], FIND("/", Table1[[#This Row],[Unique ID]]) - 1), 2, LEN(Table1[[#This Row],[Unique ID]])))</f>
        <v>9</v>
      </c>
      <c r="I476" s="29" t="s">
        <v>589</v>
      </c>
      <c r="J476" s="17"/>
      <c r="K476" s="29" t="s">
        <v>1610</v>
      </c>
      <c r="L476" s="17" t="s">
        <v>1649</v>
      </c>
      <c r="M476" s="26">
        <v>2000</v>
      </c>
      <c r="N476" s="17" t="s">
        <v>1650</v>
      </c>
      <c r="O476" s="42">
        <v>1</v>
      </c>
      <c r="P476" s="3" t="s">
        <v>42</v>
      </c>
      <c r="Q476" s="17">
        <v>2025</v>
      </c>
      <c r="R476" s="17"/>
      <c r="S476" s="17" t="s">
        <v>507</v>
      </c>
      <c r="T476" s="39">
        <v>45658</v>
      </c>
      <c r="U476" s="18"/>
      <c r="V476" s="18"/>
      <c r="W476" s="17"/>
      <c r="X476" s="18" t="s">
        <v>1651</v>
      </c>
      <c r="Y476" s="4"/>
    </row>
    <row r="477" spans="1:25">
      <c r="A477" s="3">
        <v>476</v>
      </c>
      <c r="B477" s="17" t="s">
        <v>1589</v>
      </c>
      <c r="C477" s="17" t="s">
        <v>1043</v>
      </c>
      <c r="D477" s="17" t="s">
        <v>1044</v>
      </c>
      <c r="E477" s="17" t="s">
        <v>1045</v>
      </c>
      <c r="F477" s="17" t="s">
        <v>1046</v>
      </c>
      <c r="G477" s="17" t="s">
        <v>35</v>
      </c>
      <c r="H477" s="17">
        <f>VALUE(MID(LEFT(Table1[[#This Row],[Unique ID]], FIND("/", Table1[[#This Row],[Unique ID]]) - 1), 2, LEN(Table1[[#This Row],[Unique ID]])))</f>
        <v>10</v>
      </c>
      <c r="I477" s="17" t="s">
        <v>110</v>
      </c>
      <c r="J477" s="17" t="s">
        <v>589</v>
      </c>
      <c r="K477" s="29" t="s">
        <v>56</v>
      </c>
      <c r="L477" s="17" t="s">
        <v>1652</v>
      </c>
      <c r="M477" s="26">
        <v>5000</v>
      </c>
      <c r="N477" s="17" t="s">
        <v>1653</v>
      </c>
      <c r="O477" s="42">
        <v>12</v>
      </c>
      <c r="P477" s="17" t="s">
        <v>56</v>
      </c>
      <c r="Q477" s="17">
        <v>2025</v>
      </c>
      <c r="R477" s="17"/>
      <c r="S477" s="17" t="s">
        <v>507</v>
      </c>
      <c r="T477" s="39">
        <v>45809</v>
      </c>
      <c r="U477" s="3" t="s">
        <v>1105</v>
      </c>
      <c r="V477" s="18"/>
      <c r="W477" s="17"/>
      <c r="X477" s="18" t="s">
        <v>1654</v>
      </c>
      <c r="Y477" s="4"/>
    </row>
    <row r="478" spans="1:25">
      <c r="A478" s="3">
        <v>477</v>
      </c>
      <c r="B478" s="17" t="s">
        <v>1589</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17" t="s">
        <v>1655</v>
      </c>
      <c r="L478" s="17" t="s">
        <v>1656</v>
      </c>
      <c r="M478" s="26">
        <v>7500</v>
      </c>
      <c r="N478" s="17" t="s">
        <v>1657</v>
      </c>
      <c r="O478" s="42">
        <v>8</v>
      </c>
      <c r="P478" s="17" t="s">
        <v>1655</v>
      </c>
      <c r="Q478" s="17">
        <v>2025</v>
      </c>
      <c r="R478" s="17"/>
      <c r="S478" s="17" t="s">
        <v>507</v>
      </c>
      <c r="T478" s="39">
        <v>45809</v>
      </c>
      <c r="U478" s="18"/>
      <c r="V478" s="18"/>
      <c r="W478" s="17"/>
      <c r="X478" s="18" t="s">
        <v>1658</v>
      </c>
      <c r="Y478" s="4"/>
    </row>
    <row r="479" spans="1:25">
      <c r="A479" s="3">
        <v>478</v>
      </c>
      <c r="B479" s="17" t="s">
        <v>1589</v>
      </c>
      <c r="C479" s="17" t="s">
        <v>641</v>
      </c>
      <c r="D479" s="17" t="s">
        <v>642</v>
      </c>
      <c r="E479" s="17" t="s">
        <v>643</v>
      </c>
      <c r="F479" s="17" t="s">
        <v>644</v>
      </c>
      <c r="G479" s="17" t="s">
        <v>61</v>
      </c>
      <c r="H479" s="17">
        <f>VALUE(MID(LEFT(Table1[[#This Row],[Unique ID]], FIND("/", Table1[[#This Row],[Unique ID]]) - 1), 2, LEN(Table1[[#This Row],[Unique ID]])))</f>
        <v>9</v>
      </c>
      <c r="I479" s="17" t="s">
        <v>37</v>
      </c>
      <c r="J479" s="17" t="s">
        <v>37</v>
      </c>
      <c r="K479" s="29" t="s">
        <v>56</v>
      </c>
      <c r="L479" s="17" t="s">
        <v>1659</v>
      </c>
      <c r="M479" s="26">
        <v>73690</v>
      </c>
      <c r="N479" s="17" t="s">
        <v>1660</v>
      </c>
      <c r="O479" s="3">
        <v>24</v>
      </c>
      <c r="P479" s="17" t="s">
        <v>56</v>
      </c>
      <c r="Q479" s="17">
        <v>2025</v>
      </c>
      <c r="R479" s="17" t="s">
        <v>1661</v>
      </c>
      <c r="S479" s="17" t="s">
        <v>507</v>
      </c>
      <c r="T479" s="39">
        <v>45901</v>
      </c>
      <c r="U479" s="3" t="s">
        <v>1105</v>
      </c>
      <c r="V479" s="18"/>
      <c r="W479" s="17"/>
      <c r="X479" s="18" t="s">
        <v>1662</v>
      </c>
      <c r="Y479" s="4"/>
    </row>
    <row r="480" spans="1:25" ht="15">
      <c r="A480" s="3">
        <v>479</v>
      </c>
      <c r="B480" s="17" t="s">
        <v>1663</v>
      </c>
      <c r="C480" s="3" t="s">
        <v>1664</v>
      </c>
      <c r="D480" s="3" t="s">
        <v>1665</v>
      </c>
      <c r="E480" s="3" t="s">
        <v>1666</v>
      </c>
      <c r="F480" s="3" t="s">
        <v>1553</v>
      </c>
      <c r="G480" s="3" t="s">
        <v>61</v>
      </c>
      <c r="H480" s="59">
        <f>VALUE(MID(LEFT(Table1[[#This Row],[Unique ID]], FIND("/", Table1[[#This Row],[Unique ID]]) - 1), 2, LEN(Table1[[#This Row],[Unique ID]])))</f>
        <v>11</v>
      </c>
      <c r="I480" s="59" t="s">
        <v>37</v>
      </c>
      <c r="J480" s="59" t="s">
        <v>37</v>
      </c>
      <c r="K480" s="59" t="s">
        <v>56</v>
      </c>
      <c r="L480" s="59" t="s">
        <v>1667</v>
      </c>
      <c r="M480" s="59">
        <v>50000</v>
      </c>
      <c r="N480" s="59" t="s">
        <v>1668</v>
      </c>
      <c r="O480" s="59">
        <v>12</v>
      </c>
      <c r="P480" s="60"/>
      <c r="Q480" s="17">
        <v>2025</v>
      </c>
      <c r="R480" s="59" t="s">
        <v>1669</v>
      </c>
      <c r="S480" s="17" t="s">
        <v>43</v>
      </c>
      <c r="T480" s="39">
        <v>45901</v>
      </c>
      <c r="U480" s="59" t="s">
        <v>1105</v>
      </c>
      <c r="V480" s="59"/>
      <c r="W480" s="59"/>
      <c r="X480" s="4" t="s">
        <v>1670</v>
      </c>
      <c r="Y480" s="4"/>
    </row>
    <row r="481" spans="1:25" ht="15">
      <c r="A481" s="3">
        <v>480</v>
      </c>
      <c r="B481" s="17" t="s">
        <v>1663</v>
      </c>
      <c r="C481" s="17" t="s">
        <v>1671</v>
      </c>
      <c r="D481" s="17" t="s">
        <v>1672</v>
      </c>
      <c r="E481" s="17" t="s">
        <v>1206</v>
      </c>
      <c r="F481" s="17" t="s">
        <v>1673</v>
      </c>
      <c r="G481" s="17" t="s">
        <v>61</v>
      </c>
      <c r="H481" s="59">
        <f>VALUE(MID(LEFT(Table1[[#This Row],[Unique ID]], FIND("/", Table1[[#This Row],[Unique ID]]) - 1), 2, LEN(Table1[[#This Row],[Unique ID]])))</f>
        <v>11</v>
      </c>
      <c r="I481" s="59" t="s">
        <v>86</v>
      </c>
      <c r="J481" s="59" t="s">
        <v>86</v>
      </c>
      <c r="K481" s="59" t="s">
        <v>160</v>
      </c>
      <c r="L481" s="59" t="s">
        <v>1674</v>
      </c>
      <c r="M481" s="59">
        <v>7500</v>
      </c>
      <c r="N481" s="59" t="s">
        <v>1675</v>
      </c>
      <c r="O481" s="59">
        <v>12</v>
      </c>
      <c r="P481" s="61"/>
      <c r="Q481" s="17">
        <v>2025</v>
      </c>
      <c r="R481" s="59"/>
      <c r="S481" s="17" t="s">
        <v>43</v>
      </c>
      <c r="T481" s="39">
        <v>45905</v>
      </c>
      <c r="U481" s="59"/>
      <c r="V481" s="59"/>
      <c r="W481" s="59"/>
      <c r="X481" s="59"/>
      <c r="Y481" s="18"/>
    </row>
    <row r="482" spans="1:25" ht="15">
      <c r="A482" s="3">
        <v>481</v>
      </c>
      <c r="B482" s="17" t="s">
        <v>1663</v>
      </c>
      <c r="C482" s="3" t="s">
        <v>774</v>
      </c>
      <c r="D482" s="17" t="s">
        <v>1676</v>
      </c>
      <c r="E482" s="17" t="s">
        <v>1677</v>
      </c>
      <c r="F482" s="17" t="s">
        <v>775</v>
      </c>
      <c r="G482" s="3" t="s">
        <v>61</v>
      </c>
      <c r="H482" s="3">
        <f>VALUE(MID(LEFT(Table1[[#This Row],[Unique ID]], FIND("/", Table1[[#This Row],[Unique ID]]) - 1), 2, LEN(Table1[[#This Row],[Unique ID]])))</f>
        <v>3</v>
      </c>
      <c r="I482" s="3" t="s">
        <v>36</v>
      </c>
      <c r="J482" s="3"/>
      <c r="K482" s="3" t="s">
        <v>56</v>
      </c>
      <c r="L482" s="3" t="s">
        <v>283</v>
      </c>
      <c r="M482" s="3">
        <v>27754</v>
      </c>
      <c r="N482" s="3" t="s">
        <v>1678</v>
      </c>
      <c r="O482" s="3">
        <v>2</v>
      </c>
      <c r="P482" s="3">
        <v>2</v>
      </c>
      <c r="Q482" s="17">
        <v>2025</v>
      </c>
      <c r="R482" s="3" t="s">
        <v>1679</v>
      </c>
      <c r="S482" s="17" t="s">
        <v>507</v>
      </c>
      <c r="T482" s="14">
        <v>46037</v>
      </c>
      <c r="U482" s="3" t="s">
        <v>1116</v>
      </c>
      <c r="V482" s="4"/>
      <c r="W482" s="3"/>
      <c r="X482" s="3" t="s">
        <v>1680</v>
      </c>
      <c r="Y482" s="4"/>
    </row>
    <row r="483" spans="1:25" ht="15">
      <c r="A483" s="3">
        <v>482</v>
      </c>
      <c r="B483" s="17" t="s">
        <v>1663</v>
      </c>
      <c r="C483" s="3" t="s">
        <v>303</v>
      </c>
      <c r="D483" s="17" t="s">
        <v>304</v>
      </c>
      <c r="E483" s="17" t="s">
        <v>1681</v>
      </c>
      <c r="F483" s="17" t="s">
        <v>305</v>
      </c>
      <c r="G483" s="3" t="s">
        <v>35</v>
      </c>
      <c r="H483" s="3">
        <f>VALUE(MID(LEFT(Table1[[#This Row],[Unique ID]], FIND("/", Table1[[#This Row],[Unique ID]]) - 1), 2, LEN(Table1[[#This Row],[Unique ID]])))</f>
        <v>4</v>
      </c>
      <c r="I483" s="3" t="s">
        <v>76</v>
      </c>
      <c r="J483" s="3"/>
      <c r="K483" s="3" t="s">
        <v>56</v>
      </c>
      <c r="L483" s="3" t="s">
        <v>1682</v>
      </c>
      <c r="M483" s="3">
        <v>54000</v>
      </c>
      <c r="N483" s="3" t="s">
        <v>1683</v>
      </c>
      <c r="O483" s="3">
        <v>12</v>
      </c>
      <c r="P483" s="3">
        <v>12</v>
      </c>
      <c r="Q483" s="17">
        <v>2025</v>
      </c>
      <c r="R483" s="3" t="s">
        <v>1684</v>
      </c>
      <c r="S483" s="17" t="s">
        <v>507</v>
      </c>
      <c r="T483" s="14">
        <v>45968</v>
      </c>
      <c r="U483" s="3" t="s">
        <v>1116</v>
      </c>
      <c r="V483" s="4"/>
      <c r="W483" s="3"/>
      <c r="X483" s="3" t="s">
        <v>1685</v>
      </c>
      <c r="Y483" s="4"/>
    </row>
    <row r="484" spans="1:25" ht="15">
      <c r="A484" s="3">
        <v>483</v>
      </c>
      <c r="B484" s="17" t="s">
        <v>1663</v>
      </c>
      <c r="C484" s="3" t="s">
        <v>716</v>
      </c>
      <c r="D484" s="17" t="s">
        <v>717</v>
      </c>
      <c r="E484" s="17" t="s">
        <v>718</v>
      </c>
      <c r="F484" s="17" t="s">
        <v>719</v>
      </c>
      <c r="G484" s="3" t="s">
        <v>61</v>
      </c>
      <c r="H484" s="3">
        <f>VALUE(MID(LEFT(Table1[[#This Row],[Unique ID]], FIND("/", Table1[[#This Row],[Unique ID]]) - 1), 2, LEN(Table1[[#This Row],[Unique ID]])))</f>
        <v>3</v>
      </c>
      <c r="I484" s="3" t="s">
        <v>229</v>
      </c>
      <c r="J484" s="3"/>
      <c r="K484" s="3" t="s">
        <v>876</v>
      </c>
      <c r="L484" s="3" t="s">
        <v>1686</v>
      </c>
      <c r="M484" s="3">
        <v>2000</v>
      </c>
      <c r="N484" s="3" t="s">
        <v>1687</v>
      </c>
      <c r="O484" s="3">
        <v>1</v>
      </c>
      <c r="P484" s="3">
        <v>1</v>
      </c>
      <c r="Q484" s="17">
        <v>2025</v>
      </c>
      <c r="R484" s="3"/>
      <c r="S484" s="17" t="s">
        <v>507</v>
      </c>
      <c r="T484" s="14">
        <v>45966</v>
      </c>
      <c r="U484" s="3"/>
      <c r="V484" s="4"/>
      <c r="W484" s="3"/>
      <c r="X484" s="3" t="s">
        <v>1688</v>
      </c>
      <c r="Y484" s="4"/>
    </row>
    <row r="485" spans="1:25" ht="15">
      <c r="A485" s="3">
        <v>484</v>
      </c>
      <c r="B485" s="17" t="s">
        <v>1663</v>
      </c>
      <c r="C485" s="3" t="s">
        <v>1174</v>
      </c>
      <c r="D485" s="17" t="s">
        <v>1689</v>
      </c>
      <c r="E485" s="17" t="s">
        <v>1690</v>
      </c>
      <c r="F485" s="17" t="s">
        <v>1500</v>
      </c>
      <c r="G485" s="3" t="s">
        <v>61</v>
      </c>
      <c r="H485" s="3">
        <f>VALUE(MID(LEFT(Table1[[#This Row],[Unique ID]], FIND("/", Table1[[#This Row],[Unique ID]]) - 1), 2, LEN(Table1[[#This Row],[Unique ID]])))</f>
        <v>8</v>
      </c>
      <c r="I485" s="3" t="s">
        <v>36</v>
      </c>
      <c r="J485" s="3"/>
      <c r="K485" s="3" t="s">
        <v>56</v>
      </c>
      <c r="L485" s="3" t="s">
        <v>1691</v>
      </c>
      <c r="M485" s="3">
        <v>15000</v>
      </c>
      <c r="N485" s="3" t="s">
        <v>1692</v>
      </c>
      <c r="O485" s="3">
        <v>12</v>
      </c>
      <c r="P485" s="3">
        <v>12</v>
      </c>
      <c r="Q485" s="17">
        <v>2025</v>
      </c>
      <c r="R485" s="3" t="s">
        <v>1693</v>
      </c>
      <c r="S485" s="17" t="s">
        <v>507</v>
      </c>
      <c r="T485" s="14">
        <v>45474</v>
      </c>
      <c r="U485" s="3" t="s">
        <v>1105</v>
      </c>
      <c r="V485" s="4"/>
      <c r="W485" s="3"/>
      <c r="X485" s="3"/>
      <c r="Y485" s="4"/>
    </row>
    <row r="486" spans="1:25" ht="15">
      <c r="A486" s="3">
        <v>485</v>
      </c>
      <c r="B486" s="17" t="s">
        <v>1663</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160</v>
      </c>
      <c r="L486" s="3" t="s">
        <v>1694</v>
      </c>
      <c r="M486" s="3">
        <v>1180</v>
      </c>
      <c r="N486" s="3" t="s">
        <v>1695</v>
      </c>
      <c r="O486" s="3">
        <v>1</v>
      </c>
      <c r="P486" s="3">
        <v>1</v>
      </c>
      <c r="Q486" s="17">
        <v>2025</v>
      </c>
      <c r="R486" s="3"/>
      <c r="S486" s="17" t="s">
        <v>507</v>
      </c>
      <c r="T486" s="14">
        <v>45901</v>
      </c>
      <c r="U486" s="3"/>
      <c r="V486" s="4"/>
      <c r="W486" s="3"/>
      <c r="X486" s="3" t="s">
        <v>1696</v>
      </c>
      <c r="Y486" s="4"/>
    </row>
    <row r="487" spans="1:25" ht="15">
      <c r="A487" s="3">
        <v>486</v>
      </c>
      <c r="B487" s="17" t="s">
        <v>1663</v>
      </c>
      <c r="C487" s="3" t="s">
        <v>287</v>
      </c>
      <c r="D487" s="17" t="s">
        <v>1321</v>
      </c>
      <c r="E487" s="17" t="s">
        <v>1322</v>
      </c>
      <c r="F487" s="17" t="s">
        <v>289</v>
      </c>
      <c r="G487" s="3" t="s">
        <v>35</v>
      </c>
      <c r="H487" s="3">
        <f>VALUE(MID(LEFT(Table1[[#This Row],[Unique ID]], FIND("/", Table1[[#This Row],[Unique ID]]) - 1), 2, LEN(Table1[[#This Row],[Unique ID]])))</f>
        <v>6</v>
      </c>
      <c r="I487" s="3" t="s">
        <v>76</v>
      </c>
      <c r="J487" s="3"/>
      <c r="K487" s="3" t="s">
        <v>56</v>
      </c>
      <c r="L487" s="3" t="s">
        <v>1697</v>
      </c>
      <c r="M487" s="3">
        <v>142000</v>
      </c>
      <c r="N487" s="3" t="s">
        <v>1698</v>
      </c>
      <c r="O487" s="3">
        <v>12</v>
      </c>
      <c r="P487" s="3">
        <v>12</v>
      </c>
      <c r="Q487" s="17">
        <v>2025</v>
      </c>
      <c r="R487" s="3" t="s">
        <v>1699</v>
      </c>
      <c r="S487" s="17" t="s">
        <v>507</v>
      </c>
      <c r="T487" s="14">
        <v>45941</v>
      </c>
      <c r="U487" s="3" t="s">
        <v>1116</v>
      </c>
      <c r="V487" s="4"/>
      <c r="W487" s="3"/>
      <c r="X487" s="3" t="s">
        <v>1700</v>
      </c>
      <c r="Y487" s="4"/>
    </row>
    <row r="488" spans="1:25" ht="15">
      <c r="A488" s="3">
        <v>487</v>
      </c>
      <c r="B488" s="17" t="s">
        <v>1663</v>
      </c>
      <c r="C488" s="3" t="s">
        <v>549</v>
      </c>
      <c r="D488" s="17" t="s">
        <v>550</v>
      </c>
      <c r="E488" s="17" t="s">
        <v>551</v>
      </c>
      <c r="F488" s="17" t="s">
        <v>552</v>
      </c>
      <c r="G488" s="3" t="s">
        <v>61</v>
      </c>
      <c r="H488" s="3">
        <f>VALUE(MID(LEFT(Table1[[#This Row],[Unique ID]], FIND("/", Table1[[#This Row],[Unique ID]]) - 1), 2, LEN(Table1[[#This Row],[Unique ID]])))</f>
        <v>8</v>
      </c>
      <c r="I488" s="3" t="s">
        <v>37</v>
      </c>
      <c r="J488" s="3"/>
      <c r="K488" s="3" t="s">
        <v>56</v>
      </c>
      <c r="L488" s="3" t="s">
        <v>1701</v>
      </c>
      <c r="M488" s="3">
        <v>200827</v>
      </c>
      <c r="N488" s="3" t="s">
        <v>1702</v>
      </c>
      <c r="O488" s="3">
        <v>1</v>
      </c>
      <c r="P488" s="3">
        <v>1</v>
      </c>
      <c r="Q488" s="17">
        <v>2025</v>
      </c>
      <c r="R488" s="3" t="s">
        <v>1703</v>
      </c>
      <c r="S488" s="17" t="s">
        <v>507</v>
      </c>
      <c r="T488" s="3"/>
      <c r="U488" s="3" t="s">
        <v>1116</v>
      </c>
      <c r="V488" s="4"/>
      <c r="W488" s="3"/>
      <c r="X488" s="3" t="s">
        <v>1704</v>
      </c>
      <c r="Y488" s="4"/>
    </row>
    <row r="489" spans="1:25" ht="15">
      <c r="A489" s="3">
        <v>488</v>
      </c>
      <c r="B489" s="17" t="s">
        <v>1663</v>
      </c>
      <c r="C489" s="3" t="s">
        <v>879</v>
      </c>
      <c r="D489" s="17" t="s">
        <v>880</v>
      </c>
      <c r="E489" s="17" t="s">
        <v>881</v>
      </c>
      <c r="F489" s="17" t="s">
        <v>882</v>
      </c>
      <c r="G489" s="3" t="s">
        <v>61</v>
      </c>
      <c r="H489" s="3">
        <f>VALUE(MID(LEFT(Table1[[#This Row],[Unique ID]], FIND("/", Table1[[#This Row],[Unique ID]]) - 1), 2, LEN(Table1[[#This Row],[Unique ID]])))</f>
        <v>10</v>
      </c>
      <c r="I489" s="3" t="s">
        <v>86</v>
      </c>
      <c r="J489" s="3"/>
      <c r="K489" s="3" t="s">
        <v>1705</v>
      </c>
      <c r="L489" s="3" t="s">
        <v>1706</v>
      </c>
      <c r="M489" s="3">
        <v>67215.39</v>
      </c>
      <c r="N489" s="3" t="s">
        <v>1556</v>
      </c>
      <c r="O489" s="3">
        <v>6</v>
      </c>
      <c r="P489" s="3">
        <v>6</v>
      </c>
      <c r="Q489" s="17">
        <v>2025</v>
      </c>
      <c r="R489" s="3"/>
      <c r="S489" s="17" t="s">
        <v>507</v>
      </c>
      <c r="T489" s="14">
        <v>46082</v>
      </c>
      <c r="U489" s="3"/>
      <c r="V489" s="4"/>
      <c r="W489" s="3"/>
      <c r="X489" s="3" t="s">
        <v>1707</v>
      </c>
      <c r="Y489" s="4"/>
    </row>
    <row r="490" spans="1:25" ht="15">
      <c r="A490" s="3">
        <v>489</v>
      </c>
      <c r="B490" s="17" t="s">
        <v>1663</v>
      </c>
      <c r="C490" s="3" t="s">
        <v>641</v>
      </c>
      <c r="D490" s="17" t="s">
        <v>642</v>
      </c>
      <c r="E490" s="17" t="s">
        <v>643</v>
      </c>
      <c r="F490" s="17" t="s">
        <v>644</v>
      </c>
      <c r="G490" s="3" t="s">
        <v>61</v>
      </c>
      <c r="H490" s="3">
        <f>VALUE(MID(LEFT(Table1[[#This Row],[Unique ID]], FIND("/", Table1[[#This Row],[Unique ID]]) - 1), 2, LEN(Table1[[#This Row],[Unique ID]])))</f>
        <v>9</v>
      </c>
      <c r="I490" s="3" t="s">
        <v>37</v>
      </c>
      <c r="J490" s="3"/>
      <c r="K490" s="3" t="s">
        <v>1708</v>
      </c>
      <c r="L490" s="3" t="s">
        <v>1709</v>
      </c>
      <c r="M490" s="3">
        <v>10000</v>
      </c>
      <c r="N490" s="3" t="s">
        <v>1710</v>
      </c>
      <c r="O490" s="3">
        <v>6</v>
      </c>
      <c r="P490" s="3">
        <v>6</v>
      </c>
      <c r="Q490" s="17">
        <v>2025</v>
      </c>
      <c r="R490" s="3"/>
      <c r="S490" s="17" t="s">
        <v>507</v>
      </c>
      <c r="T490" s="14">
        <v>45962</v>
      </c>
      <c r="U490" s="3"/>
      <c r="V490" s="4"/>
      <c r="W490" s="3"/>
      <c r="X490" s="3" t="s">
        <v>1711</v>
      </c>
      <c r="Y490" s="4"/>
    </row>
    <row r="491" spans="1:25" ht="15">
      <c r="A491" s="3">
        <v>490</v>
      </c>
      <c r="B491" s="17" t="s">
        <v>1663</v>
      </c>
      <c r="C491" s="3" t="s">
        <v>659</v>
      </c>
      <c r="D491" s="17" t="s">
        <v>660</v>
      </c>
      <c r="E491" s="17" t="s">
        <v>661</v>
      </c>
      <c r="F491" s="17" t="s">
        <v>662</v>
      </c>
      <c r="G491" s="3" t="s">
        <v>61</v>
      </c>
      <c r="H491" s="17">
        <f>VALUE(MID(LEFT(Table1[[#This Row],[Unique ID]], FIND("/", Table1[[#This Row],[Unique ID]]) - 1), 2, LEN(Table1[[#This Row],[Unique ID]])))</f>
        <v>9</v>
      </c>
      <c r="I491" s="29" t="s">
        <v>589</v>
      </c>
      <c r="J491" s="17"/>
      <c r="K491" s="3" t="s">
        <v>56</v>
      </c>
      <c r="L491" s="3" t="s">
        <v>1712</v>
      </c>
      <c r="M491" s="3">
        <v>4500</v>
      </c>
      <c r="N491" s="3" t="s">
        <v>1713</v>
      </c>
      <c r="O491" s="3">
        <v>24</v>
      </c>
      <c r="P491" s="3">
        <v>24</v>
      </c>
      <c r="Q491" s="17">
        <v>2025</v>
      </c>
      <c r="R491" s="3" t="s">
        <v>1714</v>
      </c>
      <c r="S491" s="17" t="s">
        <v>507</v>
      </c>
      <c r="T491" s="14">
        <v>45917</v>
      </c>
      <c r="U491" s="3" t="s">
        <v>1105</v>
      </c>
      <c r="V491" s="18"/>
      <c r="W491" s="17"/>
      <c r="X491" s="3" t="s">
        <v>1715</v>
      </c>
      <c r="Y491" s="18"/>
    </row>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1716</v>
      </c>
    </row>
    <row r="2" spans="1:4">
      <c r="A2" s="5" t="s">
        <v>18</v>
      </c>
      <c r="B2" s="58">
        <v>2025</v>
      </c>
    </row>
    <row r="3" spans="1:4">
      <c r="A3" s="5" t="s">
        <v>20</v>
      </c>
      <c r="B3" t="s">
        <v>507</v>
      </c>
    </row>
    <row r="4" spans="1:4">
      <c r="B4"/>
    </row>
    <row r="5" spans="1:4">
      <c r="A5" s="5" t="s">
        <v>1717</v>
      </c>
      <c r="B5" s="5" t="s">
        <v>8</v>
      </c>
    </row>
    <row r="6" spans="1:4">
      <c r="A6" s="5" t="s">
        <v>4</v>
      </c>
      <c r="B6" t="s">
        <v>61</v>
      </c>
      <c r="C6" t="s">
        <v>35</v>
      </c>
      <c r="D6" t="s">
        <v>1718</v>
      </c>
    </row>
    <row r="7" spans="1:4">
      <c r="A7" t="s">
        <v>89</v>
      </c>
      <c r="B7" s="13">
        <v>229000</v>
      </c>
      <c r="C7" s="13"/>
      <c r="D7" s="13">
        <v>229000</v>
      </c>
    </row>
    <row r="8" spans="1:4">
      <c r="A8" t="s">
        <v>1590</v>
      </c>
      <c r="B8" s="13">
        <v>200000</v>
      </c>
      <c r="C8" s="13"/>
      <c r="D8" s="13">
        <v>200000</v>
      </c>
    </row>
    <row r="9" spans="1:4">
      <c r="A9" t="s">
        <v>303</v>
      </c>
      <c r="B9" s="13"/>
      <c r="C9" s="13">
        <v>101000</v>
      </c>
      <c r="D9" s="13">
        <v>101000</v>
      </c>
    </row>
    <row r="10" spans="1:4">
      <c r="A10" t="s">
        <v>1603</v>
      </c>
      <c r="B10" s="13"/>
      <c r="C10" s="13">
        <v>85000</v>
      </c>
      <c r="D10" s="13">
        <v>85000</v>
      </c>
    </row>
    <row r="11" spans="1:4">
      <c r="A11" t="s">
        <v>641</v>
      </c>
      <c r="B11" s="13">
        <v>73690</v>
      </c>
      <c r="C11" s="13"/>
      <c r="D11" s="13">
        <v>73690</v>
      </c>
    </row>
    <row r="12" spans="1:4">
      <c r="A12" t="s">
        <v>1482</v>
      </c>
      <c r="B12" s="13">
        <v>22000</v>
      </c>
      <c r="C12" s="13"/>
      <c r="D12" s="13">
        <v>22000</v>
      </c>
    </row>
    <row r="13" spans="1:4">
      <c r="A13" t="s">
        <v>347</v>
      </c>
      <c r="B13" s="13"/>
      <c r="C13" s="13">
        <v>13425</v>
      </c>
      <c r="D13" s="13">
        <v>13425</v>
      </c>
    </row>
    <row r="14" spans="1:4">
      <c r="A14" t="s">
        <v>1043</v>
      </c>
      <c r="B14" s="13"/>
      <c r="C14" s="13">
        <v>5000</v>
      </c>
      <c r="D14" s="13">
        <v>5000</v>
      </c>
    </row>
    <row r="15" spans="1:4">
      <c r="A15" t="s">
        <v>863</v>
      </c>
      <c r="B15" s="13"/>
      <c r="C15" s="13">
        <v>5000</v>
      </c>
      <c r="D15" s="13">
        <v>5000</v>
      </c>
    </row>
    <row r="16" spans="1:4">
      <c r="A16" t="s">
        <v>631</v>
      </c>
      <c r="B16" s="13">
        <v>2000</v>
      </c>
      <c r="C16" s="13"/>
      <c r="D16" s="13">
        <v>2000</v>
      </c>
    </row>
    <row r="17" spans="1:4">
      <c r="A17" t="s">
        <v>1578</v>
      </c>
      <c r="B17" s="13">
        <v>157</v>
      </c>
      <c r="C17" s="13"/>
      <c r="D17" s="13">
        <v>157</v>
      </c>
    </row>
    <row r="18" spans="1:4">
      <c r="A18" t="s">
        <v>1718</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B1" workbookViewId="0">
      <selection activeCell="E8" sqref="E8:E16"/>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1719</v>
      </c>
      <c r="C1" t="s">
        <v>1720</v>
      </c>
    </row>
    <row r="2" spans="1:5">
      <c r="A2" s="5" t="s">
        <v>20</v>
      </c>
      <c r="B2" t="s">
        <v>1719</v>
      </c>
    </row>
    <row r="3" spans="1:5">
      <c r="A3" s="5" t="s">
        <v>12</v>
      </c>
      <c r="B3" t="s">
        <v>1719</v>
      </c>
    </row>
    <row r="4" spans="1:5">
      <c r="A4" s="5" t="s">
        <v>3</v>
      </c>
      <c r="B4" t="s">
        <v>1719</v>
      </c>
    </row>
    <row r="6" spans="1:5">
      <c r="A6" s="5" t="s">
        <v>1717</v>
      </c>
      <c r="B6" s="5" t="s">
        <v>8</v>
      </c>
    </row>
    <row r="7" spans="1:5">
      <c r="A7" s="5" t="s">
        <v>18</v>
      </c>
      <c r="B7" t="s">
        <v>61</v>
      </c>
      <c r="C7" t="s">
        <v>35</v>
      </c>
      <c r="D7" t="s">
        <v>29</v>
      </c>
      <c r="E7" t="s">
        <v>1718</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536847</v>
      </c>
      <c r="C17" s="13">
        <v>209425</v>
      </c>
      <c r="D17" s="13">
        <v>0</v>
      </c>
      <c r="E17" s="13">
        <v>746272</v>
      </c>
    </row>
    <row r="18" spans="1:5">
      <c r="A18" t="s">
        <v>1718</v>
      </c>
      <c r="B18" s="13">
        <v>19886632.129999999</v>
      </c>
      <c r="C18" s="13">
        <v>20636198.639999997</v>
      </c>
      <c r="D18" s="13">
        <v>5227040</v>
      </c>
      <c r="E18" s="13">
        <v>45749870.769999996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1719</v>
      </c>
    </row>
    <row r="27" spans="1:5">
      <c r="B27" s="5" t="s">
        <v>8</v>
      </c>
    </row>
    <row r="28" spans="1:5">
      <c r="B28" t="s">
        <v>61</v>
      </c>
      <c r="C28" t="s">
        <v>35</v>
      </c>
      <c r="D28" t="s">
        <v>29</v>
      </c>
      <c r="E28" t="s">
        <v>1718</v>
      </c>
    </row>
    <row r="29" spans="1:5">
      <c r="A29" t="s">
        <v>1717</v>
      </c>
      <c r="B29" s="13">
        <v>19886632.130000003</v>
      </c>
      <c r="C29" s="13">
        <v>20636198.639999997</v>
      </c>
      <c r="D29" s="13">
        <v>5227040</v>
      </c>
      <c r="E29" s="13">
        <v>45749870.769999996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1721</v>
      </c>
    </row>
    <row r="51" spans="1:5">
      <c r="A51" s="10" t="s">
        <v>9</v>
      </c>
      <c r="B51" s="11" t="s">
        <v>1719</v>
      </c>
      <c r="C51" s="11"/>
      <c r="D51" s="11"/>
      <c r="E51" s="11"/>
    </row>
    <row r="52" spans="1:5">
      <c r="A52" s="10" t="s">
        <v>20</v>
      </c>
      <c r="B52" s="11" t="s">
        <v>1719</v>
      </c>
      <c r="C52" s="11"/>
      <c r="D52" s="11"/>
      <c r="E52" s="11" t="s">
        <v>1720</v>
      </c>
    </row>
    <row r="53" spans="1:5">
      <c r="A53" s="10" t="s">
        <v>12</v>
      </c>
      <c r="B53" s="11" t="s">
        <v>1719</v>
      </c>
      <c r="C53" s="11"/>
      <c r="D53" s="11"/>
      <c r="E53" s="11"/>
    </row>
    <row r="54" spans="1:5">
      <c r="A54" s="11"/>
      <c r="B54" s="11"/>
      <c r="C54" s="11"/>
      <c r="D54" s="11"/>
      <c r="E54" s="11"/>
    </row>
    <row r="55" spans="1:5">
      <c r="A55" s="10" t="s">
        <v>1722</v>
      </c>
      <c r="B55" s="10" t="s">
        <v>8</v>
      </c>
      <c r="C55" s="11"/>
      <c r="D55" s="11"/>
      <c r="E55" s="11"/>
    </row>
    <row r="56" spans="1:5">
      <c r="A56" s="10" t="s">
        <v>18</v>
      </c>
      <c r="B56" s="11" t="s">
        <v>61</v>
      </c>
      <c r="C56" s="11" t="s">
        <v>35</v>
      </c>
      <c r="D56" s="11" t="s">
        <v>29</v>
      </c>
      <c r="E56" s="11" t="s">
        <v>1718</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9</v>
      </c>
      <c r="C66" s="11">
        <v>6</v>
      </c>
      <c r="D66" s="11">
        <v>0</v>
      </c>
      <c r="E66" s="11">
        <v>15</v>
      </c>
    </row>
    <row r="67" spans="1:5">
      <c r="A67" s="11" t="s">
        <v>1718</v>
      </c>
      <c r="B67" s="11">
        <v>232</v>
      </c>
      <c r="C67" s="11">
        <v>176</v>
      </c>
      <c r="D67" s="11">
        <v>1</v>
      </c>
      <c r="E67" s="11">
        <v>409</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1716</v>
      </c>
    </row>
    <row r="78" spans="1:5">
      <c r="A78" s="10" t="s">
        <v>12</v>
      </c>
      <c r="B78" s="11" t="s">
        <v>1719</v>
      </c>
      <c r="C78" s="11"/>
      <c r="D78" s="11"/>
    </row>
    <row r="79" spans="1:5">
      <c r="A79" s="10" t="s">
        <v>9</v>
      </c>
      <c r="B79" s="11" t="s">
        <v>1719</v>
      </c>
      <c r="C79" s="11"/>
      <c r="D79" s="11"/>
    </row>
    <row r="80" spans="1:5">
      <c r="A80" s="10" t="s">
        <v>20</v>
      </c>
      <c r="B80" s="11" t="s">
        <v>1719</v>
      </c>
      <c r="C80" s="11"/>
      <c r="D80" s="11"/>
    </row>
    <row r="81" spans="1:4">
      <c r="A81" s="11"/>
      <c r="B81" s="11"/>
      <c r="C81" s="11"/>
      <c r="D81" s="11"/>
    </row>
    <row r="82" spans="1:4">
      <c r="A82" s="10" t="s">
        <v>4</v>
      </c>
      <c r="B82" s="11" t="s">
        <v>1717</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1718</v>
      </c>
      <c r="B134" s="11">
        <v>12225605.810000001</v>
      </c>
    </row>
    <row r="135" spans="1:5">
      <c r="A135" s="11"/>
      <c r="B135" s="11"/>
    </row>
    <row r="136" spans="1:5">
      <c r="A136" s="11"/>
      <c r="B136" s="11"/>
    </row>
    <row r="137" spans="1:5">
      <c r="A137" s="11"/>
      <c r="B137" s="11"/>
    </row>
    <row r="139" spans="1:5">
      <c r="A139" s="5" t="s">
        <v>17</v>
      </c>
      <c r="B139" t="s">
        <v>1719</v>
      </c>
    </row>
    <row r="141" spans="1:5">
      <c r="A141" s="5" t="s">
        <v>1717</v>
      </c>
      <c r="B141" s="5" t="s">
        <v>8</v>
      </c>
    </row>
    <row r="142" spans="1:5">
      <c r="A142" s="5" t="s">
        <v>9</v>
      </c>
      <c r="B142" t="s">
        <v>61</v>
      </c>
      <c r="C142" t="s">
        <v>35</v>
      </c>
      <c r="D142" t="s">
        <v>29</v>
      </c>
      <c r="E142" t="s">
        <v>1718</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1861788.58</v>
      </c>
      <c r="C145" s="13">
        <v>6212395.6400000006</v>
      </c>
      <c r="D145" s="13">
        <v>0</v>
      </c>
      <c r="E145" s="13">
        <v>8074184.2200000007</v>
      </c>
    </row>
    <row r="146" spans="1:5">
      <c r="A146">
        <v>4</v>
      </c>
      <c r="B146" s="13">
        <v>1429257.07</v>
      </c>
      <c r="C146" s="13">
        <v>1045294.73</v>
      </c>
      <c r="D146" s="13">
        <v>0</v>
      </c>
      <c r="E146" s="13">
        <v>2474551.7999999998</v>
      </c>
    </row>
    <row r="147" spans="1:5">
      <c r="A147">
        <v>5</v>
      </c>
      <c r="B147" s="13">
        <v>1099645</v>
      </c>
      <c r="C147" s="13">
        <v>5470609.6200000001</v>
      </c>
      <c r="D147" s="13">
        <v>0</v>
      </c>
      <c r="E147" s="13">
        <v>6570254.6200000001</v>
      </c>
    </row>
    <row r="148" spans="1:5">
      <c r="A148">
        <v>6</v>
      </c>
      <c r="B148" s="13">
        <v>1305809</v>
      </c>
      <c r="C148" s="13">
        <v>1853055.99</v>
      </c>
      <c r="D148" s="13">
        <v>0</v>
      </c>
      <c r="E148" s="13">
        <v>3158864.99</v>
      </c>
    </row>
    <row r="149" spans="1:5">
      <c r="A149">
        <v>7</v>
      </c>
      <c r="B149" s="13">
        <v>5910349.79</v>
      </c>
      <c r="C149" s="13">
        <v>408432.95</v>
      </c>
      <c r="D149" s="13">
        <v>0</v>
      </c>
      <c r="E149" s="13">
        <v>6318782.7400000002</v>
      </c>
    </row>
    <row r="150" spans="1:5">
      <c r="A150">
        <v>8</v>
      </c>
      <c r="B150" s="13">
        <v>1926882.54</v>
      </c>
      <c r="C150" s="13">
        <v>204057.72999999998</v>
      </c>
      <c r="D150" s="13">
        <v>0</v>
      </c>
      <c r="E150" s="13">
        <v>2130940.27</v>
      </c>
    </row>
    <row r="151" spans="1:5">
      <c r="A151">
        <v>9</v>
      </c>
      <c r="B151" s="13">
        <v>318614.94999999995</v>
      </c>
      <c r="C151" s="13">
        <v>2782008.24</v>
      </c>
      <c r="D151" s="13">
        <v>0</v>
      </c>
      <c r="E151" s="13">
        <v>3100623.1900000004</v>
      </c>
    </row>
    <row r="152" spans="1:5">
      <c r="A152">
        <v>10</v>
      </c>
      <c r="B152" s="13">
        <v>613465.19999999995</v>
      </c>
      <c r="C152" s="13">
        <v>1615457.97</v>
      </c>
      <c r="D152" s="13">
        <v>0</v>
      </c>
      <c r="E152" s="13">
        <v>2228923.17</v>
      </c>
    </row>
    <row r="153" spans="1:5">
      <c r="A153">
        <v>2016</v>
      </c>
      <c r="B153" s="13">
        <v>0</v>
      </c>
      <c r="C153" s="13">
        <v>0</v>
      </c>
      <c r="D153" s="13">
        <v>5227040</v>
      </c>
      <c r="E153" s="13">
        <v>5227040</v>
      </c>
    </row>
    <row r="154" spans="1:5">
      <c r="A154" t="s">
        <v>1718</v>
      </c>
      <c r="B154" s="13">
        <v>19886632.129999999</v>
      </c>
      <c r="C154" s="13">
        <v>20636198.640000001</v>
      </c>
      <c r="D154" s="13">
        <v>5227040</v>
      </c>
      <c r="E154" s="13">
        <v>45749870.770000003</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1719</v>
      </c>
    </row>
    <row r="3" spans="2:6">
      <c r="B3" s="5" t="s">
        <v>3</v>
      </c>
      <c r="C3" t="s">
        <v>1716</v>
      </c>
      <c r="F3" t="s">
        <v>1720</v>
      </c>
    </row>
    <row r="4" spans="2:6">
      <c r="B4" s="5" t="s">
        <v>20</v>
      </c>
      <c r="C4" t="s">
        <v>1719</v>
      </c>
    </row>
    <row r="5" spans="2:6">
      <c r="B5" s="5" t="s">
        <v>12</v>
      </c>
      <c r="C5" t="s">
        <v>1719</v>
      </c>
    </row>
    <row r="7" spans="2:6">
      <c r="B7" s="5" t="s">
        <v>1722</v>
      </c>
      <c r="C7" s="5" t="s">
        <v>8</v>
      </c>
    </row>
    <row r="8" spans="2:6">
      <c r="B8" s="5" t="s">
        <v>18</v>
      </c>
      <c r="C8" t="s">
        <v>61</v>
      </c>
      <c r="D8" t="s">
        <v>35</v>
      </c>
      <c r="E8" t="s">
        <v>1718</v>
      </c>
    </row>
    <row r="9" spans="2:6">
      <c r="B9">
        <v>2024</v>
      </c>
      <c r="C9" s="13">
        <v>13</v>
      </c>
      <c r="D9" s="13">
        <v>4</v>
      </c>
      <c r="E9" s="13">
        <v>17</v>
      </c>
    </row>
    <row r="10" spans="2:6">
      <c r="B10">
        <v>2025</v>
      </c>
      <c r="C10" s="13">
        <v>9</v>
      </c>
      <c r="D10" s="13">
        <v>6</v>
      </c>
      <c r="E10" s="13">
        <v>15</v>
      </c>
    </row>
    <row r="11" spans="2:6">
      <c r="B11" t="s">
        <v>1718</v>
      </c>
      <c r="C11" s="13">
        <v>22</v>
      </c>
      <c r="D11" s="13">
        <v>10</v>
      </c>
      <c r="E11" s="13">
        <v>32</v>
      </c>
    </row>
    <row r="23" spans="2:6">
      <c r="B23" s="5" t="s">
        <v>9</v>
      </c>
      <c r="C23" t="s">
        <v>1719</v>
      </c>
    </row>
    <row r="24" spans="2:6">
      <c r="B24" s="5" t="s">
        <v>3</v>
      </c>
      <c r="C24" t="s">
        <v>1719</v>
      </c>
      <c r="F24" t="s">
        <v>1720</v>
      </c>
    </row>
    <row r="25" spans="2:6">
      <c r="B25" s="5" t="s">
        <v>20</v>
      </c>
      <c r="C25" t="s">
        <v>43</v>
      </c>
    </row>
    <row r="26" spans="2:6">
      <c r="B26" s="5" t="s">
        <v>12</v>
      </c>
      <c r="C26" t="s">
        <v>1719</v>
      </c>
    </row>
    <row r="28" spans="2:6">
      <c r="B28" s="5" t="s">
        <v>1717</v>
      </c>
      <c r="C28" s="5" t="s">
        <v>8</v>
      </c>
    </row>
    <row r="29" spans="2:6">
      <c r="B29" s="5" t="s">
        <v>18</v>
      </c>
      <c r="C29" t="s">
        <v>61</v>
      </c>
      <c r="D29" t="s">
        <v>35</v>
      </c>
      <c r="E29" t="s">
        <v>1718</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2500</v>
      </c>
      <c r="D38" s="13">
        <v>0</v>
      </c>
      <c r="E38" s="13">
        <v>2500</v>
      </c>
    </row>
    <row r="39" spans="2:6">
      <c r="B39" t="s">
        <v>1718</v>
      </c>
      <c r="C39" s="13">
        <v>8265393.290000001</v>
      </c>
      <c r="D39" s="13">
        <v>5135579.33</v>
      </c>
      <c r="E39" s="13">
        <v>13400972.619999997</v>
      </c>
    </row>
    <row r="45" spans="2:6">
      <c r="B45" s="5" t="s">
        <v>9</v>
      </c>
      <c r="C45" t="s">
        <v>1719</v>
      </c>
    </row>
    <row r="46" spans="2:6">
      <c r="B46" s="5" t="s">
        <v>3</v>
      </c>
      <c r="C46" t="s">
        <v>1719</v>
      </c>
      <c r="F46" t="s">
        <v>1720</v>
      </c>
    </row>
    <row r="47" spans="2:6">
      <c r="B47" s="5" t="s">
        <v>20</v>
      </c>
      <c r="C47" t="s">
        <v>1719</v>
      </c>
    </row>
    <row r="48" spans="2:6">
      <c r="B48" s="5" t="s">
        <v>12</v>
      </c>
      <c r="C48" t="s">
        <v>1719</v>
      </c>
    </row>
    <row r="50" spans="2:6">
      <c r="B50" s="5" t="s">
        <v>1717</v>
      </c>
      <c r="C50" s="5" t="s">
        <v>8</v>
      </c>
    </row>
    <row r="51" spans="2:6">
      <c r="B51" s="5" t="s">
        <v>18</v>
      </c>
      <c r="C51" t="s">
        <v>61</v>
      </c>
      <c r="D51" t="s">
        <v>35</v>
      </c>
      <c r="E51" t="s">
        <v>29</v>
      </c>
      <c r="F51" t="s">
        <v>1718</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536847</v>
      </c>
      <c r="D61" s="13">
        <v>209425</v>
      </c>
      <c r="E61" s="13">
        <v>0</v>
      </c>
      <c r="F61" s="13">
        <v>746272</v>
      </c>
    </row>
    <row r="62" spans="2:6">
      <c r="B62" t="s">
        <v>1718</v>
      </c>
      <c r="C62" s="13">
        <v>19886632.129999999</v>
      </c>
      <c r="D62" s="13">
        <v>20636198.639999997</v>
      </c>
      <c r="E62" s="13">
        <v>5227040</v>
      </c>
      <c r="F62" s="13">
        <v>45749870.769999996</v>
      </c>
    </row>
    <row r="69" spans="2:6">
      <c r="B69" s="5" t="s">
        <v>9</v>
      </c>
      <c r="C69" t="s">
        <v>1719</v>
      </c>
    </row>
    <row r="70" spans="2:6">
      <c r="B70" s="5" t="s">
        <v>3</v>
      </c>
      <c r="C70" t="s">
        <v>1719</v>
      </c>
      <c r="F70" t="s">
        <v>1720</v>
      </c>
    </row>
    <row r="71" spans="2:6">
      <c r="B71" s="5" t="s">
        <v>20</v>
      </c>
      <c r="C71" t="s">
        <v>1719</v>
      </c>
    </row>
    <row r="72" spans="2:6">
      <c r="B72" s="5" t="s">
        <v>12</v>
      </c>
      <c r="C72" t="s">
        <v>1719</v>
      </c>
    </row>
    <row r="74" spans="2:6">
      <c r="B74" s="5" t="s">
        <v>8</v>
      </c>
      <c r="C74" t="s">
        <v>1717</v>
      </c>
    </row>
    <row r="75" spans="2:6">
      <c r="B75" t="s">
        <v>61</v>
      </c>
      <c r="C75" s="13">
        <v>19886632.130000003</v>
      </c>
    </row>
    <row r="76" spans="2:6">
      <c r="B76" t="s">
        <v>35</v>
      </c>
      <c r="C76" s="13">
        <v>20636198.639999997</v>
      </c>
    </row>
    <row r="77" spans="2:6">
      <c r="B77" t="s">
        <v>29</v>
      </c>
      <c r="C77" s="13">
        <v>5227040</v>
      </c>
    </row>
    <row r="78" spans="2:6">
      <c r="B78" t="s">
        <v>1718</v>
      </c>
      <c r="C78" s="13">
        <v>45749870.769999996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7"/>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1719</v>
      </c>
    </row>
    <row r="5" spans="2:6">
      <c r="B5" s="5" t="s">
        <v>1717</v>
      </c>
      <c r="C5" s="5" t="s">
        <v>8</v>
      </c>
    </row>
    <row r="6" spans="2:6">
      <c r="B6" s="5" t="s">
        <v>3</v>
      </c>
      <c r="C6" t="s">
        <v>61</v>
      </c>
      <c r="D6" t="s">
        <v>35</v>
      </c>
      <c r="E6" t="s">
        <v>29</v>
      </c>
      <c r="F6" t="s">
        <v>1718</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1589</v>
      </c>
      <c r="C35" s="13">
        <v>544091.36</v>
      </c>
      <c r="D35" s="13">
        <v>209425</v>
      </c>
      <c r="E35" s="13">
        <v>0</v>
      </c>
      <c r="F35" s="13">
        <v>753516.36</v>
      </c>
    </row>
    <row r="36" spans="2:6">
      <c r="B36" t="s">
        <v>1534</v>
      </c>
      <c r="C36" s="13">
        <v>413718.6</v>
      </c>
      <c r="D36" s="13">
        <v>1462088.52</v>
      </c>
      <c r="E36" s="13">
        <v>0</v>
      </c>
      <c r="F36" s="13">
        <v>1875807.12</v>
      </c>
    </row>
    <row r="37" spans="2:6">
      <c r="B37" t="s">
        <v>1718</v>
      </c>
      <c r="C37" s="13">
        <v>19886632.130000003</v>
      </c>
      <c r="D37" s="13">
        <v>20636198.639999997</v>
      </c>
      <c r="E37" s="13">
        <v>5227040</v>
      </c>
      <c r="F37" s="13">
        <v>45749870.769999996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2026-01-23T12:33:56Z</dcterms:modified>
  <cp:category/>
  <cp:contentStatus/>
</cp:coreProperties>
</file>
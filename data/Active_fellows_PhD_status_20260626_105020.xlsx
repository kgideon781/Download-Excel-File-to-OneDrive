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20" documentId="13_ncr:1_{503F577C-3F40-4625-BC6E-453B42AAE264}" xr6:coauthVersionLast="47" xr6:coauthVersionMax="47" xr10:uidLastSave="{DCBB537E-5B5D-4900-B0D9-C48CF6A2E94A}"/>
  <bookViews>
    <workbookView xWindow="-110" yWindow="-110" windowWidth="19420" windowHeight="1030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0" r:id="rId20"/>
    <pivotCache cacheId="31" r:id="rId21"/>
    <pivotCache cacheId="32" r:id="rId22"/>
    <pivotCache cacheId="3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<sst xmlns="http://schemas.openxmlformats.org/spreadsheetml/2006/main" count="2827" uniqueCount="943">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</sst>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8">
      <pivotArea outline="0" fieldPosition="0">
        <references count="1">
          <reference field="4294967294" count="1">
            <x v="1"/>
          </reference>
        </references>
      </pivotArea>
    </format>
    <format dxfId="89">
      <pivotArea outline="0" collapsedLevelsAreSubtotals="1" fieldPosition="0"/>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 dxfId="92">
      <pivotArea field="8" type="button" dataOnly="0" labelOnly="1" outline="0" axis="axisRow" fieldPosition="0"/>
    </format>
    <format dxfId="93">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5">
      <pivotArea outline="0" collapsedLevelsAreSubtotals="1" fieldPosition="0"/>
    </format>
    <format dxfId="86">
      <pivotArea dataOnly="0" labelOnly="1" grandRow="1" outline="0" fieldPosition="0"/>
    </format>
    <format dxfId="87">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2">
      <pivotArea outline="0" collapsedLevelsAreSubtotals="1" fieldPosition="0"/>
    </format>
    <format dxfId="83">
      <pivotArea dataOnly="0" labelOnly="1" grandRow="1" outline="0" fieldPosition="0"/>
    </format>
    <format dxfId="8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1" t="s">
        <v>8</v>
      </c>
      <c r="P16" s="30">
        <v>25</v>
      </c>
      <c r="Q16" s="30">
        <v>127</v>
      </c>
      <c r="R16" s="30">
        <v>68</v>
      </c>
      <c r="S16" s="30">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30" t="s">
        <v>8</v>
      </c>
      <c r="P35" s="30">
        <v>25</v>
      </c>
      <c r="Q35" s="30">
        <v>127</v>
      </c>
      <c r="R35" s="30">
        <v>68</v>
      </c>
      <c r="S35" s="30">
        <v>220</v>
      </c>
    </row>
    <row r="40" spans="6:22">
      <c r="F40" s="23"/>
      <c r="O40" s="76" t="s">
        <v>31</v>
      </c>
      <c r="P40" s="76"/>
      <c r="Q40" s="43" t="s">
        <v>32</v>
      </c>
    </row>
    <row r="41" spans="6:22">
      <c r="F41" s="23"/>
      <c r="O41" s="47" t="s">
        <v>33</v>
      </c>
      <c r="P41" s="44">
        <f ca="1">AVERAGE(Fellows!U2:U221)</f>
        <v>60.336734693877553</v>
      </c>
      <c r="Q41" s="30">
        <f>GETPIVOTDATA("S.No.",'By Cohort'!$A$27,"Current PhD Status (Completed/In Progress)","Completed")</f>
        <v>195</v>
      </c>
    </row>
    <row r="42" spans="6:22">
      <c r="F42" s="23"/>
      <c r="O42" s="48" t="s">
        <v>34</v>
      </c>
      <c r="P42" s="45">
        <f ca="1">P41/12</f>
        <v>5.0280612244897958</v>
      </c>
    </row>
    <row r="43" spans="6:22">
      <c r="F43" s="23"/>
      <c r="O43" s="42" t="s">
        <v>35</v>
      </c>
      <c r="P43" s="45">
        <f ca="1">STDEV(Fellows!U2:U221)</f>
        <v>19.888893371414806</v>
      </c>
    </row>
    <row r="44" spans="6:22">
      <c r="F44" s="23"/>
      <c r="O44" s="42" t="s">
        <v>36</v>
      </c>
      <c r="P44" s="46">
        <f ca="1">MEDIAN(Fellows!U2:U221)</f>
        <v>57</v>
      </c>
      <c r="Q44" s="3" t="s">
        <v>37</v>
      </c>
      <c r="R44">
        <f ca="1">MAX(Fellows!U2:U221)</f>
        <v>139</v>
      </c>
    </row>
    <row r="45" spans="6:22">
      <c r="F45" s="23"/>
      <c r="O45" s="42" t="s">
        <v>38</v>
      </c>
      <c r="P45" s="45">
        <f ca="1">P44/12</f>
        <v>4.75</v>
      </c>
      <c r="Q45" s="3" t="s">
        <v>39</v>
      </c>
      <c r="R45">
        <f ca="1">MIN(Fellows!U2:U221)</f>
        <v>22</v>
      </c>
    </row>
    <row r="46" spans="6:22">
      <c r="F46" s="23"/>
    </row>
    <row r="47" spans="6:22" ht="101.45">
      <c r="F47" s="23"/>
      <c r="Q47" s="58" t="s">
        <v>23</v>
      </c>
      <c r="R47" s="6" t="s">
        <v>40</v>
      </c>
      <c r="S47" s="6" t="s">
        <v>41</v>
      </c>
      <c r="T47" s="6" t="s">
        <v>42</v>
      </c>
      <c r="U47" s="6" t="s">
        <v>43</v>
      </c>
      <c r="V47" s="6" t="s">
        <v>44</v>
      </c>
    </row>
    <row r="48" spans="6:22">
      <c r="F48" s="23"/>
      <c r="Q48" t="s">
        <v>11</v>
      </c>
      <c r="R48" s="57">
        <v>1</v>
      </c>
      <c r="S48" s="57">
        <v>81</v>
      </c>
      <c r="T48" s="57" t="e">
        <v>#DIV/0!</v>
      </c>
      <c r="U48" s="57">
        <v>81</v>
      </c>
      <c r="V48" s="57">
        <v>81</v>
      </c>
    </row>
    <row r="49" spans="6:22">
      <c r="F49" s="23"/>
      <c r="Q49" t="s">
        <v>12</v>
      </c>
      <c r="R49" s="57">
        <v>4</v>
      </c>
      <c r="S49" s="57">
        <v>66.5</v>
      </c>
      <c r="T49" s="57">
        <v>12.288205727444508</v>
      </c>
      <c r="U49" s="57">
        <v>82</v>
      </c>
      <c r="V49" s="57">
        <v>52</v>
      </c>
    </row>
    <row r="50" spans="6:22">
      <c r="Q50" t="s">
        <v>13</v>
      </c>
      <c r="R50" s="57">
        <v>7</v>
      </c>
      <c r="S50" s="57">
        <v>69.857142857142861</v>
      </c>
      <c r="T50" s="57">
        <v>15.603723609324501</v>
      </c>
      <c r="U50" s="57">
        <v>99</v>
      </c>
      <c r="V50" s="57">
        <v>55</v>
      </c>
    </row>
    <row r="51" spans="6:22">
      <c r="Q51" t="s">
        <v>14</v>
      </c>
      <c r="R51" s="57">
        <v>21</v>
      </c>
      <c r="S51" s="57">
        <v>63.10526315789474</v>
      </c>
      <c r="T51" s="57">
        <v>18.961641797300228</v>
      </c>
      <c r="U51" s="57">
        <v>107</v>
      </c>
      <c r="V51" s="57">
        <v>37</v>
      </c>
    </row>
    <row r="52" spans="6:22">
      <c r="Q52" t="s">
        <v>15</v>
      </c>
      <c r="R52" s="57">
        <v>19</v>
      </c>
      <c r="S52" s="57">
        <v>61.846153846153847</v>
      </c>
      <c r="T52" s="57">
        <v>19.527101482495862</v>
      </c>
      <c r="U52" s="57">
        <v>101</v>
      </c>
      <c r="V52" s="57">
        <v>36</v>
      </c>
    </row>
    <row r="53" spans="6:22">
      <c r="Q53" t="s">
        <v>16</v>
      </c>
      <c r="R53" s="57">
        <v>31</v>
      </c>
      <c r="S53" s="57">
        <v>42.310344827586206</v>
      </c>
      <c r="T53" s="57">
        <v>12.015179233773605</v>
      </c>
      <c r="U53" s="57">
        <v>66</v>
      </c>
      <c r="V53" s="57">
        <v>24</v>
      </c>
    </row>
    <row r="54" spans="6:22">
      <c r="Q54" t="s">
        <v>17</v>
      </c>
      <c r="R54" s="57">
        <v>4</v>
      </c>
      <c r="S54" s="57">
        <v>51.75</v>
      </c>
      <c r="T54" s="57">
        <v>7.4105780251385696</v>
      </c>
      <c r="U54" s="57">
        <v>58</v>
      </c>
      <c r="V54" s="57">
        <v>42</v>
      </c>
    </row>
    <row r="55" spans="6:22">
      <c r="Q55" t="s">
        <v>18</v>
      </c>
      <c r="R55" s="57">
        <v>36</v>
      </c>
      <c r="S55" s="57">
        <v>60.40625</v>
      </c>
      <c r="T55" s="57">
        <v>23.305626310870419</v>
      </c>
      <c r="U55" s="57">
        <v>139</v>
      </c>
      <c r="V55" s="57">
        <v>22</v>
      </c>
    </row>
    <row r="56" spans="6:22">
      <c r="Q56" t="s">
        <v>19</v>
      </c>
      <c r="R56" s="57">
        <v>27</v>
      </c>
      <c r="S56" s="57">
        <v>63.458333333333336</v>
      </c>
      <c r="T56" s="57">
        <v>21.149528038041034</v>
      </c>
      <c r="U56" s="57">
        <v>114</v>
      </c>
      <c r="V56" s="57">
        <v>28</v>
      </c>
    </row>
    <row r="57" spans="6:22">
      <c r="Q57" t="s">
        <v>20</v>
      </c>
      <c r="R57" s="57">
        <v>20</v>
      </c>
      <c r="S57" s="57">
        <v>62.823529411764703</v>
      </c>
      <c r="T57" s="57">
        <v>21.307965922741342</v>
      </c>
      <c r="U57" s="57">
        <v>115</v>
      </c>
      <c r="V57" s="57">
        <v>33</v>
      </c>
    </row>
    <row r="58" spans="6:22">
      <c r="Q58" t="s">
        <v>21</v>
      </c>
      <c r="R58" s="57">
        <v>24</v>
      </c>
      <c r="S58" s="57">
        <v>66.849999999999994</v>
      </c>
      <c r="T58" s="57">
        <v>14.113356868770211</v>
      </c>
      <c r="U58" s="57">
        <v>104</v>
      </c>
      <c r="V58" s="57">
        <v>50</v>
      </c>
    </row>
    <row r="59" spans="6:22">
      <c r="Q59" t="s">
        <v>22</v>
      </c>
      <c r="R59" s="57">
        <v>26</v>
      </c>
      <c r="S59" s="57">
        <v>64.760000000000005</v>
      </c>
      <c r="T59" s="57">
        <v>19.201302039184736</v>
      </c>
      <c r="U59" s="57">
        <v>101</v>
      </c>
      <c r="V59" s="57">
        <v>32</v>
      </c>
    </row>
    <row r="60" spans="6:22">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0"/>
  <sheetViews>
    <sheetView tabSelected="1" zoomScaleNormal="100" workbookViewId="0">
      <pane ySplit="1" topLeftCell="A222" activePane="bottomLeft" state="frozen"/>
      <selection pane="bottomLeft" activeCell="E228" sqref="E228"/>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46198</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6</v>
      </c>
      <c r="G3" s="12">
        <v>9</v>
      </c>
      <c r="H3" s="12" t="s">
        <v>68</v>
      </c>
      <c r="I3" s="12" t="s">
        <v>18</v>
      </c>
      <c r="J3" s="12" t="s">
        <v>18</v>
      </c>
      <c r="K3" s="13">
        <v>42417</v>
      </c>
      <c r="L3" s="13">
        <v>43525</v>
      </c>
      <c r="M3" s="15">
        <f t="shared" ca="1" si="0"/>
        <v>46198</v>
      </c>
      <c r="N3" s="14"/>
      <c r="O3" s="39"/>
      <c r="P3" s="14"/>
      <c r="Q3" s="14"/>
      <c r="R3" s="12">
        <f t="shared" si="1"/>
        <v>54</v>
      </c>
      <c r="S3" s="25">
        <v>45163</v>
      </c>
      <c r="T3" s="12" t="s">
        <v>1</v>
      </c>
      <c r="U3" s="56">
        <f t="shared" si="2"/>
        <v>54</v>
      </c>
      <c r="V3" s="49" t="str">
        <f t="shared" si="3"/>
        <v>Completed:Delayed</v>
      </c>
      <c r="W3" s="52">
        <f t="shared" si="4"/>
        <v>91</v>
      </c>
    </row>
    <row r="4" spans="1:23" ht="25.35" customHeight="1">
      <c r="A4" s="12">
        <v>3</v>
      </c>
      <c r="B4" s="12" t="s">
        <v>73</v>
      </c>
      <c r="C4" s="12" t="s">
        <v>74</v>
      </c>
      <c r="D4" s="12" t="s">
        <v>75</v>
      </c>
      <c r="E4" s="12" t="s">
        <v>76</v>
      </c>
      <c r="F4" s="12" t="s">
        <v>6</v>
      </c>
      <c r="G4" s="12">
        <v>9</v>
      </c>
      <c r="H4" s="12" t="s">
        <v>68</v>
      </c>
      <c r="I4" s="12" t="s">
        <v>18</v>
      </c>
      <c r="J4" s="12" t="s">
        <v>22</v>
      </c>
      <c r="K4" s="13">
        <v>43647</v>
      </c>
      <c r="L4" s="13">
        <v>43525</v>
      </c>
      <c r="M4" s="15">
        <f t="shared" ca="1" si="0"/>
        <v>46198</v>
      </c>
      <c r="N4" s="14"/>
      <c r="O4" s="39"/>
      <c r="P4" s="14"/>
      <c r="Q4" s="14"/>
      <c r="R4" s="12">
        <f t="shared" si="1"/>
        <v>58</v>
      </c>
      <c r="S4" s="25">
        <v>45280</v>
      </c>
      <c r="T4" s="12" t="s">
        <v>1</v>
      </c>
      <c r="U4" s="56">
        <f t="shared" si="2"/>
        <v>58</v>
      </c>
      <c r="V4" s="49" t="str">
        <f t="shared" si="3"/>
        <v>Completed:Delayed</v>
      </c>
      <c r="W4" s="52">
        <f t="shared" si="4"/>
        <v>54</v>
      </c>
    </row>
    <row r="5" spans="1:23" ht="25.35" customHeight="1">
      <c r="A5" s="12">
        <v>4</v>
      </c>
      <c r="B5" s="12" t="s">
        <v>77</v>
      </c>
      <c r="C5" s="12" t="s">
        <v>78</v>
      </c>
      <c r="D5" s="12" t="s">
        <v>79</v>
      </c>
      <c r="E5" s="12" t="s">
        <v>80</v>
      </c>
      <c r="F5" s="12" t="s">
        <v>6</v>
      </c>
      <c r="G5" s="12">
        <v>2</v>
      </c>
      <c r="H5" s="12" t="s">
        <v>68</v>
      </c>
      <c r="I5" s="12" t="s">
        <v>18</v>
      </c>
      <c r="J5" s="12" t="s">
        <v>18</v>
      </c>
      <c r="K5" s="13">
        <v>40920</v>
      </c>
      <c r="L5" s="13">
        <v>40969</v>
      </c>
      <c r="M5" s="15">
        <f t="shared" ca="1" si="0"/>
        <v>46198</v>
      </c>
      <c r="N5" s="13"/>
      <c r="O5" s="13"/>
      <c r="P5" s="13"/>
      <c r="Q5" s="12"/>
      <c r="R5" s="12">
        <f t="shared" si="1"/>
        <v>93</v>
      </c>
      <c r="S5" s="25">
        <v>43787</v>
      </c>
      <c r="T5" s="12" t="s">
        <v>1</v>
      </c>
      <c r="U5" s="56">
        <f t="shared" si="2"/>
        <v>93</v>
      </c>
      <c r="V5" s="49" t="str">
        <f t="shared" si="3"/>
        <v>Completed:Delayed</v>
      </c>
      <c r="W5" s="52">
        <f t="shared" si="4"/>
        <v>95</v>
      </c>
    </row>
    <row r="6" spans="1:23" ht="25.35" customHeight="1">
      <c r="A6" s="12">
        <v>5</v>
      </c>
      <c r="B6" s="12" t="s">
        <v>81</v>
      </c>
      <c r="C6" s="12" t="s">
        <v>82</v>
      </c>
      <c r="D6" s="12" t="s">
        <v>83</v>
      </c>
      <c r="E6" s="12" t="s">
        <v>84</v>
      </c>
      <c r="F6" s="12" t="s">
        <v>6</v>
      </c>
      <c r="G6" s="12">
        <v>7</v>
      </c>
      <c r="H6" s="12" t="s">
        <v>68</v>
      </c>
      <c r="I6" s="12" t="s">
        <v>16</v>
      </c>
      <c r="J6" s="12" t="s">
        <v>16</v>
      </c>
      <c r="K6" s="13">
        <v>42458</v>
      </c>
      <c r="L6" s="13">
        <v>42795</v>
      </c>
      <c r="M6" s="15">
        <f t="shared" ca="1" si="0"/>
        <v>46198</v>
      </c>
      <c r="N6" s="13"/>
      <c r="O6" s="13"/>
      <c r="P6" s="13"/>
      <c r="Q6" s="12"/>
      <c r="R6" s="12">
        <f t="shared" si="1"/>
        <v>34</v>
      </c>
      <c r="S6" s="25">
        <v>43813</v>
      </c>
      <c r="T6" s="12" t="s">
        <v>1</v>
      </c>
      <c r="U6" s="56">
        <f t="shared" si="2"/>
        <v>34</v>
      </c>
      <c r="V6" s="49" t="str">
        <f t="shared" si="3"/>
        <v xml:space="preserve"> Completed:On time</v>
      </c>
      <c r="W6" s="52">
        <f t="shared" si="4"/>
        <v>45</v>
      </c>
    </row>
    <row r="7" spans="1:23" ht="25.35" customHeight="1">
      <c r="A7" s="12">
        <v>6</v>
      </c>
      <c r="B7" s="12" t="s">
        <v>85</v>
      </c>
      <c r="C7" s="12" t="s">
        <v>86</v>
      </c>
      <c r="D7" s="12"/>
      <c r="E7" s="12" t="s">
        <v>87</v>
      </c>
      <c r="F7" s="12" t="s">
        <v>7</v>
      </c>
      <c r="G7" s="12">
        <v>2</v>
      </c>
      <c r="H7" s="12" t="s">
        <v>68</v>
      </c>
      <c r="I7" s="12" t="s">
        <v>18</v>
      </c>
      <c r="J7" s="12" t="s">
        <v>18</v>
      </c>
      <c r="K7" s="13">
        <v>40924</v>
      </c>
      <c r="L7" s="13">
        <v>40969</v>
      </c>
      <c r="M7" s="15">
        <f t="shared" ca="1" si="0"/>
        <v>46198</v>
      </c>
      <c r="N7" s="14">
        <f ca="1">DATEDIF(L7,M7,"M") +1</f>
        <v>172</v>
      </c>
      <c r="O7" s="39"/>
      <c r="P7" s="14"/>
      <c r="Q7" s="14"/>
      <c r="R7" s="12">
        <f t="shared" ca="1" si="1"/>
        <v>172</v>
      </c>
      <c r="S7" s="25">
        <v>45183</v>
      </c>
      <c r="T7" s="12" t="s">
        <v>1</v>
      </c>
      <c r="U7" s="56">
        <f t="shared" si="2"/>
        <v>139</v>
      </c>
      <c r="V7" s="49" t="str">
        <f t="shared" si="3"/>
        <v>Completed:Delayed</v>
      </c>
      <c r="W7" s="52">
        <f t="shared" si="4"/>
        <v>140</v>
      </c>
    </row>
    <row r="8" spans="1:23" ht="25.35" customHeight="1">
      <c r="A8" s="12">
        <v>7</v>
      </c>
      <c r="B8" s="12" t="s">
        <v>88</v>
      </c>
      <c r="C8" s="12" t="s">
        <v>89</v>
      </c>
      <c r="D8" s="12" t="s">
        <v>90</v>
      </c>
      <c r="E8" s="12" t="s">
        <v>91</v>
      </c>
      <c r="F8" s="12" t="s">
        <v>6</v>
      </c>
      <c r="G8" s="12">
        <v>3</v>
      </c>
      <c r="H8" s="12" t="s">
        <v>68</v>
      </c>
      <c r="I8" s="12" t="s">
        <v>18</v>
      </c>
      <c r="J8" s="12" t="s">
        <v>18</v>
      </c>
      <c r="K8" s="13">
        <v>41325</v>
      </c>
      <c r="L8" s="13">
        <v>41334</v>
      </c>
      <c r="M8" s="15">
        <f t="shared" ca="1" si="0"/>
        <v>46198</v>
      </c>
      <c r="N8" s="13"/>
      <c r="O8" s="13"/>
      <c r="P8" s="13"/>
      <c r="Q8" s="12"/>
      <c r="R8" s="12">
        <f t="shared" si="1"/>
        <v>56</v>
      </c>
      <c r="S8" s="25">
        <v>43038</v>
      </c>
      <c r="T8" s="12" t="s">
        <v>1</v>
      </c>
      <c r="U8" s="56">
        <f t="shared" si="2"/>
        <v>56</v>
      </c>
      <c r="V8" s="49" t="str">
        <f t="shared" si="3"/>
        <v>Completed:Delayed</v>
      </c>
      <c r="W8" s="52">
        <f t="shared" si="4"/>
        <v>57</v>
      </c>
    </row>
    <row r="9" spans="1:23" ht="25.35" customHeight="1">
      <c r="A9" s="12">
        <v>8</v>
      </c>
      <c r="B9" s="12" t="s">
        <v>92</v>
      </c>
      <c r="C9" s="12" t="s">
        <v>93</v>
      </c>
      <c r="D9" s="12" t="s">
        <v>78</v>
      </c>
      <c r="E9" s="12" t="s">
        <v>94</v>
      </c>
      <c r="F9" s="12" t="s">
        <v>7</v>
      </c>
      <c r="G9" s="12">
        <v>8</v>
      </c>
      <c r="H9" s="12" t="s">
        <v>68</v>
      </c>
      <c r="I9" s="12" t="s">
        <v>16</v>
      </c>
      <c r="J9" s="12" t="s">
        <v>22</v>
      </c>
      <c r="K9" s="13">
        <v>43318</v>
      </c>
      <c r="L9" s="13">
        <v>43160</v>
      </c>
      <c r="M9" s="15">
        <f t="shared" ca="1" si="0"/>
        <v>46198</v>
      </c>
      <c r="N9" s="14"/>
      <c r="O9" s="39"/>
      <c r="P9" s="14"/>
      <c r="Q9" s="14"/>
      <c r="R9" s="12">
        <f t="shared" si="1"/>
        <v>51</v>
      </c>
      <c r="S9" s="25">
        <v>44682</v>
      </c>
      <c r="T9" s="12" t="s">
        <v>1</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46198</v>
      </c>
      <c r="N10" s="13"/>
      <c r="O10" s="13"/>
      <c r="P10" s="13"/>
      <c r="Q10" s="12"/>
      <c r="R10" s="12">
        <f t="shared" si="1"/>
        <v>25</v>
      </c>
      <c r="S10" s="25">
        <v>41729</v>
      </c>
      <c r="T10" s="12" t="s">
        <v>1</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46198</v>
      </c>
      <c r="N11" s="13"/>
      <c r="O11" s="13"/>
      <c r="P11" s="13"/>
      <c r="Q11" s="12"/>
      <c r="R11" s="12">
        <f t="shared" si="1"/>
        <v>52</v>
      </c>
      <c r="S11" s="25">
        <v>42916</v>
      </c>
      <c r="T11" s="12" t="s">
        <v>1</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46198</v>
      </c>
      <c r="N12" s="13"/>
      <c r="O12" s="13"/>
      <c r="P12" s="13"/>
      <c r="Q12" s="12"/>
      <c r="R12" s="12">
        <f t="shared" si="1"/>
        <v>69</v>
      </c>
      <c r="S12" s="25">
        <v>43799</v>
      </c>
      <c r="T12" s="12" t="s">
        <v>1</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46198</v>
      </c>
      <c r="N13" s="14"/>
      <c r="O13" s="25"/>
      <c r="P13" s="25"/>
      <c r="Q13" s="14"/>
      <c r="R13" s="12">
        <f t="shared" si="1"/>
        <v>59</v>
      </c>
      <c r="S13" s="25">
        <v>45313</v>
      </c>
      <c r="T13" s="12" t="s">
        <v>1</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46198</v>
      </c>
      <c r="N14" s="13"/>
      <c r="O14" s="13"/>
      <c r="P14" s="13"/>
      <c r="Q14" s="12"/>
      <c r="R14" s="12">
        <f t="shared" si="1"/>
        <v>51</v>
      </c>
      <c r="S14" s="25">
        <v>44334</v>
      </c>
      <c r="T14" s="12" t="s">
        <v>1</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46198</v>
      </c>
      <c r="N15" s="14">
        <f ca="1">DATEDIF(L15,M15,"M") +1</f>
        <v>76</v>
      </c>
      <c r="O15" s="39"/>
      <c r="P15" s="14"/>
      <c r="Q15" s="14"/>
      <c r="R15" s="12">
        <f t="shared" ca="1" si="1"/>
        <v>76</v>
      </c>
      <c r="S15" s="25">
        <v>45538</v>
      </c>
      <c r="T15" s="12" t="s">
        <v>1</v>
      </c>
      <c r="U15" s="56">
        <f t="shared" si="2"/>
        <v>55</v>
      </c>
      <c r="V15" s="49" t="str">
        <f t="shared" si="3"/>
        <v>Completed:Delayed</v>
      </c>
      <c r="W15" s="52">
        <f t="shared" si="4"/>
        <v>56</v>
      </c>
    </row>
    <row r="16" spans="1:23" ht="25.35"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46198</v>
      </c>
      <c r="N16" s="13"/>
      <c r="O16" s="13"/>
      <c r="P16" s="13"/>
      <c r="Q16" s="12"/>
      <c r="R16" s="12">
        <f t="shared" si="1"/>
        <v>49</v>
      </c>
      <c r="S16" s="25">
        <v>42460</v>
      </c>
      <c r="T16" s="12" t="s">
        <v>1</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46198</v>
      </c>
      <c r="N17" s="13"/>
      <c r="O17" s="13"/>
      <c r="P17" s="13"/>
      <c r="Q17" s="12"/>
      <c r="R17" s="12">
        <f t="shared" si="1"/>
        <v>37</v>
      </c>
      <c r="S17" s="25">
        <v>42824</v>
      </c>
      <c r="T17" s="12" t="s">
        <v>1</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46198</v>
      </c>
      <c r="N18" s="13"/>
      <c r="O18" s="13"/>
      <c r="P18" s="13"/>
      <c r="Q18" s="12"/>
      <c r="R18" s="12">
        <f t="shared" si="1"/>
        <v>82</v>
      </c>
      <c r="S18" s="25">
        <v>43819</v>
      </c>
      <c r="T18" s="12" t="s">
        <v>1</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46198</v>
      </c>
      <c r="N19" s="13"/>
      <c r="O19" s="13"/>
      <c r="P19" s="13"/>
      <c r="Q19" s="12"/>
      <c r="R19" s="12">
        <f t="shared" si="1"/>
        <v>42</v>
      </c>
      <c r="S19" s="25">
        <v>42612</v>
      </c>
      <c r="T19" s="12" t="s">
        <v>1</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46198</v>
      </c>
      <c r="N20" s="13"/>
      <c r="O20" s="13"/>
      <c r="P20" s="13"/>
      <c r="Q20" s="12"/>
      <c r="R20" s="12">
        <f t="shared" si="1"/>
        <v>46</v>
      </c>
      <c r="S20" s="25">
        <v>42735</v>
      </c>
      <c r="T20" s="12" t="s">
        <v>1</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46198</v>
      </c>
      <c r="N21" s="14"/>
      <c r="O21" s="39"/>
      <c r="P21" s="14"/>
      <c r="Q21" s="14"/>
      <c r="R21" s="12">
        <f t="shared" si="1"/>
        <v>58</v>
      </c>
      <c r="S21" s="25">
        <v>44900</v>
      </c>
      <c r="T21" s="12" t="s">
        <v>1</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46198</v>
      </c>
      <c r="N22" s="13"/>
      <c r="O22" s="13"/>
      <c r="P22" s="13"/>
      <c r="Q22" s="12"/>
      <c r="R22" s="12">
        <f t="shared" si="1"/>
        <v>57</v>
      </c>
      <c r="S22" s="25">
        <v>42704</v>
      </c>
      <c r="T22" s="12" t="s">
        <v>1</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46198</v>
      </c>
      <c r="N23" s="13"/>
      <c r="O23" s="13"/>
      <c r="P23" s="13"/>
      <c r="Q23" s="12"/>
      <c r="R23" s="12">
        <f t="shared" si="1"/>
        <v>46</v>
      </c>
      <c r="S23" s="25">
        <v>43089</v>
      </c>
      <c r="T23" s="12" t="s">
        <v>1</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46198</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46198</v>
      </c>
      <c r="N25" s="14"/>
      <c r="O25" s="39"/>
      <c r="P25" s="14"/>
      <c r="Q25" s="14"/>
      <c r="R25" s="12">
        <f t="shared" si="1"/>
        <v>67</v>
      </c>
      <c r="S25" s="25">
        <v>44461</v>
      </c>
      <c r="T25" s="12" t="s">
        <v>1</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46198</v>
      </c>
      <c r="N26" s="14"/>
      <c r="O26" s="39"/>
      <c r="P26" s="14"/>
      <c r="Q26" s="14"/>
      <c r="R26" s="12">
        <f t="shared" si="1"/>
        <v>43</v>
      </c>
      <c r="S26" s="25">
        <v>45188</v>
      </c>
      <c r="T26" s="12" t="s">
        <v>1</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46198</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46198</v>
      </c>
      <c r="N28" s="13"/>
      <c r="O28" s="13"/>
      <c r="P28" s="13"/>
      <c r="Q28" s="12"/>
      <c r="R28" s="12">
        <f t="shared" si="1"/>
        <v>51</v>
      </c>
      <c r="S28" s="25">
        <v>44334</v>
      </c>
      <c r="T28" s="12" t="s">
        <v>1</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46198</v>
      </c>
      <c r="N29" s="13"/>
      <c r="O29" s="13"/>
      <c r="P29" s="13"/>
      <c r="Q29" s="12"/>
      <c r="R29" s="12">
        <f t="shared" si="1"/>
        <v>37</v>
      </c>
      <c r="S29" s="25">
        <v>42825</v>
      </c>
      <c r="T29" s="12" t="s">
        <v>1</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46198</v>
      </c>
      <c r="N30" s="14">
        <f ca="1">DATEDIF(L30,M30,"M") +1</f>
        <v>172</v>
      </c>
      <c r="O30" s="39"/>
      <c r="P30" s="14"/>
      <c r="Q30" s="14"/>
      <c r="R30" s="12">
        <f t="shared" ca="1" si="1"/>
        <v>172</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46198</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46198</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46198</v>
      </c>
      <c r="N33" s="14"/>
      <c r="O33" s="39"/>
      <c r="P33" s="14"/>
      <c r="Q33" s="14"/>
      <c r="R33" s="12">
        <f t="shared" si="1"/>
        <v>91</v>
      </c>
      <c r="S33" s="26">
        <v>44442</v>
      </c>
      <c r="T33" s="12" t="s">
        <v>1</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46198</v>
      </c>
      <c r="N34" s="14"/>
      <c r="O34" s="39"/>
      <c r="P34" s="14"/>
      <c r="Q34" s="14"/>
      <c r="R34" s="12">
        <f t="shared" si="1"/>
        <v>55</v>
      </c>
      <c r="S34" s="25">
        <v>44468</v>
      </c>
      <c r="T34" s="12" t="s">
        <v>1</v>
      </c>
      <c r="U34" s="56">
        <f t="shared" si="5"/>
        <v>55</v>
      </c>
      <c r="V34" s="49" t="str">
        <f t="shared" si="6"/>
        <v>Completed:Delayed</v>
      </c>
      <c r="W34" s="52">
        <f t="shared" si="7"/>
        <v>51</v>
      </c>
    </row>
    <row r="35" spans="1:25" ht="25.35"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46198</v>
      </c>
      <c r="N35" s="13"/>
      <c r="O35" s="13"/>
      <c r="P35" s="13"/>
      <c r="Q35" s="12"/>
      <c r="R35" s="12">
        <f t="shared" si="1"/>
        <v>58</v>
      </c>
      <c r="S35" s="25">
        <v>43830</v>
      </c>
      <c r="T35" s="12" t="s">
        <v>1</v>
      </c>
      <c r="U35" s="56">
        <f t="shared" si="5"/>
        <v>58</v>
      </c>
      <c r="V35" s="49" t="str">
        <f t="shared" si="6"/>
        <v>Completed:Delayed</v>
      </c>
      <c r="W35" s="52">
        <f t="shared" si="7"/>
        <v>28</v>
      </c>
    </row>
    <row r="36" spans="1:25" ht="25.35"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46198</v>
      </c>
      <c r="N36" s="14"/>
      <c r="O36" s="39"/>
      <c r="P36" s="14"/>
      <c r="Q36" s="14"/>
      <c r="R36" s="12">
        <f t="shared" si="1"/>
        <v>82</v>
      </c>
      <c r="S36" s="25">
        <v>45273</v>
      </c>
      <c r="T36" s="12" t="s">
        <v>1</v>
      </c>
      <c r="U36" s="56">
        <f t="shared" si="5"/>
        <v>82</v>
      </c>
      <c r="V36" s="49" t="str">
        <f t="shared" si="6"/>
        <v>Completed:Delayed</v>
      </c>
      <c r="W36" s="52">
        <f t="shared" si="7"/>
        <v>80</v>
      </c>
    </row>
    <row r="37" spans="1:25" ht="25.35"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46198</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46198</v>
      </c>
      <c r="N38" s="13"/>
      <c r="O38" s="13"/>
      <c r="P38" s="13"/>
      <c r="Q38" s="12"/>
      <c r="R38" s="12">
        <f t="shared" si="1"/>
        <v>57</v>
      </c>
      <c r="S38" s="25">
        <v>43069</v>
      </c>
      <c r="T38" s="12" t="s">
        <v>1</v>
      </c>
      <c r="U38" s="56">
        <f t="shared" si="8"/>
        <v>57</v>
      </c>
      <c r="V38" s="49" t="str">
        <f t="shared" si="9"/>
        <v>Completed:Delayed</v>
      </c>
      <c r="W38" s="52">
        <f t="shared" si="10"/>
        <v>62</v>
      </c>
    </row>
    <row r="39" spans="1:25" ht="25.35"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46198</v>
      </c>
      <c r="N39" s="14"/>
      <c r="O39" s="39"/>
      <c r="P39" s="14"/>
      <c r="Q39" s="14"/>
      <c r="R39" s="12">
        <f t="shared" si="1"/>
        <v>55</v>
      </c>
      <c r="S39" s="25">
        <v>45174</v>
      </c>
      <c r="T39" s="12" t="s">
        <v>1</v>
      </c>
      <c r="U39" s="56">
        <f t="shared" si="8"/>
        <v>55</v>
      </c>
      <c r="V39" s="49" t="str">
        <f t="shared" si="9"/>
        <v>Completed:Delayed</v>
      </c>
      <c r="W39" s="52">
        <f t="shared" si="10"/>
        <v>51</v>
      </c>
    </row>
    <row r="40" spans="1:25" ht="25.35"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46198</v>
      </c>
      <c r="N40" s="13"/>
      <c r="O40" s="13"/>
      <c r="P40" s="13"/>
      <c r="Q40" s="12"/>
      <c r="R40" s="12">
        <f t="shared" si="1"/>
        <v>52</v>
      </c>
      <c r="S40" s="25">
        <v>43646</v>
      </c>
      <c r="T40" s="12" t="s">
        <v>1</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46198</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46198</v>
      </c>
      <c r="N42" s="14"/>
      <c r="O42" s="39"/>
      <c r="P42" s="14"/>
      <c r="Q42" s="14"/>
      <c r="R42" s="12">
        <f t="shared" si="1"/>
        <v>89</v>
      </c>
      <c r="S42" s="25">
        <v>44392</v>
      </c>
      <c r="T42" s="12" t="s">
        <v>1</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46198</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46198</v>
      </c>
      <c r="N44" s="13"/>
      <c r="O44" s="13"/>
      <c r="P44" s="13"/>
      <c r="Q44" s="12"/>
      <c r="R44" s="12">
        <f t="shared" si="1"/>
        <v>57</v>
      </c>
      <c r="S44" s="25">
        <v>42704</v>
      </c>
      <c r="T44" s="12" t="s">
        <v>1</v>
      </c>
      <c r="U44" s="56">
        <f t="shared" si="8"/>
        <v>57</v>
      </c>
      <c r="V44" s="49" t="str">
        <f t="shared" si="9"/>
        <v>Completed:Delayed</v>
      </c>
      <c r="W44" s="52">
        <f t="shared" si="10"/>
        <v>45</v>
      </c>
    </row>
    <row r="45" spans="1:25" ht="15.95">
      <c r="A45" s="12">
        <v>44</v>
      </c>
      <c r="B45" s="12" t="s">
        <v>230</v>
      </c>
      <c r="C45" s="12" t="s">
        <v>231</v>
      </c>
      <c r="D45" s="12"/>
      <c r="E45" s="12" t="s">
        <v>232</v>
      </c>
      <c r="F45" s="12" t="s">
        <v>7</v>
      </c>
      <c r="G45" s="12">
        <v>4</v>
      </c>
      <c r="H45" s="12" t="s">
        <v>107</v>
      </c>
      <c r="I45" s="12" t="s">
        <v>22</v>
      </c>
      <c r="J45" s="12" t="s">
        <v>22</v>
      </c>
      <c r="K45" s="13">
        <v>41617</v>
      </c>
      <c r="L45" s="13">
        <v>41699</v>
      </c>
      <c r="M45" s="15">
        <f t="shared" ca="1" si="0"/>
        <v>46198</v>
      </c>
      <c r="N45" s="14"/>
      <c r="O45" s="39"/>
      <c r="P45" s="14"/>
      <c r="Q45" s="14"/>
      <c r="R45" s="12">
        <f t="shared" si="1"/>
        <v>101</v>
      </c>
      <c r="S45" s="25">
        <v>44746</v>
      </c>
      <c r="T45" s="12" t="s">
        <v>1</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46198</v>
      </c>
      <c r="N46" s="14">
        <f ca="1">DATEDIF(L46,M46,"M") +1</f>
        <v>160</v>
      </c>
      <c r="O46" s="39"/>
      <c r="P46" s="14"/>
      <c r="Q46" s="14"/>
      <c r="R46" s="12">
        <f t="shared" ca="1" si="1"/>
        <v>160</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46198</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46198</v>
      </c>
      <c r="N48" s="14">
        <f ca="1">DATEDIF(L48,M48,"M") +1</f>
        <v>160</v>
      </c>
      <c r="O48" s="39"/>
      <c r="P48" s="14"/>
      <c r="Q48" s="14"/>
      <c r="R48" s="12">
        <f t="shared" ca="1" si="1"/>
        <v>160</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46198</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46198</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46198</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46198</v>
      </c>
      <c r="N52" s="14"/>
      <c r="O52" s="39"/>
      <c r="P52" s="14"/>
      <c r="Q52" s="14"/>
      <c r="R52" s="12">
        <f t="shared" si="1"/>
        <v>60</v>
      </c>
      <c r="S52" s="25">
        <v>45337</v>
      </c>
      <c r="T52" s="12" t="s">
        <v>1</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46198</v>
      </c>
      <c r="N53" s="13"/>
      <c r="O53" s="13"/>
      <c r="P53" s="13"/>
      <c r="Q53" s="12"/>
      <c r="R53" s="12">
        <f t="shared" si="1"/>
        <v>67</v>
      </c>
      <c r="S53" s="25">
        <v>42674</v>
      </c>
      <c r="T53" s="12" t="s">
        <v>1</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46198</v>
      </c>
      <c r="N54" s="13"/>
      <c r="O54" s="13"/>
      <c r="P54" s="13"/>
      <c r="Q54" s="12"/>
      <c r="R54" s="12">
        <f t="shared" si="1"/>
        <v>101</v>
      </c>
      <c r="S54" s="25">
        <v>43699</v>
      </c>
      <c r="T54" s="12" t="s">
        <v>1</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46198</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46198</v>
      </c>
      <c r="N56" s="13"/>
      <c r="O56" s="13"/>
      <c r="P56" s="13"/>
      <c r="Q56" s="12"/>
      <c r="R56" s="12">
        <f t="shared" si="1"/>
        <v>58</v>
      </c>
      <c r="S56" s="25">
        <v>42735</v>
      </c>
      <c r="T56" s="12" t="s">
        <v>1</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46198</v>
      </c>
      <c r="N57" s="14">
        <f ca="1">DATEDIF(L57,M57,"M") +1</f>
        <v>160</v>
      </c>
      <c r="O57" s="39"/>
      <c r="P57" s="14"/>
      <c r="Q57" s="14"/>
      <c r="R57" s="12">
        <f t="shared" ca="1" si="1"/>
        <v>160</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46198</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46198</v>
      </c>
      <c r="N59" s="14">
        <f ca="1">DATEDIF(L59,M59,"M") +1</f>
        <v>100</v>
      </c>
      <c r="O59" s="39"/>
      <c r="P59" s="14"/>
      <c r="Q59" s="14"/>
      <c r="R59" s="12">
        <f t="shared" ca="1" si="1"/>
        <v>100</v>
      </c>
      <c r="S59" s="25">
        <v>45247</v>
      </c>
      <c r="T59" s="12" t="s">
        <v>1</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46198</v>
      </c>
      <c r="N60" s="14"/>
      <c r="O60" s="39"/>
      <c r="P60" s="14"/>
      <c r="Q60" s="14"/>
      <c r="R60" s="12">
        <f t="shared" si="1"/>
        <v>69</v>
      </c>
      <c r="S60" s="25">
        <v>44879</v>
      </c>
      <c r="T60" s="12" t="s">
        <v>1</v>
      </c>
      <c r="U60" s="56">
        <f t="shared" si="14"/>
        <v>69</v>
      </c>
      <c r="V60" s="49" t="str">
        <f t="shared" si="15"/>
        <v>Completed:Delayed</v>
      </c>
      <c r="W60" s="52">
        <f t="shared" si="16"/>
        <v>63</v>
      </c>
    </row>
    <row r="61" spans="1:23" ht="25.35"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46198</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46198</v>
      </c>
      <c r="N62" s="14"/>
      <c r="O62" s="39"/>
      <c r="P62" s="14"/>
      <c r="Q62" s="14"/>
      <c r="R62" s="12">
        <f t="shared" si="1"/>
        <v>93</v>
      </c>
      <c r="S62" s="25">
        <v>44508</v>
      </c>
      <c r="T62" s="12" t="s">
        <v>1</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46198</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46198</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46198</v>
      </c>
      <c r="N65" s="13"/>
      <c r="O65" s="13"/>
      <c r="P65" s="13"/>
      <c r="Q65" s="12"/>
      <c r="R65" s="12">
        <f t="shared" si="18"/>
        <v>59</v>
      </c>
      <c r="S65" s="25">
        <v>43832</v>
      </c>
      <c r="T65" s="12" t="s">
        <v>1</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46198</v>
      </c>
      <c r="N66" s="14">
        <f ca="1">DATEDIF(L66,M66,"M") +1</f>
        <v>100</v>
      </c>
      <c r="O66" s="39"/>
      <c r="P66" s="14"/>
      <c r="Q66" s="14"/>
      <c r="R66" s="12">
        <f t="shared" ca="1" si="18"/>
        <v>100</v>
      </c>
      <c r="S66" s="25">
        <v>45498</v>
      </c>
      <c r="T66" s="12" t="s">
        <v>1</v>
      </c>
      <c r="U66" s="56">
        <f t="shared" si="14"/>
        <v>77</v>
      </c>
      <c r="V66" s="49" t="str">
        <f t="shared" si="15"/>
        <v>Completed:Delayed</v>
      </c>
      <c r="W66" s="52">
        <f t="shared" si="16"/>
        <v>74</v>
      </c>
    </row>
    <row r="67" spans="1:23" ht="25.35"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46198</v>
      </c>
      <c r="N67" s="13"/>
      <c r="O67" s="13"/>
      <c r="P67" s="13"/>
      <c r="Q67" s="12"/>
      <c r="R67" s="12">
        <f t="shared" si="18"/>
        <v>76</v>
      </c>
      <c r="S67" s="25">
        <v>42947</v>
      </c>
      <c r="T67" s="12" t="s">
        <v>1</v>
      </c>
      <c r="U67" s="56">
        <f t="shared" si="14"/>
        <v>76</v>
      </c>
      <c r="V67" s="49" t="str">
        <f t="shared" si="15"/>
        <v>Completed:Delayed</v>
      </c>
      <c r="W67" s="52">
        <f t="shared" si="16"/>
        <v>70</v>
      </c>
    </row>
    <row r="68" spans="1:23" ht="25.35"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46198</v>
      </c>
      <c r="N68" s="13"/>
      <c r="O68" s="13"/>
      <c r="P68" s="13"/>
      <c r="Q68" s="12"/>
      <c r="R68" s="12">
        <f t="shared" si="18"/>
        <v>53</v>
      </c>
      <c r="S68" s="25">
        <v>43677</v>
      </c>
      <c r="T68" s="12" t="s">
        <v>1</v>
      </c>
      <c r="U68" s="56">
        <f t="shared" si="14"/>
        <v>53</v>
      </c>
      <c r="V68" s="49" t="str">
        <f t="shared" si="15"/>
        <v>Completed:Delayed</v>
      </c>
      <c r="W68" s="52">
        <f t="shared" si="16"/>
        <v>51</v>
      </c>
    </row>
    <row r="69" spans="1:23" ht="25.35"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46198</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46198</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46198</v>
      </c>
      <c r="N71" s="13"/>
      <c r="O71" s="13"/>
      <c r="P71" s="13"/>
      <c r="Q71" s="12"/>
      <c r="R71" s="12">
        <f t="shared" si="18"/>
        <v>65</v>
      </c>
      <c r="S71" s="25">
        <v>42613</v>
      </c>
      <c r="T71" s="12" t="s">
        <v>1</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46198</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46198</v>
      </c>
      <c r="N73" s="14">
        <f ca="1">DATEDIF(L73,M73,"M") +1</f>
        <v>148</v>
      </c>
      <c r="O73" s="39"/>
      <c r="P73" s="14"/>
      <c r="Q73" s="14"/>
      <c r="R73" s="12">
        <f t="shared" ca="1" si="18"/>
        <v>148</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46198</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46198</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46198</v>
      </c>
      <c r="N76" s="14"/>
      <c r="O76" s="39"/>
      <c r="P76" s="14"/>
      <c r="Q76" s="14"/>
      <c r="R76" s="12">
        <f t="shared" si="18"/>
        <v>70</v>
      </c>
      <c r="S76" s="25">
        <v>44539</v>
      </c>
      <c r="T76" s="12" t="s">
        <v>1</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46198</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46198</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35"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46198</v>
      </c>
      <c r="N79" s="13"/>
      <c r="O79" s="13"/>
      <c r="P79" s="13"/>
      <c r="Q79" s="12"/>
      <c r="R79" s="12">
        <f t="shared" si="18"/>
        <v>56</v>
      </c>
      <c r="S79" s="25">
        <v>43399</v>
      </c>
      <c r="T79" s="12" t="s">
        <v>1</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46198</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46198</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46198</v>
      </c>
      <c r="N82" s="13"/>
      <c r="O82" s="13"/>
      <c r="P82" s="13"/>
      <c r="Q82" s="12"/>
      <c r="R82" s="12">
        <f t="shared" si="18"/>
        <v>70</v>
      </c>
      <c r="S82" s="25">
        <v>43830</v>
      </c>
      <c r="T82" s="12" t="s">
        <v>1</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46198</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46198</v>
      </c>
      <c r="N84" s="14">
        <f ca="1">DATEDIF(L84,M84,"M") +1</f>
        <v>76</v>
      </c>
      <c r="O84" s="39"/>
      <c r="P84" s="14"/>
      <c r="Q84" s="14"/>
      <c r="R84" s="12">
        <f t="shared" ca="1" si="18"/>
        <v>76</v>
      </c>
      <c r="S84" s="25">
        <v>45610</v>
      </c>
      <c r="T84" s="12" t="s">
        <v>1</v>
      </c>
      <c r="U84" s="56">
        <f t="shared" si="19"/>
        <v>57</v>
      </c>
      <c r="V84" s="49" t="str">
        <f t="shared" si="20"/>
        <v>Completed:Delayed</v>
      </c>
      <c r="W84" s="52">
        <f t="shared" si="21"/>
        <v>45</v>
      </c>
    </row>
    <row r="85" spans="1:23" ht="25.35"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46198</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46198</v>
      </c>
      <c r="N86" s="14">
        <f ca="1">DATEDIF(L86,M86,"M") +1</f>
        <v>76</v>
      </c>
      <c r="O86" s="39"/>
      <c r="P86" s="14"/>
      <c r="Q86" s="14"/>
      <c r="R86" s="12">
        <f t="shared" ca="1" si="18"/>
        <v>76</v>
      </c>
      <c r="S86" s="25">
        <v>45590</v>
      </c>
      <c r="T86" s="12" t="s">
        <v>1</v>
      </c>
      <c r="U86" s="56">
        <f t="shared" si="19"/>
        <v>56</v>
      </c>
      <c r="V86" s="49" t="str">
        <f t="shared" si="20"/>
        <v>Completed:Delayed</v>
      </c>
      <c r="W86" s="52">
        <f t="shared" si="21"/>
        <v>58</v>
      </c>
    </row>
    <row r="87" spans="1:23" ht="25.35"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46198</v>
      </c>
      <c r="N87" s="13"/>
      <c r="O87" s="13"/>
      <c r="P87" s="13"/>
      <c r="Q87" s="12"/>
      <c r="R87" s="12">
        <f t="shared" si="18"/>
        <v>69</v>
      </c>
      <c r="S87" s="25">
        <v>44160</v>
      </c>
      <c r="T87" s="12" t="s">
        <v>1</v>
      </c>
      <c r="U87" s="56">
        <f t="shared" si="19"/>
        <v>69</v>
      </c>
      <c r="V87" s="49" t="str">
        <f t="shared" si="20"/>
        <v>Completed:Delayed</v>
      </c>
      <c r="W87" s="52">
        <f t="shared" si="21"/>
        <v>62</v>
      </c>
    </row>
    <row r="88" spans="1:23" ht="25.35"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46198</v>
      </c>
      <c r="N88" s="13"/>
      <c r="O88" s="13"/>
      <c r="P88" s="13"/>
      <c r="Q88" s="12"/>
      <c r="R88" s="12">
        <f t="shared" si="18"/>
        <v>56</v>
      </c>
      <c r="S88" s="25">
        <v>43769</v>
      </c>
      <c r="T88" s="12" t="s">
        <v>1</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46198</v>
      </c>
      <c r="N89" s="14"/>
      <c r="O89" s="39"/>
      <c r="P89" s="14"/>
      <c r="Q89" s="14"/>
      <c r="R89" s="12">
        <f t="shared" si="18"/>
        <v>72</v>
      </c>
      <c r="S89" s="25">
        <v>44607</v>
      </c>
      <c r="T89" s="12" t="s">
        <v>1</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46198</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46198</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46198</v>
      </c>
      <c r="N92" s="14">
        <f ca="1">DATEDIF(L92,M92,"M") +1</f>
        <v>136</v>
      </c>
      <c r="O92" s="39"/>
      <c r="P92" s="14"/>
      <c r="Q92" s="14"/>
      <c r="R92" s="12">
        <f t="shared" ca="1" si="18"/>
        <v>136</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46198</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46198</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46198</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46198</v>
      </c>
      <c r="N96" s="14">
        <f ca="1">DATEDIF(L96,M96,"M") +1</f>
        <v>136</v>
      </c>
      <c r="O96" s="39"/>
      <c r="P96" s="14"/>
      <c r="Q96" s="14"/>
      <c r="R96" s="12">
        <f t="shared" ca="1" si="18"/>
        <v>136</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46198</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46198</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46198</v>
      </c>
      <c r="N99" s="14">
        <f ca="1">DATEDIF(L99,M99,"M") +1</f>
        <v>124</v>
      </c>
      <c r="O99" s="39"/>
      <c r="P99" s="14"/>
      <c r="Q99" s="14"/>
      <c r="R99" s="12">
        <f t="shared" ca="1" si="18"/>
        <v>124</v>
      </c>
      <c r="S99" s="25">
        <v>45610</v>
      </c>
      <c r="T99" s="12" t="s">
        <v>1</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46198</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46198</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46198</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46198</v>
      </c>
      <c r="N103" s="14"/>
      <c r="O103" s="39"/>
      <c r="P103" s="14"/>
      <c r="Q103" s="14"/>
      <c r="R103" s="12">
        <f t="shared" si="18"/>
        <v>79</v>
      </c>
      <c r="S103" s="25">
        <v>45195</v>
      </c>
      <c r="T103" s="12" t="s">
        <v>1</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46198</v>
      </c>
      <c r="N104" s="13"/>
      <c r="O104" s="13"/>
      <c r="P104" s="13"/>
      <c r="Q104" s="12"/>
      <c r="R104" s="12">
        <f t="shared" si="18"/>
        <v>88</v>
      </c>
      <c r="S104" s="25">
        <v>43285</v>
      </c>
      <c r="T104" s="12" t="s">
        <v>1</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46198</v>
      </c>
      <c r="N105" s="14">
        <f ca="1">DATEDIF(L105,M105,"M") +1</f>
        <v>76</v>
      </c>
      <c r="O105" s="39"/>
      <c r="P105" s="14"/>
      <c r="Q105" s="14"/>
      <c r="R105" s="12">
        <f t="shared" ca="1" si="18"/>
        <v>76</v>
      </c>
      <c r="S105" s="25">
        <v>45596</v>
      </c>
      <c r="T105" s="12" t="s">
        <v>1</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46198</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46198</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46198</v>
      </c>
      <c r="N108" s="14">
        <f ca="1">DATEDIF(L108,M108,"M") +1</f>
        <v>88</v>
      </c>
      <c r="O108" s="39"/>
      <c r="P108" s="14"/>
      <c r="Q108" s="14"/>
      <c r="R108" s="12">
        <f t="shared" ca="1" si="18"/>
        <v>88</v>
      </c>
      <c r="S108" s="25">
        <v>45443</v>
      </c>
      <c r="T108" s="12" t="s">
        <v>1</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46198</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46198</v>
      </c>
      <c r="N110" s="14">
        <f ca="1">DATEDIF(L110,M110,"M") +1</f>
        <v>100</v>
      </c>
      <c r="O110" s="39"/>
      <c r="P110" s="14"/>
      <c r="Q110" s="14"/>
      <c r="R110" s="12">
        <f t="shared" ca="1" si="18"/>
        <v>100</v>
      </c>
      <c r="S110" s="25">
        <v>45610</v>
      </c>
      <c r="T110" s="12" t="s">
        <v>1</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46198</v>
      </c>
      <c r="N111" s="13"/>
      <c r="O111" s="13"/>
      <c r="P111" s="13"/>
      <c r="Q111" s="12"/>
      <c r="R111" s="12">
        <f t="shared" si="18"/>
        <v>61</v>
      </c>
      <c r="S111" s="25">
        <v>43909</v>
      </c>
      <c r="T111" s="12" t="s">
        <v>1</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46198</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46198</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46198</v>
      </c>
      <c r="N114" s="13"/>
      <c r="O114" s="13"/>
      <c r="P114" s="13"/>
      <c r="Q114" s="12"/>
      <c r="R114" s="12">
        <f t="shared" si="18"/>
        <v>57</v>
      </c>
      <c r="S114" s="25">
        <v>43434</v>
      </c>
      <c r="T114" s="12" t="s">
        <v>1</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46198</v>
      </c>
      <c r="N115" s="14"/>
      <c r="O115" s="39"/>
      <c r="P115" s="14"/>
      <c r="Q115" s="14"/>
      <c r="R115" s="12">
        <f t="shared" si="18"/>
        <v>76</v>
      </c>
      <c r="S115" s="25">
        <v>44718</v>
      </c>
      <c r="T115" s="12" t="s">
        <v>1</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46198</v>
      </c>
      <c r="N116" s="14"/>
      <c r="O116" s="39"/>
      <c r="P116" s="14"/>
      <c r="Q116" s="14"/>
      <c r="R116" s="12">
        <f t="shared" si="18"/>
        <v>55</v>
      </c>
      <c r="S116" s="25">
        <v>44469</v>
      </c>
      <c r="T116" s="12" t="s">
        <v>1</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46198</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46198</v>
      </c>
      <c r="N118" s="13"/>
      <c r="O118" s="13"/>
      <c r="P118" s="13"/>
      <c r="Q118" s="12"/>
      <c r="R118" s="12">
        <f t="shared" si="18"/>
        <v>57</v>
      </c>
      <c r="S118" s="25">
        <v>43799</v>
      </c>
      <c r="T118" s="12" t="s">
        <v>1</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46198</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46198</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46198</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46198</v>
      </c>
      <c r="N122" s="14"/>
      <c r="O122" s="39"/>
      <c r="P122" s="14"/>
      <c r="Q122" s="14"/>
      <c r="R122" s="12">
        <f t="shared" si="18"/>
        <v>107</v>
      </c>
      <c r="S122" s="25">
        <v>44578</v>
      </c>
      <c r="T122" s="12" t="s">
        <v>1</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46198</v>
      </c>
      <c r="N123" s="14">
        <f ca="1">DATEDIF(L123,M123,"M") +1</f>
        <v>112</v>
      </c>
      <c r="O123" s="39"/>
      <c r="P123" s="14"/>
      <c r="Q123" s="14"/>
      <c r="R123" s="12">
        <f t="shared" ca="1" si="18"/>
        <v>112</v>
      </c>
      <c r="S123" s="25">
        <v>45595</v>
      </c>
      <c r="T123" s="12" t="s">
        <v>1</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46198</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46198</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46198</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46198</v>
      </c>
      <c r="N127" s="14">
        <f ca="1">DATEDIF(L127,M127,"M") +1</f>
        <v>124</v>
      </c>
      <c r="O127" s="39"/>
      <c r="P127" s="14"/>
      <c r="Q127" s="14"/>
      <c r="R127" s="12">
        <f t="shared" ca="1" si="26"/>
        <v>124</v>
      </c>
      <c r="S127" s="25">
        <v>45898</v>
      </c>
      <c r="T127" s="12" t="s">
        <v>1</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46198</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46198</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46198</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46198</v>
      </c>
      <c r="N131" s="14">
        <f ca="1">DATEDIF(L131,M131,"M") +1</f>
        <v>112</v>
      </c>
      <c r="O131" s="39"/>
      <c r="P131" s="14"/>
      <c r="Q131" s="14"/>
      <c r="R131" s="12">
        <f t="shared" ca="1" si="26"/>
        <v>112</v>
      </c>
      <c r="S131" s="25">
        <v>45852</v>
      </c>
      <c r="T131" s="12" t="s">
        <v>1</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46198</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46198</v>
      </c>
      <c r="N133" s="14"/>
      <c r="O133" s="39"/>
      <c r="P133" s="14"/>
      <c r="Q133" s="14"/>
      <c r="R133" s="12">
        <f t="shared" si="26"/>
        <v>67</v>
      </c>
      <c r="S133" s="25">
        <v>44453</v>
      </c>
      <c r="T133" s="12" t="s">
        <v>1</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46198</v>
      </c>
      <c r="N134" s="13"/>
      <c r="O134" s="13"/>
      <c r="P134" s="13"/>
      <c r="Q134" s="12"/>
      <c r="R134" s="12">
        <f t="shared" si="26"/>
        <v>59</v>
      </c>
      <c r="S134" s="25">
        <v>42766</v>
      </c>
      <c r="T134" s="12" t="s">
        <v>1</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46198</v>
      </c>
      <c r="N135" s="13"/>
      <c r="O135" s="13"/>
      <c r="P135" s="13"/>
      <c r="Q135" s="12"/>
      <c r="R135" s="12">
        <f t="shared" si="26"/>
        <v>71</v>
      </c>
      <c r="S135" s="25">
        <v>43108</v>
      </c>
      <c r="T135" s="12" t="s">
        <v>1</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46198</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46198</v>
      </c>
      <c r="N137" s="14"/>
      <c r="O137" s="39"/>
      <c r="P137" s="14"/>
      <c r="Q137" s="14"/>
      <c r="R137" s="12">
        <f t="shared" si="26"/>
        <v>103</v>
      </c>
      <c r="S137" s="25">
        <v>44827</v>
      </c>
      <c r="T137" s="12" t="s">
        <v>1</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46198</v>
      </c>
      <c r="N138" s="14"/>
      <c r="O138" s="39"/>
      <c r="P138" s="14"/>
      <c r="Q138" s="14"/>
      <c r="R138" s="12">
        <f t="shared" si="26"/>
        <v>68</v>
      </c>
      <c r="S138" s="25">
        <v>44851</v>
      </c>
      <c r="T138" s="12" t="s">
        <v>1</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46198</v>
      </c>
      <c r="N139" s="13"/>
      <c r="O139" s="13"/>
      <c r="P139" s="13"/>
      <c r="Q139" s="12"/>
      <c r="R139" s="12">
        <f t="shared" si="26"/>
        <v>58</v>
      </c>
      <c r="S139" s="25">
        <v>42735</v>
      </c>
      <c r="T139" s="12" t="s">
        <v>1</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46198</v>
      </c>
      <c r="N140" s="13"/>
      <c r="O140" s="13"/>
      <c r="P140" s="13"/>
      <c r="Q140" s="12"/>
      <c r="R140" s="12">
        <f t="shared" si="26"/>
        <v>53</v>
      </c>
      <c r="S140" s="25">
        <v>43285</v>
      </c>
      <c r="T140" s="12" t="s">
        <v>1</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46198</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46198</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46198</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46198</v>
      </c>
      <c r="N144" s="13"/>
      <c r="O144" s="13"/>
      <c r="P144" s="13"/>
      <c r="Q144" s="12"/>
      <c r="R144" s="12">
        <f t="shared" si="26"/>
        <v>81</v>
      </c>
      <c r="S144" s="25">
        <v>44137</v>
      </c>
      <c r="T144" s="12" t="s">
        <v>1</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46198</v>
      </c>
      <c r="N145" s="14"/>
      <c r="O145" s="39"/>
      <c r="P145" s="14"/>
      <c r="Q145" s="14"/>
      <c r="R145" s="12">
        <f t="shared" si="26"/>
        <v>63</v>
      </c>
      <c r="S145" s="25">
        <v>45441</v>
      </c>
      <c r="T145" s="12" t="s">
        <v>1</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46198</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46198</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46198</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46198</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46198</v>
      </c>
      <c r="N150" s="14"/>
      <c r="O150" s="39"/>
      <c r="P150" s="14"/>
      <c r="Q150" s="14"/>
      <c r="R150" s="12">
        <f t="shared" si="26"/>
        <v>56</v>
      </c>
      <c r="S150" s="25">
        <v>45202</v>
      </c>
      <c r="T150" s="12" t="s">
        <v>1</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46198</v>
      </c>
      <c r="N151" s="13"/>
      <c r="O151" s="13"/>
      <c r="P151" s="13"/>
      <c r="Q151" s="12"/>
      <c r="R151" s="12">
        <f t="shared" si="26"/>
        <v>54</v>
      </c>
      <c r="S151" s="25">
        <v>42978</v>
      </c>
      <c r="T151" s="12" t="s">
        <v>1</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46198</v>
      </c>
      <c r="N152" s="14"/>
      <c r="O152" s="25"/>
      <c r="P152" s="25"/>
      <c r="Q152" s="14"/>
      <c r="R152" s="12">
        <f t="shared" si="26"/>
        <v>54</v>
      </c>
      <c r="S152" s="25">
        <v>44410</v>
      </c>
      <c r="T152" s="12" t="s">
        <v>1</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46198</v>
      </c>
      <c r="N153" s="14">
        <f ca="1">DATEDIF(L153,M153,"M") +1</f>
        <v>100</v>
      </c>
      <c r="O153" s="39"/>
      <c r="P153" s="14"/>
      <c r="Q153" s="14"/>
      <c r="R153" s="12">
        <f t="shared" ca="1" si="26"/>
        <v>100</v>
      </c>
      <c r="S153" s="25">
        <v>45776</v>
      </c>
      <c r="T153" s="12" t="s">
        <v>1</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46198</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46198</v>
      </c>
      <c r="N155" s="14">
        <f ca="1">DATEDIF(L155,M155,"M") +1</f>
        <v>100</v>
      </c>
      <c r="O155" s="39"/>
      <c r="P155" s="14"/>
      <c r="Q155" s="14"/>
      <c r="R155" s="12">
        <f t="shared" ca="1" si="26"/>
        <v>100</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46198</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46198</v>
      </c>
      <c r="N157" s="14"/>
      <c r="O157" s="39"/>
      <c r="P157" s="14"/>
      <c r="Q157" s="14"/>
      <c r="R157" s="12">
        <f t="shared" si="26"/>
        <v>55</v>
      </c>
      <c r="S157" s="25">
        <v>44834</v>
      </c>
      <c r="T157" s="12" t="s">
        <v>1</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46198</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46198</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46198</v>
      </c>
      <c r="N160" s="14"/>
      <c r="O160" s="39"/>
      <c r="P160" s="14"/>
      <c r="Q160" s="14"/>
      <c r="R160" s="12">
        <f t="shared" si="26"/>
        <v>95</v>
      </c>
      <c r="S160" s="25">
        <v>44957</v>
      </c>
      <c r="T160" s="12" t="s">
        <v>1</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46198</v>
      </c>
      <c r="N161" s="14"/>
      <c r="O161" s="39"/>
      <c r="P161" s="14"/>
      <c r="Q161" s="14"/>
      <c r="R161" s="12">
        <f t="shared" si="26"/>
        <v>52</v>
      </c>
      <c r="S161" s="25">
        <v>44741</v>
      </c>
      <c r="T161" s="12" t="s">
        <v>1</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46198</v>
      </c>
      <c r="N162" s="14">
        <f ca="1">DATEDIF(L162,M162,"M") +1</f>
        <v>100</v>
      </c>
      <c r="O162" s="39"/>
      <c r="P162" s="14"/>
      <c r="Q162" s="14"/>
      <c r="R162" s="12">
        <f t="shared" ca="1" si="26"/>
        <v>100</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46198</v>
      </c>
      <c r="N163" s="14">
        <f ca="1">DATEDIF(L163,M163,"M") +1</f>
        <v>100</v>
      </c>
      <c r="O163" s="39"/>
      <c r="P163" s="14"/>
      <c r="Q163" s="14"/>
      <c r="R163" s="12">
        <f t="shared" ca="1" si="26"/>
        <v>100</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46198</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46198</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46198</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46198</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46198</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46198</v>
      </c>
      <c r="N169" s="14">
        <f ca="1">DATEDIF(L169,M169,"M") +1</f>
        <v>100</v>
      </c>
      <c r="O169" s="39"/>
      <c r="P169" s="14"/>
      <c r="Q169" s="14"/>
      <c r="R169" s="12">
        <f t="shared" ca="1" si="26"/>
        <v>100</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46198</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46198</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46198</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46198</v>
      </c>
      <c r="N173" s="14">
        <f ca="1">DATEDIF(L173,M173,"M") +1</f>
        <v>100</v>
      </c>
      <c r="O173" s="39"/>
      <c r="P173" s="14"/>
      <c r="Q173" s="14"/>
      <c r="R173" s="12">
        <f t="shared" ca="1" si="26"/>
        <v>100</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46198</v>
      </c>
      <c r="N174" s="14">
        <f ca="1">DATEDIF(L174,M174,"M") +1</f>
        <v>100</v>
      </c>
      <c r="O174" s="39"/>
      <c r="P174" s="14"/>
      <c r="Q174" s="14"/>
      <c r="R174" s="12">
        <f t="shared" ca="1" si="26"/>
        <v>100</v>
      </c>
      <c r="S174" s="25">
        <v>45701</v>
      </c>
      <c r="T174" s="12" t="s">
        <v>1</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46198</v>
      </c>
      <c r="N175" s="14">
        <f ca="1">DATEDIF(L175,M175,"M") +1</f>
        <v>100</v>
      </c>
      <c r="O175" s="39"/>
      <c r="P175" s="14"/>
      <c r="Q175" s="14"/>
      <c r="R175" s="12">
        <f t="shared" ca="1" si="26"/>
        <v>100</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46198</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46198</v>
      </c>
      <c r="N177" s="14">
        <f ca="1">DATEDIF(L177,M177,"M") +1</f>
        <v>76</v>
      </c>
      <c r="O177" s="25">
        <v>45413</v>
      </c>
      <c r="P177" s="25">
        <v>45535</v>
      </c>
      <c r="Q177" s="14">
        <v>4</v>
      </c>
      <c r="R177" s="12">
        <f t="shared" ca="1" si="26"/>
        <v>76</v>
      </c>
      <c r="S177" s="25">
        <v>45568</v>
      </c>
      <c r="T177" s="12" t="s">
        <v>1</v>
      </c>
      <c r="U177" s="56">
        <f t="shared" si="35"/>
        <v>52</v>
      </c>
      <c r="V177" s="49" t="str">
        <f t="shared" si="36"/>
        <v>Completed:Delayed</v>
      </c>
      <c r="W177" s="52">
        <f>DATEDIF(K177,S177,"M")+1-Q177</f>
        <v>42</v>
      </c>
    </row>
    <row r="178" spans="1:23" ht="25.35"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46198</v>
      </c>
      <c r="N178" s="14">
        <f ca="1">DATEDIF(L178,M178,"M") +1</f>
        <v>100</v>
      </c>
      <c r="O178" s="39"/>
      <c r="P178" s="14"/>
      <c r="Q178" s="14"/>
      <c r="R178" s="12">
        <f t="shared" ca="1" si="26"/>
        <v>100</v>
      </c>
      <c r="S178" s="25">
        <v>45610</v>
      </c>
      <c r="T178" s="12" t="s">
        <v>1</v>
      </c>
      <c r="U178" s="56">
        <f t="shared" si="35"/>
        <v>81</v>
      </c>
      <c r="V178" s="49" t="str">
        <f t="shared" si="36"/>
        <v>Completed:Delayed</v>
      </c>
      <c r="W178" s="52">
        <f>DATEDIF(K178,S178,"M")+1-Q178</f>
        <v>71</v>
      </c>
    </row>
    <row r="179" spans="1:23" ht="25.35"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46198</v>
      </c>
      <c r="N179" s="14">
        <f ca="1">DATEDIF(L179,M179,"M") +1</f>
        <v>88</v>
      </c>
      <c r="O179" s="39"/>
      <c r="P179" s="14"/>
      <c r="Q179" s="14"/>
      <c r="R179" s="12">
        <f t="shared" ca="1" si="26"/>
        <v>88</v>
      </c>
      <c r="S179" s="25">
        <v>45889</v>
      </c>
      <c r="T179" s="12" t="s">
        <v>1</v>
      </c>
      <c r="U179" s="56">
        <f t="shared" si="35"/>
        <v>78</v>
      </c>
      <c r="V179" s="49" t="str">
        <f t="shared" si="36"/>
        <v>Completed:Delayed</v>
      </c>
      <c r="W179" s="52">
        <f>DATEDIF(K179,S179,"M")+1-Q179</f>
        <v>72</v>
      </c>
    </row>
    <row r="180" spans="1:23" ht="25.35"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46198</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35"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46198</v>
      </c>
      <c r="N181" s="14">
        <f ca="1">DATEDIF(L181,M181,"M") +1</f>
        <v>88</v>
      </c>
      <c r="O181" s="25">
        <v>45170</v>
      </c>
      <c r="P181" s="25">
        <v>45473</v>
      </c>
      <c r="Q181" s="14">
        <v>10</v>
      </c>
      <c r="R181" s="12">
        <f t="shared" ca="1" si="26"/>
        <v>88</v>
      </c>
      <c r="S181" s="25">
        <v>45640</v>
      </c>
      <c r="T181" s="12" t="s">
        <v>1</v>
      </c>
      <c r="U181" s="56">
        <f t="shared" si="35"/>
        <v>60</v>
      </c>
      <c r="V181" s="49" t="str">
        <f t="shared" si="36"/>
        <v>Completed:Delayed</v>
      </c>
      <c r="W181" s="52"/>
    </row>
    <row r="182" spans="1:23" ht="25.35"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46198</v>
      </c>
      <c r="N182" s="14">
        <f ca="1">DATEDIF(L182,M182,"M") +1</f>
        <v>88</v>
      </c>
      <c r="O182" s="39"/>
      <c r="P182" s="14"/>
      <c r="Q182" s="14"/>
      <c r="R182" s="12">
        <f t="shared" ca="1" si="26"/>
        <v>88</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46198</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46198</v>
      </c>
      <c r="N184" s="14">
        <f ca="1">DATEDIF(L184,M184,"M") +1</f>
        <v>88</v>
      </c>
      <c r="O184" s="39"/>
      <c r="P184" s="14"/>
      <c r="Q184" s="14"/>
      <c r="R184" s="12">
        <f t="shared" ca="1" si="26"/>
        <v>88</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46198</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46198</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46198</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46198</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46198</v>
      </c>
      <c r="N189" s="14">
        <f ca="1">DATEDIF(L189,M189,"M") +1</f>
        <v>88</v>
      </c>
      <c r="O189" s="39"/>
      <c r="P189" s="14"/>
      <c r="Q189" s="14"/>
      <c r="R189" s="12">
        <f t="shared" ca="1" si="26"/>
        <v>88</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46198</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46198</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46198</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46198</v>
      </c>
      <c r="N193" s="14">
        <f ca="1">DATEDIF(L193,M193,"M") +1</f>
        <v>88</v>
      </c>
      <c r="O193" s="39"/>
      <c r="P193" s="14"/>
      <c r="Q193" s="14"/>
      <c r="R193" s="12">
        <f t="shared" ca="1" si="38"/>
        <v>88</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46198</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46198</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46198</v>
      </c>
      <c r="N196" s="14">
        <f ca="1">DATEDIF(L196,M196,"M") +1</f>
        <v>88</v>
      </c>
      <c r="O196" s="25">
        <v>45078</v>
      </c>
      <c r="P196" s="25">
        <v>45443</v>
      </c>
      <c r="Q196" s="14">
        <v>12</v>
      </c>
      <c r="R196" s="12">
        <f t="shared" ca="1" si="38"/>
        <v>88</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46198</v>
      </c>
      <c r="N197" s="14">
        <f ca="1">DATEDIF(L197,M197,"M") +1</f>
        <v>88</v>
      </c>
      <c r="O197" s="39"/>
      <c r="P197" s="14"/>
      <c r="Q197" s="14"/>
      <c r="R197" s="12">
        <f t="shared" ca="1" si="38"/>
        <v>88</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46198</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46198</v>
      </c>
      <c r="N199" s="14">
        <f ca="1">DATEDIF(L199,M199,"M") +1</f>
        <v>76</v>
      </c>
      <c r="O199" s="39"/>
      <c r="P199" s="14"/>
      <c r="Q199" s="14"/>
      <c r="R199" s="12">
        <f t="shared" ca="1" si="38"/>
        <v>76</v>
      </c>
      <c r="S199" s="25">
        <v>45936</v>
      </c>
      <c r="T199" s="12" t="s">
        <v>1</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46198</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46198</v>
      </c>
      <c r="N201" s="14">
        <f ca="1">DATEDIF(L201,M201,"M") +1</f>
        <v>76</v>
      </c>
      <c r="O201" s="39"/>
      <c r="P201" s="14"/>
      <c r="Q201" s="14"/>
      <c r="R201" s="12">
        <f t="shared" ca="1" si="38"/>
        <v>76</v>
      </c>
      <c r="S201" s="25">
        <v>45929</v>
      </c>
      <c r="T201" s="12" t="s">
        <v>1</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46198</v>
      </c>
      <c r="N202" s="14">
        <f ca="1">DATEDIF(L202,M202,"M") +1</f>
        <v>76</v>
      </c>
      <c r="O202" s="39"/>
      <c r="P202" s="14"/>
      <c r="Q202" s="14"/>
      <c r="R202" s="12">
        <f t="shared" ca="1" si="38"/>
        <v>76</v>
      </c>
      <c r="S202" s="25">
        <v>45950</v>
      </c>
      <c r="T202" s="12" t="s">
        <v>1</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46198</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35"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46198</v>
      </c>
      <c r="N204" s="14">
        <f ca="1">DATEDIF(L204,M204,"M") +1</f>
        <v>124</v>
      </c>
      <c r="O204" s="39"/>
      <c r="P204" s="14"/>
      <c r="Q204" s="14"/>
      <c r="R204" s="12">
        <f t="shared" ca="1" si="38"/>
        <v>124</v>
      </c>
      <c r="S204" s="25">
        <v>45591</v>
      </c>
      <c r="T204" s="12" t="s">
        <v>1</v>
      </c>
      <c r="U204" s="56">
        <f t="shared" si="39"/>
        <v>104</v>
      </c>
      <c r="V204" s="49" t="str">
        <f t="shared" si="40"/>
        <v>Completed:Delayed</v>
      </c>
      <c r="W204" s="52">
        <f t="shared" si="41"/>
        <v>92</v>
      </c>
    </row>
    <row r="205" spans="1:25" ht="25.35"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46198</v>
      </c>
      <c r="N205" s="14">
        <f ca="1">DATEDIF(L205,M205,"M") +1</f>
        <v>76</v>
      </c>
      <c r="O205" s="39"/>
      <c r="P205" s="14"/>
      <c r="Q205" s="14"/>
      <c r="R205" s="12">
        <f t="shared" ca="1" si="38"/>
        <v>76</v>
      </c>
      <c r="S205" s="25">
        <v>45648</v>
      </c>
      <c r="T205" s="12" t="s">
        <v>1</v>
      </c>
      <c r="U205" s="56">
        <f t="shared" si="39"/>
        <v>58</v>
      </c>
      <c r="V205" s="49" t="str">
        <f t="shared" si="40"/>
        <v>Completed:Delayed</v>
      </c>
      <c r="W205" s="52">
        <f t="shared" si="41"/>
        <v>55</v>
      </c>
    </row>
    <row r="206" spans="1:25" ht="25.35"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46198</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35"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46198</v>
      </c>
      <c r="N207" s="14"/>
      <c r="O207" s="39"/>
      <c r="P207" s="14"/>
      <c r="Q207" s="14"/>
      <c r="R207" s="12">
        <f t="shared" si="38"/>
        <v>81</v>
      </c>
      <c r="S207" s="25">
        <v>45248</v>
      </c>
      <c r="T207" s="12" t="s">
        <v>1</v>
      </c>
      <c r="U207" s="56">
        <f t="shared" si="39"/>
        <v>81</v>
      </c>
      <c r="V207" s="49" t="str">
        <f t="shared" si="40"/>
        <v>Completed:Delayed</v>
      </c>
      <c r="W207" s="52">
        <f t="shared" si="41"/>
        <v>74</v>
      </c>
    </row>
    <row r="208" spans="1:25" ht="25.35"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46198</v>
      </c>
      <c r="N208" s="13"/>
      <c r="O208" s="13"/>
      <c r="P208" s="13"/>
      <c r="Q208" s="12"/>
      <c r="R208" s="12">
        <f t="shared" si="38"/>
        <v>63</v>
      </c>
      <c r="S208" s="25">
        <v>42551</v>
      </c>
      <c r="T208" s="12" t="s">
        <v>1</v>
      </c>
      <c r="U208" s="56">
        <f t="shared" si="39"/>
        <v>63</v>
      </c>
      <c r="V208" s="49" t="str">
        <f t="shared" si="40"/>
        <v>Completed:Delayed</v>
      </c>
      <c r="W208" s="52">
        <f t="shared" si="41"/>
        <v>63</v>
      </c>
    </row>
    <row r="209" spans="1:23" ht="25.35"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46198</v>
      </c>
      <c r="N209" s="14">
        <f ca="1">DATEDIF(L209,M209,"M") +1</f>
        <v>88</v>
      </c>
      <c r="O209" s="39"/>
      <c r="P209" s="14"/>
      <c r="Q209" s="14"/>
      <c r="R209" s="12">
        <f t="shared" ca="1" si="38"/>
        <v>88</v>
      </c>
      <c r="S209" s="25">
        <v>45483</v>
      </c>
      <c r="T209" s="12" t="s">
        <v>1</v>
      </c>
      <c r="U209" s="56">
        <f t="shared" si="39"/>
        <v>65</v>
      </c>
      <c r="V209" s="49" t="str">
        <f t="shared" si="40"/>
        <v>Completed:Delayed</v>
      </c>
      <c r="W209" s="52">
        <f t="shared" si="41"/>
        <v>64</v>
      </c>
    </row>
    <row r="210" spans="1:23" ht="25.35"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46198</v>
      </c>
      <c r="N210" s="14"/>
      <c r="O210" s="39"/>
      <c r="P210" s="14"/>
      <c r="Q210" s="14"/>
      <c r="R210" s="12">
        <f t="shared" si="38"/>
        <v>115</v>
      </c>
      <c r="S210" s="25">
        <v>45191</v>
      </c>
      <c r="T210" s="12" t="s">
        <v>1</v>
      </c>
      <c r="U210" s="56">
        <f t="shared" si="39"/>
        <v>115</v>
      </c>
      <c r="V210" s="49" t="str">
        <f t="shared" si="40"/>
        <v>Completed:Delayed</v>
      </c>
      <c r="W210" s="52">
        <f t="shared" si="41"/>
        <v>103</v>
      </c>
    </row>
    <row r="211" spans="1:23" ht="25.35"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46198</v>
      </c>
      <c r="N211" s="14">
        <f t="shared" ref="N211:N216" ca="1" si="42">DATEDIF(L211,M211,"M") +1</f>
        <v>76</v>
      </c>
      <c r="O211" s="39"/>
      <c r="P211" s="14"/>
      <c r="Q211" s="14"/>
      <c r="R211" s="12">
        <f t="shared" ca="1" si="38"/>
        <v>76</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35"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46198</v>
      </c>
      <c r="N212" s="14">
        <f t="shared" ca="1" si="42"/>
        <v>76</v>
      </c>
      <c r="O212" s="39"/>
      <c r="P212" s="14"/>
      <c r="Q212" s="14"/>
      <c r="R212" s="12">
        <f t="shared" ca="1" si="38"/>
        <v>76</v>
      </c>
      <c r="S212" s="25"/>
      <c r="T212" s="12" t="s">
        <v>10</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46198</v>
      </c>
      <c r="N213" s="14">
        <f t="shared" ca="1" si="42"/>
        <v>76</v>
      </c>
      <c r="O213" s="39"/>
      <c r="P213" s="14"/>
      <c r="Q213" s="14"/>
      <c r="R213" s="12">
        <f t="shared" ca="1" si="38"/>
        <v>76</v>
      </c>
      <c r="S213" s="25">
        <v>45889</v>
      </c>
      <c r="T213" s="12" t="s">
        <v>1</v>
      </c>
      <c r="U213" s="56">
        <f t="shared" si="43"/>
        <v>66</v>
      </c>
      <c r="V213" s="49" t="str">
        <f t="shared" si="44"/>
        <v>Completed:Delayed</v>
      </c>
      <c r="W213" s="52">
        <f t="shared" si="45"/>
        <v>54</v>
      </c>
    </row>
    <row r="214" spans="1:23" ht="25.35"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46198</v>
      </c>
      <c r="N214" s="14">
        <f t="shared" ca="1" si="42"/>
        <v>76</v>
      </c>
      <c r="O214" s="39"/>
      <c r="P214" s="14"/>
      <c r="Q214" s="14"/>
      <c r="R214" s="12">
        <f t="shared" ca="1" si="38"/>
        <v>76</v>
      </c>
      <c r="S214" s="25">
        <v>45747</v>
      </c>
      <c r="T214" s="12" t="s">
        <v>1</v>
      </c>
      <c r="U214" s="56">
        <f>DATEDIF(L214,S214,"M")+1-Q214</f>
        <v>61</v>
      </c>
      <c r="V214" s="49" t="str">
        <f t="shared" ref="V214" si="48">IF(U214&gt;51,"Completed:Delayed"," Completed:On time")</f>
        <v>Completed:Delayed</v>
      </c>
      <c r="W214" s="52">
        <f t="shared" si="45"/>
        <v>48</v>
      </c>
    </row>
    <row r="215" spans="1:23" ht="25.35"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46198</v>
      </c>
      <c r="N215" s="14">
        <f t="shared" ca="1" si="42"/>
        <v>76</v>
      </c>
      <c r="O215" s="39"/>
      <c r="P215" s="14"/>
      <c r="Q215" s="14"/>
      <c r="R215" s="12">
        <f t="shared" ca="1" si="38"/>
        <v>76</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35"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46198</v>
      </c>
      <c r="N216" s="14">
        <f t="shared" ca="1" si="42"/>
        <v>76</v>
      </c>
      <c r="O216" s="39"/>
      <c r="P216" s="14"/>
      <c r="Q216" s="14"/>
      <c r="R216" s="12">
        <f t="shared" ca="1" si="38"/>
        <v>76</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35"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46198</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46198</v>
      </c>
      <c r="N218" s="14">
        <f ca="1">DATEDIF(L218,M218,"M") +1</f>
        <v>76</v>
      </c>
      <c r="O218" s="39"/>
      <c r="P218" s="14"/>
      <c r="Q218" s="14"/>
      <c r="R218" s="12">
        <f t="shared" ca="1" si="38"/>
        <v>76</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46198</v>
      </c>
      <c r="N219" s="14">
        <f ca="1">DATEDIF(L219,M219,"M") +1</f>
        <v>76</v>
      </c>
      <c r="O219" s="39"/>
      <c r="P219" s="14"/>
      <c r="Q219" s="14"/>
      <c r="R219" s="12">
        <f t="shared" ca="1" si="38"/>
        <v>76</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46198</v>
      </c>
      <c r="N220" s="14">
        <f ca="1">DATEDIF(L220,M220,"M") +1</f>
        <v>76</v>
      </c>
      <c r="O220" s="39"/>
      <c r="P220" s="14"/>
      <c r="Q220" s="14"/>
      <c r="R220" s="12">
        <f t="shared" ca="1" si="38"/>
        <v>76</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46198</v>
      </c>
      <c r="N221" s="14">
        <f ca="1">DATEDIF(L221,M221,"M") +1</f>
        <v>76</v>
      </c>
      <c r="O221" s="39"/>
      <c r="P221" s="14"/>
      <c r="Q221" s="14"/>
      <c r="R221" s="12">
        <f t="shared" ca="1" si="38"/>
        <v>76</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46198</v>
      </c>
      <c r="N222" s="14">
        <f ca="1">DATEDIF(L222,M222,"M") +1</f>
        <v>16</v>
      </c>
      <c r="O222" s="39"/>
      <c r="P222" s="14"/>
      <c r="Q222" s="14"/>
      <c r="R222" s="12">
        <f t="shared" ca="1" si="38"/>
        <v>16</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46198</v>
      </c>
      <c r="N223" s="14">
        <f t="shared" ref="N223:N240" ca="1" si="53">DATEDIF(L223,M223,"M") +1</f>
        <v>16</v>
      </c>
      <c r="O223" s="61"/>
      <c r="P223" s="61"/>
      <c r="Q223" s="59"/>
      <c r="R223" s="12">
        <f t="shared" ca="1" si="38"/>
        <v>16</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5.95">
      <c r="A224" s="59">
        <v>223</v>
      </c>
      <c r="B224" s="59" t="s">
        <v>858</v>
      </c>
      <c r="C224" s="59" t="s">
        <v>859</v>
      </c>
      <c r="D224" s="59"/>
      <c r="E224" s="59" t="s">
        <v>860</v>
      </c>
      <c r="F224" s="59" t="s">
        <v>6</v>
      </c>
      <c r="G224" s="59">
        <v>11</v>
      </c>
      <c r="H224" s="59" t="s">
        <v>117</v>
      </c>
      <c r="I224" s="59" t="s">
        <v>14</v>
      </c>
      <c r="J224" s="59" t="s">
        <v>14</v>
      </c>
      <c r="K224" s="61"/>
      <c r="L224" s="61">
        <v>45717</v>
      </c>
      <c r="M224" s="15">
        <f t="shared" ca="1" si="37"/>
        <v>46198</v>
      </c>
      <c r="N224" s="14">
        <f t="shared" ca="1" si="53"/>
        <v>16</v>
      </c>
      <c r="O224" s="61"/>
      <c r="P224" s="61"/>
      <c r="Q224" s="59"/>
      <c r="R224" s="12">
        <f t="shared" ca="1" si="38"/>
        <v>16</v>
      </c>
      <c r="S224" s="61"/>
      <c r="T224" s="59" t="s">
        <v>10</v>
      </c>
      <c r="U224" s="60" t="str">
        <f t="shared" ca="1" si="54"/>
        <v>In progress: Below 60 Months</v>
      </c>
      <c r="V224" s="60" t="str">
        <f t="shared" ca="1" si="55"/>
        <v>In progress: Below 60 Months</v>
      </c>
      <c r="W224" s="53"/>
    </row>
    <row r="225" spans="1:22" ht="15.9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46198</v>
      </c>
      <c r="N225" s="14">
        <f t="shared" ca="1" si="53"/>
        <v>16</v>
      </c>
      <c r="O225" s="61"/>
      <c r="P225" s="61"/>
      <c r="Q225" s="59"/>
      <c r="R225" s="12">
        <f t="shared" ca="1" si="38"/>
        <v>16</v>
      </c>
      <c r="S225" s="61"/>
      <c r="T225" s="59" t="s">
        <v>10</v>
      </c>
      <c r="U225" s="60" t="str">
        <f t="shared" ca="1" si="54"/>
        <v>In progress: Below 60 Months</v>
      </c>
      <c r="V225" s="60" t="str">
        <f t="shared" ca="1" si="55"/>
        <v>In progress: Below 60 Months</v>
      </c>
    </row>
    <row r="226" spans="1:22" ht="15.9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46198</v>
      </c>
      <c r="N226" s="14">
        <f t="shared" ca="1" si="53"/>
        <v>16</v>
      </c>
      <c r="O226" s="61"/>
      <c r="P226" s="61"/>
      <c r="Q226" s="59"/>
      <c r="R226" s="12">
        <f t="shared" ca="1" si="38"/>
        <v>16</v>
      </c>
      <c r="S226" s="61"/>
      <c r="T226" s="59" t="s">
        <v>10</v>
      </c>
      <c r="U226" s="60" t="str">
        <f t="shared" ca="1" si="54"/>
        <v>In progress: Below 60 Months</v>
      </c>
      <c r="V226" s="60" t="str">
        <f t="shared" ca="1" si="55"/>
        <v>In progress: Below 60 Months</v>
      </c>
    </row>
    <row r="227" spans="1:22" ht="15.95">
      <c r="A227" s="59">
        <v>226</v>
      </c>
      <c r="B227" s="59" t="s">
        <v>866</v>
      </c>
      <c r="C227" s="59" t="s">
        <v>867</v>
      </c>
      <c r="D227" s="59" t="s">
        <v>868</v>
      </c>
      <c r="E227" s="59" t="s">
        <v>869</v>
      </c>
      <c r="F227" s="59" t="s">
        <v>7</v>
      </c>
      <c r="G227" s="59">
        <v>11</v>
      </c>
      <c r="H227" s="59" t="s">
        <v>125</v>
      </c>
      <c r="I227" s="59" t="s">
        <v>19</v>
      </c>
      <c r="J227" s="59"/>
      <c r="K227" s="61"/>
      <c r="L227" s="61">
        <v>45717</v>
      </c>
      <c r="M227" s="15">
        <f t="shared" ca="1" si="37"/>
        <v>46198</v>
      </c>
      <c r="N227" s="14">
        <f t="shared" ca="1" si="53"/>
        <v>16</v>
      </c>
      <c r="O227" s="61"/>
      <c r="P227" s="61"/>
      <c r="Q227" s="59"/>
      <c r="R227" s="12">
        <f t="shared" ca="1" si="38"/>
        <v>16</v>
      </c>
      <c r="S227" s="61"/>
      <c r="T227" s="59" t="s">
        <v>10</v>
      </c>
      <c r="U227" s="60" t="str">
        <f t="shared" ca="1" si="54"/>
        <v>In progress: Below 60 Months</v>
      </c>
      <c r="V227" s="60" t="str">
        <f t="shared" ca="1" si="55"/>
        <v>In progress: Below 60 Months</v>
      </c>
    </row>
    <row r="228" spans="1:22" ht="15.95">
      <c r="A228" s="59">
        <v>227</v>
      </c>
      <c r="B228" s="59" t="s">
        <v>870</v>
      </c>
      <c r="C228" s="59" t="s">
        <v>325</v>
      </c>
      <c r="D228" s="59" t="s">
        <v>871</v>
      </c>
      <c r="E228" s="59" t="s">
        <v>872</v>
      </c>
      <c r="F228" s="59" t="s">
        <v>6</v>
      </c>
      <c r="G228" s="59">
        <v>11</v>
      </c>
      <c r="H228" s="59" t="s">
        <v>68</v>
      </c>
      <c r="I228" s="59" t="s">
        <v>16</v>
      </c>
      <c r="J228" s="59"/>
      <c r="K228" s="61"/>
      <c r="L228" s="61">
        <v>45717</v>
      </c>
      <c r="M228" s="15">
        <f t="shared" ca="1" si="37"/>
        <v>46198</v>
      </c>
      <c r="N228" s="14">
        <f t="shared" ca="1" si="53"/>
        <v>16</v>
      </c>
      <c r="O228" s="61"/>
      <c r="P228" s="61"/>
      <c r="Q228" s="59"/>
      <c r="R228" s="12">
        <f t="shared" ca="1" si="38"/>
        <v>16</v>
      </c>
      <c r="S228" s="61"/>
      <c r="T228" s="59" t="s">
        <v>10</v>
      </c>
      <c r="U228" s="60" t="str">
        <f t="shared" ca="1" si="54"/>
        <v>In progress: Below 60 Months</v>
      </c>
      <c r="V228" s="60" t="str">
        <f t="shared" ca="1" si="55"/>
        <v>In progress: Below 60 Months</v>
      </c>
    </row>
    <row r="229" spans="1:22" ht="15.9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46198</v>
      </c>
      <c r="N229" s="14">
        <f t="shared" ca="1" si="53"/>
        <v>16</v>
      </c>
      <c r="O229" s="61"/>
      <c r="P229" s="61"/>
      <c r="Q229" s="59"/>
      <c r="R229" s="12">
        <f t="shared" ca="1" si="38"/>
        <v>16</v>
      </c>
      <c r="S229" s="61"/>
      <c r="T229" s="59" t="s">
        <v>10</v>
      </c>
      <c r="U229" s="60" t="str">
        <f t="shared" ca="1" si="54"/>
        <v>In progress: Below 60 Months</v>
      </c>
      <c r="V229" s="60" t="str">
        <f t="shared" ca="1" si="55"/>
        <v>In progress: Below 60 Months</v>
      </c>
    </row>
    <row r="230" spans="1:22" ht="15.95">
      <c r="A230" s="59">
        <v>229</v>
      </c>
      <c r="B230" s="59" t="s">
        <v>876</v>
      </c>
      <c r="C230" s="59" t="s">
        <v>877</v>
      </c>
      <c r="D230" s="59"/>
      <c r="E230" s="59" t="s">
        <v>878</v>
      </c>
      <c r="F230" s="59" t="s">
        <v>7</v>
      </c>
      <c r="G230" s="59">
        <v>11</v>
      </c>
      <c r="H230" s="59" t="s">
        <v>117</v>
      </c>
      <c r="I230" s="59" t="s">
        <v>14</v>
      </c>
      <c r="J230" s="59" t="s">
        <v>14</v>
      </c>
      <c r="K230" s="61"/>
      <c r="L230" s="61">
        <v>45717</v>
      </c>
      <c r="M230" s="15">
        <f t="shared" ca="1" si="37"/>
        <v>46198</v>
      </c>
      <c r="N230" s="14">
        <f t="shared" ca="1" si="53"/>
        <v>16</v>
      </c>
      <c r="O230" s="61"/>
      <c r="P230" s="61"/>
      <c r="Q230" s="59"/>
      <c r="R230" s="12">
        <f t="shared" ca="1" si="38"/>
        <v>16</v>
      </c>
      <c r="S230" s="61"/>
      <c r="T230" s="59" t="s">
        <v>10</v>
      </c>
      <c r="U230" s="60" t="str">
        <f t="shared" ca="1" si="54"/>
        <v>In progress: Below 60 Months</v>
      </c>
      <c r="V230" s="60" t="str">
        <f t="shared" ca="1" si="55"/>
        <v>In progress: Below 60 Months</v>
      </c>
    </row>
    <row r="231" spans="1:22" ht="15.9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46198</v>
      </c>
      <c r="N231" s="14">
        <f t="shared" ca="1" si="53"/>
        <v>16</v>
      </c>
      <c r="O231" s="61"/>
      <c r="P231" s="61"/>
      <c r="Q231" s="59"/>
      <c r="R231" s="12">
        <f t="shared" ca="1" si="38"/>
        <v>16</v>
      </c>
      <c r="S231" s="61"/>
      <c r="T231" s="59" t="s">
        <v>10</v>
      </c>
      <c r="U231" s="60" t="str">
        <f t="shared" ca="1" si="54"/>
        <v>In progress: Below 60 Months</v>
      </c>
      <c r="V231" s="60" t="str">
        <f t="shared" ca="1" si="55"/>
        <v>In progress: Below 60 Months</v>
      </c>
    </row>
    <row r="232" spans="1:22" ht="15.95">
      <c r="A232" s="59">
        <v>231</v>
      </c>
      <c r="B232" s="59" t="s">
        <v>883</v>
      </c>
      <c r="C232" s="59" t="s">
        <v>508</v>
      </c>
      <c r="D232" s="59" t="s">
        <v>884</v>
      </c>
      <c r="E232" s="59" t="s">
        <v>885</v>
      </c>
      <c r="F232" s="59" t="s">
        <v>6</v>
      </c>
      <c r="G232" s="59">
        <v>11</v>
      </c>
      <c r="H232" s="59" t="s">
        <v>132</v>
      </c>
      <c r="I232" s="59" t="s">
        <v>20</v>
      </c>
      <c r="J232" s="59"/>
      <c r="K232" s="61"/>
      <c r="L232" s="61">
        <v>45717</v>
      </c>
      <c r="M232" s="15">
        <f t="shared" ca="1" si="37"/>
        <v>46198</v>
      </c>
      <c r="N232" s="14">
        <f t="shared" ca="1" si="53"/>
        <v>16</v>
      </c>
      <c r="O232" s="61"/>
      <c r="P232" s="61"/>
      <c r="Q232" s="59"/>
      <c r="R232" s="12">
        <f t="shared" ca="1" si="38"/>
        <v>16</v>
      </c>
      <c r="S232" s="61"/>
      <c r="T232" s="59" t="s">
        <v>10</v>
      </c>
      <c r="U232" s="60" t="str">
        <f t="shared" ca="1" si="54"/>
        <v>In progress: Below 60 Months</v>
      </c>
      <c r="V232" s="60" t="str">
        <f t="shared" ca="1" si="55"/>
        <v>In progress: Below 60 Months</v>
      </c>
    </row>
    <row r="233" spans="1:22" ht="15.9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46198</v>
      </c>
      <c r="N233" s="14">
        <f t="shared" ca="1" si="53"/>
        <v>16</v>
      </c>
      <c r="O233" s="61"/>
      <c r="P233" s="61"/>
      <c r="Q233" s="59"/>
      <c r="R233" s="12">
        <f t="shared" ca="1" si="38"/>
        <v>16</v>
      </c>
      <c r="S233" s="61"/>
      <c r="T233" s="59" t="s">
        <v>10</v>
      </c>
      <c r="U233" s="60" t="str">
        <f t="shared" ca="1" si="54"/>
        <v>In progress: Below 60 Months</v>
      </c>
      <c r="V233" s="60" t="str">
        <f t="shared" ca="1" si="55"/>
        <v>In progress: Below 60 Months</v>
      </c>
    </row>
    <row r="234" spans="1:22" ht="15.9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46198</v>
      </c>
      <c r="N234" s="14">
        <f t="shared" ca="1" si="53"/>
        <v>16</v>
      </c>
      <c r="O234" s="61"/>
      <c r="P234" s="61"/>
      <c r="Q234" s="59"/>
      <c r="R234" s="12">
        <f t="shared" ca="1" si="38"/>
        <v>16</v>
      </c>
      <c r="S234" s="61"/>
      <c r="T234" s="59" t="s">
        <v>10</v>
      </c>
      <c r="U234" s="60" t="str">
        <f t="shared" ca="1" si="54"/>
        <v>In progress: Below 60 Months</v>
      </c>
      <c r="V234" s="60" t="str">
        <f t="shared" ca="1" si="55"/>
        <v>In progress: Below 60 Months</v>
      </c>
    </row>
    <row r="235" spans="1:22" ht="15.9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46198</v>
      </c>
      <c r="N235" s="14">
        <f t="shared" ca="1" si="53"/>
        <v>16</v>
      </c>
      <c r="O235" s="61"/>
      <c r="P235" s="61"/>
      <c r="Q235" s="59"/>
      <c r="R235" s="12">
        <f t="shared" ca="1" si="38"/>
        <v>16</v>
      </c>
      <c r="S235" s="61"/>
      <c r="T235" s="59" t="s">
        <v>10</v>
      </c>
      <c r="U235" s="60" t="str">
        <f t="shared" ca="1" si="54"/>
        <v>In progress: Below 60 Months</v>
      </c>
      <c r="V235" s="60" t="str">
        <f t="shared" ca="1" si="55"/>
        <v>In progress: Below 60 Months</v>
      </c>
    </row>
    <row r="236" spans="1:22" ht="15.9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46198</v>
      </c>
      <c r="N236" s="14">
        <f t="shared" ca="1" si="53"/>
        <v>16</v>
      </c>
      <c r="O236" s="61"/>
      <c r="P236" s="61"/>
      <c r="Q236" s="59"/>
      <c r="R236" s="12">
        <f t="shared" ca="1" si="38"/>
        <v>16</v>
      </c>
      <c r="S236" s="61"/>
      <c r="T236" s="59" t="s">
        <v>10</v>
      </c>
      <c r="U236" s="60" t="str">
        <f t="shared" ca="1" si="54"/>
        <v>In progress: Below 60 Months</v>
      </c>
      <c r="V236" s="60" t="str">
        <f t="shared" ca="1" si="55"/>
        <v>In progress: Below 60 Months</v>
      </c>
    </row>
    <row r="237" spans="1:22" ht="15.9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46198</v>
      </c>
      <c r="N237" s="14">
        <f t="shared" ca="1" si="53"/>
        <v>16</v>
      </c>
      <c r="O237" s="61"/>
      <c r="P237" s="61"/>
      <c r="Q237" s="59"/>
      <c r="R237" s="12">
        <f t="shared" ca="1" si="38"/>
        <v>16</v>
      </c>
      <c r="S237" s="61"/>
      <c r="T237" s="59" t="s">
        <v>10</v>
      </c>
      <c r="U237" s="60" t="str">
        <f t="shared" ca="1" si="54"/>
        <v>In progress: Below 60 Months</v>
      </c>
      <c r="V237" s="60" t="str">
        <f t="shared" ca="1" si="55"/>
        <v>In progress: Below 60 Months</v>
      </c>
    </row>
    <row r="238" spans="1:22" ht="15.95">
      <c r="A238" s="59">
        <v>237</v>
      </c>
      <c r="B238" s="59" t="s">
        <v>906</v>
      </c>
      <c r="C238" s="59" t="s">
        <v>907</v>
      </c>
      <c r="D238" s="59" t="s">
        <v>908</v>
      </c>
      <c r="E238" s="59" t="s">
        <v>909</v>
      </c>
      <c r="F238" s="59" t="s">
        <v>7</v>
      </c>
      <c r="G238" s="59">
        <v>11</v>
      </c>
      <c r="H238" s="59" t="s">
        <v>125</v>
      </c>
      <c r="I238" s="59" t="s">
        <v>19</v>
      </c>
      <c r="J238" s="59"/>
      <c r="K238" s="61"/>
      <c r="L238" s="61">
        <v>45717</v>
      </c>
      <c r="M238" s="15">
        <f t="shared" ca="1" si="37"/>
        <v>46198</v>
      </c>
      <c r="N238" s="14">
        <f t="shared" ca="1" si="53"/>
        <v>16</v>
      </c>
      <c r="O238" s="61"/>
      <c r="P238" s="61"/>
      <c r="Q238" s="59"/>
      <c r="R238" s="12">
        <f t="shared" ca="1" si="38"/>
        <v>16</v>
      </c>
      <c r="S238" s="61"/>
      <c r="T238" s="59" t="s">
        <v>10</v>
      </c>
      <c r="U238" s="60" t="str">
        <f t="shared" ca="1" si="54"/>
        <v>In progress: Below 60 Months</v>
      </c>
      <c r="V238" s="60" t="str">
        <f t="shared" ca="1" si="55"/>
        <v>In progress: Below 60 Months</v>
      </c>
    </row>
    <row r="239" spans="1:22" ht="15.95">
      <c r="A239" s="59">
        <v>239</v>
      </c>
      <c r="B239" s="59" t="s">
        <v>910</v>
      </c>
      <c r="C239" s="59" t="s">
        <v>911</v>
      </c>
      <c r="D239" s="59"/>
      <c r="E239" s="59" t="s">
        <v>912</v>
      </c>
      <c r="F239" s="59" t="s">
        <v>6</v>
      </c>
      <c r="G239" s="59">
        <v>11</v>
      </c>
      <c r="H239" s="59" t="s">
        <v>121</v>
      </c>
      <c r="I239" s="59" t="s">
        <v>21</v>
      </c>
      <c r="J239" s="59"/>
      <c r="K239" s="61"/>
      <c r="L239" s="61">
        <v>45717</v>
      </c>
      <c r="M239" s="15">
        <f t="shared" ca="1" si="37"/>
        <v>46198</v>
      </c>
      <c r="N239" s="14">
        <f t="shared" ca="1" si="53"/>
        <v>16</v>
      </c>
      <c r="O239" s="61"/>
      <c r="P239" s="61"/>
      <c r="Q239" s="59"/>
      <c r="R239" s="12">
        <f t="shared" ca="1" si="38"/>
        <v>16</v>
      </c>
      <c r="S239" s="61"/>
      <c r="T239" s="59" t="s">
        <v>10</v>
      </c>
      <c r="U239" s="60" t="str">
        <f t="shared" ca="1" si="54"/>
        <v>In progress: Below 60 Months</v>
      </c>
      <c r="V239" s="60" t="str">
        <f t="shared" ca="1" si="55"/>
        <v>In progress: Below 60 Months</v>
      </c>
    </row>
    <row r="240" spans="1:22" ht="15.95">
      <c r="A240" s="59">
        <v>240</v>
      </c>
      <c r="B240" s="59" t="s">
        <v>913</v>
      </c>
      <c r="C240" s="59" t="s">
        <v>914</v>
      </c>
      <c r="D240" s="59" t="s">
        <v>915</v>
      </c>
      <c r="E240" s="59" t="s">
        <v>916</v>
      </c>
      <c r="F240" s="59" t="s">
        <v>6</v>
      </c>
      <c r="G240" s="59">
        <v>11</v>
      </c>
      <c r="H240" s="59" t="s">
        <v>112</v>
      </c>
      <c r="I240" s="59" t="s">
        <v>13</v>
      </c>
      <c r="J240" s="59"/>
      <c r="K240" s="61"/>
      <c r="L240" s="61">
        <v>45717</v>
      </c>
      <c r="M240" s="15">
        <f t="shared" ca="1" si="37"/>
        <v>46198</v>
      </c>
      <c r="N240" s="14">
        <f t="shared" ca="1" si="53"/>
        <v>16</v>
      </c>
      <c r="O240" s="61"/>
      <c r="P240" s="61"/>
      <c r="Q240" s="59"/>
      <c r="R240" s="12">
        <f t="shared" ca="1" si="38"/>
        <v>16</v>
      </c>
      <c r="S240" s="61"/>
      <c r="T240" s="59" t="s">
        <v>10</v>
      </c>
      <c r="U240" s="60" t="str">
        <f t="shared" ca="1" si="54"/>
        <v>In progress: Below 60 Months</v>
      </c>
      <c r="V240" s="60" t="str">
        <f t="shared" ca="1" si="55"/>
        <v>In progress: Below 60 Months</v>
      </c>
    </row>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917</v>
      </c>
    </row>
    <row r="6" spans="1:4">
      <c r="A6" s="2" t="s">
        <v>2</v>
      </c>
      <c r="B6" s="2" t="s">
        <v>50</v>
      </c>
    </row>
    <row r="7" spans="1:4">
      <c r="A7" s="2" t="s">
        <v>61</v>
      </c>
      <c r="B7" t="s">
        <v>6</v>
      </c>
      <c r="C7" t="s">
        <v>7</v>
      </c>
      <c r="D7" t="s">
        <v>8</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917</v>
      </c>
    </row>
    <row r="3" spans="1:15">
      <c r="J3" s="2" t="s">
        <v>0</v>
      </c>
      <c r="K3" t="s">
        <v>917</v>
      </c>
    </row>
    <row r="4" spans="1:15">
      <c r="B4" s="2" t="s">
        <v>0</v>
      </c>
      <c r="C4" s="2" t="s">
        <v>932</v>
      </c>
    </row>
    <row r="5" spans="1:15" ht="15" thickBot="1">
      <c r="B5" t="s">
        <v>1</v>
      </c>
      <c r="D5" t="s">
        <v>10</v>
      </c>
      <c r="F5" t="s">
        <v>933</v>
      </c>
      <c r="G5" t="s">
        <v>934</v>
      </c>
      <c r="J5" s="2" t="s">
        <v>45</v>
      </c>
      <c r="K5" s="2" t="s">
        <v>3</v>
      </c>
    </row>
    <row r="6" spans="1:15" ht="15" thickBot="1">
      <c r="A6" s="2" t="s">
        <v>23</v>
      </c>
      <c r="B6" t="s">
        <v>45</v>
      </c>
      <c r="C6" t="s">
        <v>935</v>
      </c>
      <c r="D6" t="s">
        <v>45</v>
      </c>
      <c r="E6" t="s">
        <v>935</v>
      </c>
      <c r="H6" s="8"/>
      <c r="J6" s="38" t="s">
        <v>23</v>
      </c>
      <c r="K6" s="74" t="s">
        <v>25</v>
      </c>
      <c r="L6" s="37" t="s">
        <v>936</v>
      </c>
      <c r="M6" s="37" t="s">
        <v>26</v>
      </c>
      <c r="N6" s="37" t="s">
        <v>27</v>
      </c>
      <c r="O6" s="37" t="s">
        <v>8</v>
      </c>
    </row>
    <row r="7" spans="1:15">
      <c r="A7" t="s">
        <v>11</v>
      </c>
      <c r="B7">
        <v>1</v>
      </c>
      <c r="C7" s="8">
        <v>0.5</v>
      </c>
      <c r="D7">
        <v>1</v>
      </c>
      <c r="E7" s="8">
        <v>0.5</v>
      </c>
      <c r="F7">
        <v>2</v>
      </c>
      <c r="G7" s="8">
        <v>1</v>
      </c>
      <c r="H7" s="8"/>
      <c r="J7" s="32" t="s">
        <v>11</v>
      </c>
      <c r="K7" s="71"/>
      <c r="L7" s="33">
        <v>1</v>
      </c>
      <c r="M7" s="33">
        <v>1</v>
      </c>
      <c r="N7" s="33"/>
      <c r="O7" s="33">
        <v>2</v>
      </c>
    </row>
    <row r="8" spans="1:15">
      <c r="A8" t="s">
        <v>12</v>
      </c>
      <c r="B8">
        <v>4</v>
      </c>
      <c r="C8" s="8">
        <v>1</v>
      </c>
      <c r="E8" s="8">
        <v>0</v>
      </c>
      <c r="F8">
        <v>4</v>
      </c>
      <c r="G8" s="8">
        <v>1</v>
      </c>
      <c r="H8" s="8"/>
      <c r="J8" s="34" t="s">
        <v>12</v>
      </c>
      <c r="K8" s="72"/>
      <c r="L8" s="75"/>
      <c r="M8" s="75">
        <v>4</v>
      </c>
      <c r="N8" s="75"/>
      <c r="O8" s="75">
        <v>4</v>
      </c>
    </row>
    <row r="9" spans="1:15">
      <c r="A9" t="s">
        <v>13</v>
      </c>
      <c r="B9">
        <v>7</v>
      </c>
      <c r="C9" s="8">
        <v>0.875</v>
      </c>
      <c r="D9">
        <v>1</v>
      </c>
      <c r="E9" s="8">
        <v>0.125</v>
      </c>
      <c r="F9">
        <v>8</v>
      </c>
      <c r="G9" s="8">
        <v>1</v>
      </c>
      <c r="H9" s="8"/>
      <c r="J9" s="34" t="s">
        <v>13</v>
      </c>
      <c r="K9" s="72"/>
      <c r="L9" s="75">
        <v>1</v>
      </c>
      <c r="M9" s="75">
        <v>7</v>
      </c>
      <c r="N9" s="75"/>
      <c r="O9" s="75">
        <v>8</v>
      </c>
    </row>
    <row r="10" spans="1:1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c r="A11" t="s">
        <v>15</v>
      </c>
      <c r="B11">
        <v>13</v>
      </c>
      <c r="C11" s="8">
        <v>0.65</v>
      </c>
      <c r="D11">
        <v>7</v>
      </c>
      <c r="E11" s="8">
        <v>0.35</v>
      </c>
      <c r="F11">
        <v>20</v>
      </c>
      <c r="G11" s="8">
        <v>1</v>
      </c>
      <c r="H11" s="8"/>
      <c r="J11" s="34" t="s">
        <v>15</v>
      </c>
      <c r="K11" s="72">
        <v>6</v>
      </c>
      <c r="L11" s="75">
        <v>1</v>
      </c>
      <c r="M11" s="75">
        <v>8</v>
      </c>
      <c r="N11" s="75">
        <v>5</v>
      </c>
      <c r="O11" s="75">
        <v>20</v>
      </c>
    </row>
    <row r="12" spans="1:1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c r="A13" t="s">
        <v>17</v>
      </c>
      <c r="B13">
        <v>4</v>
      </c>
      <c r="C13" s="8">
        <v>1</v>
      </c>
      <c r="E13" s="8">
        <v>0</v>
      </c>
      <c r="F13">
        <v>4</v>
      </c>
      <c r="G13" s="8">
        <v>1</v>
      </c>
      <c r="H13" s="8"/>
      <c r="J13" s="34" t="s">
        <v>17</v>
      </c>
      <c r="K13" s="72"/>
      <c r="L13" s="75"/>
      <c r="M13" s="75">
        <v>2</v>
      </c>
      <c r="N13" s="75">
        <v>2</v>
      </c>
      <c r="O13" s="75">
        <v>4</v>
      </c>
    </row>
    <row r="14" spans="1:1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c r="A15" t="s">
        <v>19</v>
      </c>
      <c r="B15">
        <v>24</v>
      </c>
      <c r="C15" s="8">
        <v>0.8</v>
      </c>
      <c r="D15">
        <v>6</v>
      </c>
      <c r="E15" s="8">
        <v>0.2</v>
      </c>
      <c r="F15">
        <v>30</v>
      </c>
      <c r="G15" s="8">
        <v>1</v>
      </c>
      <c r="H15" s="8"/>
      <c r="J15" s="34" t="s">
        <v>19</v>
      </c>
      <c r="K15" s="72">
        <v>3</v>
      </c>
      <c r="L15" s="75">
        <v>3</v>
      </c>
      <c r="M15" s="75">
        <v>16</v>
      </c>
      <c r="N15" s="75">
        <v>8</v>
      </c>
      <c r="O15" s="75">
        <v>30</v>
      </c>
    </row>
    <row r="16" spans="1:1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c r="A19" t="s">
        <v>857</v>
      </c>
      <c r="C19" s="8">
        <v>0</v>
      </c>
      <c r="D19">
        <v>2</v>
      </c>
      <c r="E19" s="8">
        <v>1</v>
      </c>
      <c r="F19">
        <v>2</v>
      </c>
      <c r="G19" s="8">
        <v>1</v>
      </c>
      <c r="J19" s="35" t="s">
        <v>857</v>
      </c>
      <c r="K19" s="72"/>
      <c r="L19" s="75">
        <v>2</v>
      </c>
      <c r="M19" s="75"/>
      <c r="N19" s="75"/>
      <c r="O19" s="75">
        <v>2</v>
      </c>
    </row>
    <row r="20" spans="1:15" ht="15" thickBot="1">
      <c r="A20" t="s">
        <v>8</v>
      </c>
      <c r="B20">
        <v>195</v>
      </c>
      <c r="C20" s="8">
        <v>0.8125</v>
      </c>
      <c r="D20">
        <v>45</v>
      </c>
      <c r="E20" s="8">
        <v>0.1875</v>
      </c>
      <c r="F20">
        <v>240</v>
      </c>
      <c r="G20" s="8">
        <v>1</v>
      </c>
      <c r="J20" s="36" t="s">
        <v>8</v>
      </c>
      <c r="K20" s="73">
        <v>25</v>
      </c>
      <c r="L20" s="27">
        <v>20</v>
      </c>
      <c r="M20" s="27">
        <v>127</v>
      </c>
      <c r="N20" s="27">
        <v>68</v>
      </c>
      <c r="O20" s="27">
        <v>240</v>
      </c>
    </row>
    <row r="23" spans="1:15">
      <c r="A23" s="2" t="s">
        <v>3</v>
      </c>
      <c r="B23" t="s">
        <v>4</v>
      </c>
    </row>
    <row r="25" spans="1:15">
      <c r="A25" s="2" t="s">
        <v>45</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936</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15</v>
      </c>
      <c r="C32">
        <v>14</v>
      </c>
      <c r="D32">
        <v>29</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18</v>
      </c>
      <c r="C34">
        <v>14</v>
      </c>
      <c r="D34">
        <v>32</v>
      </c>
      <c r="J34" t="s">
        <v>16</v>
      </c>
      <c r="K34">
        <v>2</v>
      </c>
      <c r="L34">
        <v>2</v>
      </c>
      <c r="M34">
        <v>8</v>
      </c>
      <c r="N34">
        <v>21</v>
      </c>
      <c r="O34">
        <v>33</v>
      </c>
    </row>
    <row r="35" spans="1:15">
      <c r="A35" t="s">
        <v>19</v>
      </c>
      <c r="B35">
        <v>9</v>
      </c>
      <c r="C35">
        <v>15</v>
      </c>
      <c r="D35">
        <v>24</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10</v>
      </c>
      <c r="D37">
        <v>20</v>
      </c>
      <c r="J37" t="s">
        <v>19</v>
      </c>
      <c r="K37">
        <v>3</v>
      </c>
      <c r="L37">
        <v>3</v>
      </c>
      <c r="M37">
        <v>16</v>
      </c>
      <c r="N37">
        <v>8</v>
      </c>
      <c r="O37">
        <v>30</v>
      </c>
    </row>
    <row r="38" spans="1:15">
      <c r="A38" t="s">
        <v>22</v>
      </c>
      <c r="B38">
        <v>18</v>
      </c>
      <c r="C38">
        <v>7</v>
      </c>
      <c r="D38">
        <v>25</v>
      </c>
      <c r="J38" t="s">
        <v>20</v>
      </c>
      <c r="K38">
        <v>3</v>
      </c>
      <c r="L38">
        <v>3</v>
      </c>
      <c r="M38">
        <v>12</v>
      </c>
      <c r="N38">
        <v>5</v>
      </c>
      <c r="O38">
        <v>23</v>
      </c>
    </row>
    <row r="39" spans="1:15">
      <c r="A39" t="s">
        <v>8</v>
      </c>
      <c r="B39">
        <v>109</v>
      </c>
      <c r="C39">
        <v>86</v>
      </c>
      <c r="D39">
        <v>195</v>
      </c>
      <c r="J39" t="s">
        <v>21</v>
      </c>
      <c r="K39">
        <v>4</v>
      </c>
      <c r="L39">
        <v>2</v>
      </c>
      <c r="M39">
        <v>18</v>
      </c>
      <c r="N39">
        <v>2</v>
      </c>
      <c r="O39">
        <v>26</v>
      </c>
    </row>
    <row r="40" spans="1:15">
      <c r="J40" t="s">
        <v>22</v>
      </c>
      <c r="K40">
        <v>1</v>
      </c>
      <c r="M40">
        <v>19</v>
      </c>
      <c r="N40">
        <v>6</v>
      </c>
      <c r="O40">
        <v>26</v>
      </c>
    </row>
    <row r="41" spans="1:15">
      <c r="J41" t="s">
        <v>857</v>
      </c>
      <c r="L41">
        <v>2</v>
      </c>
      <c r="O41">
        <v>2</v>
      </c>
    </row>
    <row r="42" spans="1:1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13.8554687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936</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8</v>
      </c>
      <c r="B16">
        <v>68</v>
      </c>
      <c r="C16">
        <v>127</v>
      </c>
      <c r="D16">
        <v>25</v>
      </c>
      <c r="E16">
        <v>20</v>
      </c>
      <c r="F16">
        <v>240</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8</v>
      </c>
      <c r="B40">
        <v>195</v>
      </c>
      <c r="C40">
        <v>45</v>
      </c>
      <c r="D40">
        <v>240</v>
      </c>
    </row>
    <row r="68" spans="1:4">
      <c r="A68" s="2" t="s">
        <v>61</v>
      </c>
      <c r="B68" t="s">
        <v>917</v>
      </c>
    </row>
    <row r="69" spans="1:4">
      <c r="A69" s="2" t="s">
        <v>3</v>
      </c>
      <c r="B69" t="s">
        <v>917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8</v>
      </c>
      <c r="B84">
        <v>135</v>
      </c>
      <c r="C84">
        <v>105</v>
      </c>
      <c r="D84">
        <v>240</v>
      </c>
    </row>
    <row r="91" spans="1:4">
      <c r="A91" s="2" t="s">
        <v>61</v>
      </c>
      <c r="B91" t="s">
        <v>917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15</v>
      </c>
      <c r="C101">
        <v>14</v>
      </c>
      <c r="D101">
        <v>29</v>
      </c>
    </row>
    <row r="102" spans="1:4">
      <c r="A102" t="s">
        <v>17</v>
      </c>
      <c r="B102">
        <v>2</v>
      </c>
      <c r="C102">
        <v>2</v>
      </c>
      <c r="D102">
        <v>4</v>
      </c>
    </row>
    <row r="103" spans="1:4">
      <c r="A103" t="s">
        <v>18</v>
      </c>
      <c r="B103">
        <v>18</v>
      </c>
      <c r="C103">
        <v>14</v>
      </c>
      <c r="D103">
        <v>32</v>
      </c>
    </row>
    <row r="104" spans="1:4">
      <c r="A104" t="s">
        <v>19</v>
      </c>
      <c r="B104">
        <v>9</v>
      </c>
      <c r="C104">
        <v>15</v>
      </c>
      <c r="D104">
        <v>24</v>
      </c>
    </row>
    <row r="105" spans="1:4">
      <c r="A105" t="s">
        <v>20</v>
      </c>
      <c r="B105">
        <v>14</v>
      </c>
      <c r="C105">
        <v>3</v>
      </c>
      <c r="D105">
        <v>17</v>
      </c>
    </row>
    <row r="106" spans="1:4">
      <c r="A106" t="s">
        <v>21</v>
      </c>
      <c r="B106">
        <v>10</v>
      </c>
      <c r="C106">
        <v>10</v>
      </c>
      <c r="D106">
        <v>20</v>
      </c>
    </row>
    <row r="107" spans="1:4">
      <c r="A107" t="s">
        <v>22</v>
      </c>
      <c r="B107">
        <v>18</v>
      </c>
      <c r="C107">
        <v>7</v>
      </c>
      <c r="D107">
        <v>25</v>
      </c>
    </row>
    <row r="108" spans="1:4">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937</v>
      </c>
      <c r="C3" t="s">
        <v>41</v>
      </c>
      <c r="D3" t="s">
        <v>42</v>
      </c>
      <c r="E3" t="s">
        <v>43</v>
      </c>
      <c r="F3" t="s">
        <v>44</v>
      </c>
      <c r="G3" t="s">
        <v>938</v>
      </c>
    </row>
    <row r="4" spans="1:7">
      <c r="A4" t="s">
        <v>11</v>
      </c>
      <c r="B4" s="29">
        <v>1</v>
      </c>
      <c r="C4" s="28">
        <v>81</v>
      </c>
      <c r="D4" s="29" t="e">
        <v>#DIV/0!</v>
      </c>
      <c r="E4" s="29">
        <v>81</v>
      </c>
      <c r="F4" s="29">
        <v>81</v>
      </c>
    </row>
    <row r="5" spans="1:7">
      <c r="A5" t="s">
        <v>12</v>
      </c>
      <c r="B5" s="29">
        <v>4</v>
      </c>
      <c r="C5" s="28">
        <v>66.5</v>
      </c>
      <c r="D5" s="29">
        <v>12.288205727444508</v>
      </c>
      <c r="E5" s="29">
        <v>82</v>
      </c>
      <c r="F5" s="29">
        <v>52</v>
      </c>
    </row>
    <row r="6" spans="1:7">
      <c r="A6" t="s">
        <v>13</v>
      </c>
      <c r="B6" s="29">
        <v>7</v>
      </c>
      <c r="C6" s="28">
        <v>69.857142857142861</v>
      </c>
      <c r="D6" s="29">
        <v>15.603723609324501</v>
      </c>
      <c r="E6" s="29">
        <v>99</v>
      </c>
      <c r="F6" s="29">
        <v>55</v>
      </c>
    </row>
    <row r="7" spans="1:7">
      <c r="A7" t="s">
        <v>14</v>
      </c>
      <c r="B7" s="29">
        <v>21</v>
      </c>
      <c r="C7" s="28">
        <v>63.10526315789474</v>
      </c>
      <c r="D7" s="29">
        <v>18.961641797300228</v>
      </c>
      <c r="E7" s="29">
        <v>107</v>
      </c>
      <c r="F7" s="29">
        <v>37</v>
      </c>
    </row>
    <row r="8" spans="1:7">
      <c r="A8" t="s">
        <v>15</v>
      </c>
      <c r="B8" s="29">
        <v>19</v>
      </c>
      <c r="C8" s="28">
        <v>61.846153846153847</v>
      </c>
      <c r="D8" s="29">
        <v>19.527101482495862</v>
      </c>
      <c r="E8" s="29">
        <v>101</v>
      </c>
      <c r="F8" s="29">
        <v>36</v>
      </c>
    </row>
    <row r="9" spans="1:7">
      <c r="A9" t="s">
        <v>16</v>
      </c>
      <c r="B9" s="29">
        <v>31</v>
      </c>
      <c r="C9" s="28">
        <v>42.310344827586206</v>
      </c>
      <c r="D9" s="29">
        <v>12.015179233773605</v>
      </c>
      <c r="E9" s="29">
        <v>66</v>
      </c>
      <c r="F9" s="29">
        <v>24</v>
      </c>
    </row>
    <row r="10" spans="1:7">
      <c r="A10" t="s">
        <v>17</v>
      </c>
      <c r="B10" s="29">
        <v>4</v>
      </c>
      <c r="C10" s="28">
        <v>51.75</v>
      </c>
      <c r="D10" s="29">
        <v>7.4105780251385696</v>
      </c>
      <c r="E10" s="29">
        <v>58</v>
      </c>
      <c r="F10" s="29">
        <v>42</v>
      </c>
    </row>
    <row r="11" spans="1:7">
      <c r="A11" t="s">
        <v>18</v>
      </c>
      <c r="B11" s="29">
        <v>36</v>
      </c>
      <c r="C11" s="28">
        <v>60.40625</v>
      </c>
      <c r="D11" s="29">
        <v>23.305626310870419</v>
      </c>
      <c r="E11" s="29">
        <v>139</v>
      </c>
      <c r="F11" s="29">
        <v>22</v>
      </c>
    </row>
    <row r="12" spans="1:7">
      <c r="A12" t="s">
        <v>19</v>
      </c>
      <c r="B12" s="29">
        <v>27</v>
      </c>
      <c r="C12" s="28">
        <v>63.458333333333336</v>
      </c>
      <c r="D12" s="29">
        <v>21.149528038041034</v>
      </c>
      <c r="E12" s="29">
        <v>114</v>
      </c>
      <c r="F12" s="29">
        <v>28</v>
      </c>
    </row>
    <row r="13" spans="1:7">
      <c r="A13" t="s">
        <v>20</v>
      </c>
      <c r="B13" s="29">
        <v>20</v>
      </c>
      <c r="C13" s="28">
        <v>62.823529411764703</v>
      </c>
      <c r="D13" s="29">
        <v>21.307965922741342</v>
      </c>
      <c r="E13" s="29">
        <v>115</v>
      </c>
      <c r="F13" s="29">
        <v>33</v>
      </c>
    </row>
    <row r="14" spans="1:7">
      <c r="A14" t="s">
        <v>21</v>
      </c>
      <c r="B14" s="29">
        <v>24</v>
      </c>
      <c r="C14" s="28">
        <v>66.849999999999994</v>
      </c>
      <c r="D14" s="29">
        <v>14.113356868770211</v>
      </c>
      <c r="E14" s="29">
        <v>104</v>
      </c>
      <c r="F14" s="29">
        <v>50</v>
      </c>
    </row>
    <row r="15" spans="1:7">
      <c r="A15" t="s">
        <v>22</v>
      </c>
      <c r="B15" s="29">
        <v>26</v>
      </c>
      <c r="C15" s="28">
        <v>64.760000000000005</v>
      </c>
      <c r="D15" s="29">
        <v>19.201302039184736</v>
      </c>
      <c r="E15" s="29">
        <v>101</v>
      </c>
      <c r="F15" s="29">
        <v>32</v>
      </c>
    </row>
    <row r="16" spans="1:7">
      <c r="A16" t="s">
        <v>8</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41</v>
      </c>
      <c r="C33" t="s">
        <v>42</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8</v>
      </c>
      <c r="B44" s="28">
        <v>60.271794871794874</v>
      </c>
      <c r="C44" s="29">
        <v>19.919243515398545</v>
      </c>
    </row>
    <row r="52" spans="1:3">
      <c r="A52" t="s">
        <v>51</v>
      </c>
      <c r="B52" t="s">
        <v>41</v>
      </c>
      <c r="C52" t="s">
        <v>42</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109</v>
      </c>
      <c r="C5">
        <v>109</v>
      </c>
    </row>
    <row r="6" spans="1:3">
      <c r="A6" t="s">
        <v>7</v>
      </c>
      <c r="B6">
        <v>86</v>
      </c>
      <c r="C6">
        <v>86</v>
      </c>
    </row>
    <row r="7" spans="1:3">
      <c r="A7" t="s">
        <v>8</v>
      </c>
      <c r="B7">
        <v>195</v>
      </c>
      <c r="C7">
        <v>195</v>
      </c>
    </row>
    <row r="11" spans="1:3">
      <c r="A11" s="2" t="s">
        <v>50</v>
      </c>
      <c r="B11" t="s">
        <v>2</v>
      </c>
    </row>
    <row r="12" spans="1:3">
      <c r="A12" t="s">
        <v>6</v>
      </c>
      <c r="B12">
        <v>135</v>
      </c>
    </row>
    <row r="13" spans="1:3">
      <c r="A13" t="s">
        <v>7</v>
      </c>
      <c r="B13">
        <v>105</v>
      </c>
    </row>
    <row r="14" spans="1:3">
      <c r="A14" t="s">
        <v>8</v>
      </c>
      <c r="B14">
        <v>240</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8</v>
      </c>
      <c r="B32" s="8">
        <v>0.5625</v>
      </c>
      <c r="C32" s="8">
        <v>0.4375</v>
      </c>
      <c r="D32" s="8">
        <v>1</v>
      </c>
    </row>
    <row r="38" spans="1:4">
      <c r="A38" t="s">
        <v>51</v>
      </c>
      <c r="B38" t="s">
        <v>6</v>
      </c>
      <c r="C38" t="s">
        <v>7</v>
      </c>
      <c r="D38" t="s">
        <v>8</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917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45</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15</v>
      </c>
      <c r="D13">
        <v>14</v>
      </c>
      <c r="E13">
        <v>29</v>
      </c>
    </row>
    <row r="14" spans="2:8">
      <c r="B14" t="s">
        <v>17</v>
      </c>
      <c r="C14">
        <v>2</v>
      </c>
      <c r="D14">
        <v>2</v>
      </c>
      <c r="E14">
        <v>4</v>
      </c>
    </row>
    <row r="15" spans="2:8">
      <c r="B15" t="s">
        <v>18</v>
      </c>
      <c r="C15">
        <v>18</v>
      </c>
      <c r="D15">
        <v>14</v>
      </c>
      <c r="E15">
        <v>32</v>
      </c>
    </row>
    <row r="16" spans="2:8">
      <c r="B16" t="s">
        <v>19</v>
      </c>
      <c r="C16">
        <v>9</v>
      </c>
      <c r="D16">
        <v>15</v>
      </c>
      <c r="E16">
        <v>24</v>
      </c>
    </row>
    <row r="17" spans="2:5">
      <c r="B17" t="s">
        <v>20</v>
      </c>
      <c r="C17">
        <v>14</v>
      </c>
      <c r="D17">
        <v>3</v>
      </c>
      <c r="E17">
        <v>17</v>
      </c>
    </row>
    <row r="18" spans="2:5">
      <c r="B18" t="s">
        <v>21</v>
      </c>
      <c r="C18">
        <v>10</v>
      </c>
      <c r="D18">
        <v>10</v>
      </c>
      <c r="E18">
        <v>20</v>
      </c>
    </row>
    <row r="19" spans="2:5">
      <c r="B19" t="s">
        <v>22</v>
      </c>
      <c r="C19">
        <v>18</v>
      </c>
      <c r="D19">
        <v>7</v>
      </c>
      <c r="E19">
        <v>25</v>
      </c>
    </row>
    <row r="20" spans="2: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72.599999999999994">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ht="29.1">
      <c r="A47" s="2" t="s">
        <v>61</v>
      </c>
      <c r="B47" t="s">
        <v>6</v>
      </c>
      <c r="C47" t="s">
        <v>7</v>
      </c>
      <c r="D47" s="6" t="s">
        <v>8</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3</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2026-06-25T11:56:09Z</dcterms:modified>
  <cp:category/>
  <cp:contentStatus/>
</cp:coreProperties>
</file>